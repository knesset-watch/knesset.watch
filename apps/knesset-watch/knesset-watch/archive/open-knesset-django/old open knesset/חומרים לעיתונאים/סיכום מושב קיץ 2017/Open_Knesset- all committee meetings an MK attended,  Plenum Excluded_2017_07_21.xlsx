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 sheetId="1" r:id="rId4"/>
    <sheet state="visible" name="ממוין לפי ח&quot;כים" sheetId="2" r:id="rId5"/>
    <sheet state="visible" name="ממוין לפי ועדות וח&quot;כים" sheetId="3" r:id="rId6"/>
  </sheets>
  <definedNames/>
  <calcPr/>
  <pivotCaches>
    <pivotCache cacheId="0" r:id="rId7"/>
  </pivotCaches>
</workbook>
</file>

<file path=xl/sharedStrings.xml><?xml version="1.0" encoding="utf-8"?>
<sst xmlns="http://schemas.openxmlformats.org/spreadsheetml/2006/main" count="6565" uniqueCount="411">
  <si>
    <t>member_name</t>
  </si>
  <si>
    <t>meeting_date</t>
  </si>
  <si>
    <t>committee_name</t>
  </si>
  <si>
    <t>meeting_title</t>
  </si>
  <si>
    <t>meeting_url</t>
  </si>
  <si>
    <t>איילת נחמיאס ורבין</t>
  </si>
  <si>
    <t>2017-05-07</t>
  </si>
  <si>
    <t xml:space="preserve">ועדה משותפת לועדת הכלכלה ולועדת הכנסת להצעת חוק השידור הציבורי הישראלי </t>
  </si>
  <si>
    <t xml:space="preserve">הצעת חוק השידור הציבורי הישראלי (תיקון מס 8) (תאגיד החדשות), התשעז-2017 </t>
  </si>
  <si>
    <t>איתן כבל</t>
  </si>
  <si>
    <t>אמיר אוחנה</t>
  </si>
  <si>
    <t>דוד ביטן</t>
  </si>
  <si>
    <t>יגאל גואטה</t>
  </si>
  <si>
    <t>יואב קיש</t>
  </si>
  <si>
    <t>יוסי יונה</t>
  </si>
  <si>
    <t>יעקב פרי</t>
  </si>
  <si>
    <t>מיכאל מלכיאלי</t>
  </si>
  <si>
    <t>נורית קורן</t>
  </si>
  <si>
    <t>צחי הנגבי</t>
  </si>
  <si>
    <t>רוברט אילטוב</t>
  </si>
  <si>
    <t>רועי פולקמן</t>
  </si>
  <si>
    <t>שולי מועלם-רפאלי</t>
  </si>
  <si>
    <t>עיסאווי פריג`</t>
  </si>
  <si>
    <t>זאב אלקין</t>
  </si>
  <si>
    <t>2017-05-08</t>
  </si>
  <si>
    <t>ועדת החינוך, התרבות והספורט</t>
  </si>
  <si>
    <t xml:space="preserve">הצעת חוק המרכז למורשת מלחמת ששת הימים, שחרור ירושלים ואיחודה, התשעז-2017  </t>
  </si>
  <si>
    <t>יעקב מרגי</t>
  </si>
  <si>
    <t>עודד פורר</t>
  </si>
  <si>
    <t>ועדת הכנסת</t>
  </si>
  <si>
    <t xml:space="preserve">בקשת הממשלה להקדמת הדיון בהצעת חוק מס הכנסה (הגדלת נקודות זיכוי להורים)  (הוראת שעה), התשעז-2017 (מ/1133).  </t>
  </si>
  <si>
    <t>ישראל אייכלר</t>
  </si>
  <si>
    <t>דוד אמסלם</t>
  </si>
  <si>
    <t xml:space="preserve">חוק מס הכנסה (הגדלת נקודות זיכוי להורים - הוראת שעה), התשע"ז-2017 </t>
  </si>
  <si>
    <t>אורי מקלב</t>
  </si>
  <si>
    <t>אברהם נגוסה</t>
  </si>
  <si>
    <t>מיכל רוזין</t>
  </si>
  <si>
    <t>הועדה המיוחדת לפרשת היעלמותם של ילדי תימן, מזרח והבלקן</t>
  </si>
  <si>
    <t xml:space="preserve">העברת ילדים לחול על ידי אוניות של חברת הספנות צים במבצע כותונת פסים  </t>
  </si>
  <si>
    <t>ג`מאל זחאלקה</t>
  </si>
  <si>
    <t>מכלוף מיקי זוהר</t>
  </si>
  <si>
    <t>אלי אלאלוף</t>
  </si>
  <si>
    <t>ועדת העבודה, הרווחה והבריאות</t>
  </si>
  <si>
    <t xml:space="preserve">הצעת חוק לתיקון פקודת הרוקחים (מס 27) (הרשאה אישית לבעל תואר ברוקחות קלינית), התשעז–2017 </t>
  </si>
  <si>
    <t>עבדאללה אבו מערוף</t>
  </si>
  <si>
    <t>ועדת הכלכלה</t>
  </si>
  <si>
    <t xml:space="preserve">הצעת חוק התקשורת (בזק ושידורים) (תיקון מס 66) (שידורי חדשות בין-לאומיים שמקורם בישראל), התשעז-2017 </t>
  </si>
  <si>
    <t>נחמן שי</t>
  </si>
  <si>
    <t>ועדת הפנים והגנת הסביבה</t>
  </si>
  <si>
    <t xml:space="preserve">הצעת חוק חניה לנכים (תיקון - הקצאת מקום חניה לנכה סמוך למקום מגוריו), התשעו-2016 </t>
  </si>
  <si>
    <t>יוסף ג`בארין</t>
  </si>
  <si>
    <t xml:space="preserve">הצעת חוק הסדרים במשק המדינה (תיקוני חקיקה להשגת יעדי התקציב) (תיקון - נכס המשמש למגורי נכה), התשעז-2016 </t>
  </si>
  <si>
    <t>ועדת החוקה, חוק ומשפט</t>
  </si>
  <si>
    <t xml:space="preserve">1. תקנות בתי המשפט (אגרות)(תיקון), התשעז-2017- ארמים 2. תקנות בית הדין לעבודה (אגרות)(תיקון), התשעו-2016 3. תקנות בית המשפט לענייני משפחה (אגרות)(תיקון), התשעו-2016 </t>
  </si>
  <si>
    <t>דב חנין</t>
  </si>
  <si>
    <t xml:space="preserve">תקנות חוק המאבק בטרור (הכרזה על ארגון טרור), התשעז-2016 </t>
  </si>
  <si>
    <t>אלעזר שטרן</t>
  </si>
  <si>
    <t>זאב בנימין בגין</t>
  </si>
  <si>
    <t>ענת ברקו</t>
  </si>
  <si>
    <t>אבי (משה) דיכטר</t>
  </si>
  <si>
    <t xml:space="preserve">עדכון בפעילות המשרדים לניתוק זיקתם של החוקים המפורטים ממצב חירום </t>
  </si>
  <si>
    <t>איתן ברושי</t>
  </si>
  <si>
    <t>יעקב אשר</t>
  </si>
  <si>
    <t>ועדה משותפת חוץ וביטחון-חוקה לעניין הצורך להכריז על מצב חירום</t>
  </si>
  <si>
    <t>יעל גרמן</t>
  </si>
  <si>
    <t>ועדת החוץ והביטחון</t>
  </si>
  <si>
    <t>עבד אלחכים חאג` יחיא</t>
  </si>
  <si>
    <t>זוהיר בהלול</t>
  </si>
  <si>
    <t>עליזה לביא</t>
  </si>
  <si>
    <t>2017-05-09</t>
  </si>
  <si>
    <t>ועדת הכספים</t>
  </si>
  <si>
    <t xml:space="preserve">הצעת חוק חוזה הביטוח (תיקון - מיצוי הליכים בתביעות תחלוף), התשעה-2015 </t>
  </si>
  <si>
    <t>יואל חסון</t>
  </si>
  <si>
    <t>חמד עמאר</t>
  </si>
  <si>
    <t>טלי פלוסקוב</t>
  </si>
  <si>
    <t>זהבה גלאון</t>
  </si>
  <si>
    <t>בצלאל סמוטריץ</t>
  </si>
  <si>
    <t>אראל מרגלית</t>
  </si>
  <si>
    <t>איימן עודה</t>
  </si>
  <si>
    <t>אחמד טיבי</t>
  </si>
  <si>
    <t>אורן אסף חזן</t>
  </si>
  <si>
    <t xml:space="preserve"> מימוש הבטחות הממשלה והשרים בתכנית לחיזוק ופיתוח הצפון     מימוש הבטחות הממשלה והשרים בתכנית לחיזוק ופיתוח הצפון </t>
  </si>
  <si>
    <t>איל בן-ראובן</t>
  </si>
  <si>
    <t>מסעוד גנאים</t>
  </si>
  <si>
    <t>יצחק וקנין</t>
  </si>
  <si>
    <t>יעל כהן פארן</t>
  </si>
  <si>
    <t>חיים ילין</t>
  </si>
  <si>
    <t xml:space="preserve">היערכות הגורמים האחראים להילולת רבי שמעון בר יוחאי במירון </t>
  </si>
  <si>
    <t>מנחם אליעזר מוזס</t>
  </si>
  <si>
    <t xml:space="preserve">היערכות התחבורה הציבורית לאירועים המוניים </t>
  </si>
  <si>
    <t xml:space="preserve">יישום החלטת הממשלה ומשרד האוצר על הקצאת תקציב לפיתוח אזור הצפון </t>
  </si>
  <si>
    <t xml:space="preserve">1. קביעת סדרי דיון מיוחדים להצעת חוק השידור הציבורי הישראלי (תיקון מס 8) התשעז- 2017 (מ/ 1132) בקריאה שניה ושלישית, לפי סעיף 98 לתקנון הכנסת. 2. בקשת חברי הכנסת להקדמת הדיון בהצעות חוק, לפני הקריאה הטרומית </t>
  </si>
  <si>
    <t>חנין זועבי</t>
  </si>
  <si>
    <t xml:space="preserve">הצגת תכנית החומש של המלג – בהשתתפות פרופ יפה זילברשץ </t>
  </si>
  <si>
    <t>מנואל טרכטנברג</t>
  </si>
  <si>
    <t>יואב בן צור</t>
  </si>
  <si>
    <t xml:space="preserve">תקנות המאבק בטרור (ניהול רכוש שנתפס ושחולט), התשעז - 2016 </t>
  </si>
  <si>
    <t>מרב מיכאלי</t>
  </si>
  <si>
    <t xml:space="preserve">ההשלכות של פרשת היעלמותם של ילדי תימן, מזרח והבלקן על מתן צו ירושה  </t>
  </si>
  <si>
    <t>ועדת משנה לתחבורה ציבורית</t>
  </si>
  <si>
    <t xml:space="preserve">הצעת חוק שירותי רווחה (מענק הסתגלות לנשים ששהו במקלט לנשים מוכות) (תיקון - זכויות נשים ששהו במקלט לנשים מוכות), התשעו-2016 </t>
  </si>
  <si>
    <t>מיכל בירן</t>
  </si>
  <si>
    <t xml:space="preserve">1. מצוקת ההכשרות הקליניות במקצועות הבריאות בישראל 2. מצוקת ההכשרות הקליניות במקצועות הבריאות בישראל 3.  מצוקת ההכשרות הקליניות במקצועות הבריאות בישראל  4. מצוקת ההכשרות הקליניות במקצועות הבריאות בישראל  5. מצוקת ההכשרה הקלינית של סטודנטים לרפואה </t>
  </si>
  <si>
    <t>רחל עזריה</t>
  </si>
  <si>
    <t>משה גפני</t>
  </si>
  <si>
    <t xml:space="preserve">קביעת חברת נת"ע בע"מ כ"גוף אחר" - סעיפים 22(2ב) ו-22א לפקודת הקרקעות (רכישה לצרכי ציבור), 1943 </t>
  </si>
  <si>
    <t>מיקי רוזנטל</t>
  </si>
  <si>
    <t>מיקי לוי</t>
  </si>
  <si>
    <t>ניסן סלומינסקי</t>
  </si>
  <si>
    <t>נאוה בוקר</t>
  </si>
  <si>
    <t>2017-05-10</t>
  </si>
  <si>
    <t xml:space="preserve">הצעת חוק מס הכנסה (הגדלת נקודות זיכוי להורים) (הוראה שעה), התשעז-2017 </t>
  </si>
  <si>
    <t>אילן גילאון</t>
  </si>
  <si>
    <t xml:space="preserve">הקמת מינהל לאנשים עם מוגבלויות במשרד העבודה, הרווחה והשירותים החברתיים </t>
  </si>
  <si>
    <t>יוליה מלינובסקי</t>
  </si>
  <si>
    <t>מאיר כהן</t>
  </si>
  <si>
    <t xml:space="preserve">תקנות הדיינים (כשירות של מנהל בתי הדין הרבניים) התשעו-2016 </t>
  </si>
  <si>
    <t>רויטל סויד</t>
  </si>
  <si>
    <t>תמר זנדברג</t>
  </si>
  <si>
    <t xml:space="preserve">כללי תאגידי מים וביוב (ניתוק אספקת מים) (תיקון), התשעז-2017 </t>
  </si>
  <si>
    <t xml:space="preserve">הצעת חוק הרשויות המקומיות (פיקוח על מחירי שירות של קייטנה ציבורית), התשעז-2017 </t>
  </si>
  <si>
    <t>אכרם חסון</t>
  </si>
  <si>
    <t xml:space="preserve">הצעת חוק שמירת הניקיון (תיקון מס 22) (מטרות כספי היטל הטמנה), התשעז-2016 </t>
  </si>
  <si>
    <t>2017-05-15</t>
  </si>
  <si>
    <t xml:space="preserve">1. צו להסדרת הביטחון בגופים ציבוריים (שינוי התוספת הרביעית - חברת נט 4 פי אייץ איי) 2. צו להסדרת הביטחון בגופים ציבוריים (שינוי התוספת השנייה והתוספת החמישית - חברת תרכובות ברום בעמ 3. צו להסדרת הביטחון בגופים ציבוריים (שינוי התוספת החמישית - משרד התחבורה) 4. צו להסדרת הביטחון בגופים ציבוריים (שינוי התוספת החמישית - רשות המסים) </t>
  </si>
  <si>
    <t xml:space="preserve">1. הרפורמה ביחסים שבין הממשלה לכנסת - בנושאים הבאים: -	חובת התייצבות בפני ועדות הכנסת. -	פיקוח הכנסת על הממשלה. -	עבודת הכנסת – חקיקה פרטית.  2. הצעת חוק לתיקון פקודת מס הכנסה (הטבות במס ליישוב מאויים באזור), התשעו-2016 - קביעת ועדה  3. הצעה לסדר-היום בנושא: אבטחת מאגרי מידע ממשלתיים ואופן השימוש בהם - קביעת ועדה לדיון בהצעה. 4. בקשת יור ועדת הפנים והגנת הסביבה להקדמת הדיון בהצעת חוק פיקוח על מחירי קייטנה ציבורית התשעז-2017 (כ/705) </t>
  </si>
  <si>
    <t>אוסאמה סעדי</t>
  </si>
  <si>
    <t>יפעת שאשא ביטון</t>
  </si>
  <si>
    <t xml:space="preserve">1. הצעת חוק לביטול פקודת העתונות, התשעז-2017 2. הצעת חוק לתיקון פקודת העתונות (ביטול הפקודה), התשעז-2017 </t>
  </si>
  <si>
    <t xml:space="preserve">הצעת חוק עבודת נשים (תיקון מס 57) (זכות להיעדר מעבודה בעת שירות מילואים של בן הזוג), התשעז- 2017 </t>
  </si>
  <si>
    <t>מרדכי יוגב</t>
  </si>
  <si>
    <t xml:space="preserve">1. הפגיעה בעובדי חברת החשמל בהסכם השכר החדש 2. הצעה לסדר-היום בנושא: הסדר תשלום חריגות השכר בחברת חשמל מאיים לגבות כספים מעובדים פשוטים בכדי לכסות על חריגות השכר של ההנהלה הבכירה </t>
  </si>
  <si>
    <t>שרן השכל</t>
  </si>
  <si>
    <t>שלי יחימוביץ</t>
  </si>
  <si>
    <t>ג'מעה אזברגה</t>
  </si>
  <si>
    <t xml:space="preserve">נוהל לבחירת גורם מפעיל או להעברת בעלות של מוסד חינוך עי רשויות מקומיות </t>
  </si>
  <si>
    <t xml:space="preserve">תקנות בתי המשפט (אגרות)(תיקון מס), התשעז-2017 </t>
  </si>
  <si>
    <t xml:space="preserve">הצעת חוק הסדרת הלוואות חוץ-בנקאיות (תיקון מס 3), התשעה-2015  </t>
  </si>
  <si>
    <t xml:space="preserve">תהליכי אימוץ במדינת ישראל בעבר ובהווה והשלכתם על פרשת היעלמותם של ילדי תימן, מזרח והבלקן  </t>
  </si>
  <si>
    <t xml:space="preserve">1. הצעת חוק לתיקון פקודת מס הכנסה (מוסד הפועל לטובת מדינת ישראל), התשעז-2017 - פ/3667/20 בצלאל סמוטריץ, מכלוף מיקי זוהר, דוד ביטן, עודד פורר, יואב קיש, דוד אמסלם, מירב בן ארי, יצחק וקנין, שולי מועלם-רפאלי, מרדכי יוגב , יואב בן צור, מנחם אליעזר מוזס, יגאל גואטה, אמיר אוחנה, שרן השכל, אורן אסף חזן, נורית קורן, רוברט אילטוב, חמד עמאר 2. דיון עקרוני על הקריטריונים לאישור מוסדות ציבור לפי סעיף 46 לפקודת מס הכנסה 3. אישור מוסדות ציבור לעניין סעיף 46 לפקודת מס הכנסה (רשימה שסימנה: 11-369-17) </t>
  </si>
  <si>
    <t xml:space="preserve">תקנות חלוקת חיסכון פנסיוני בין בני זוג שנפרדו, התשעז-2017 </t>
  </si>
  <si>
    <t xml:space="preserve">הצעת חוק דמי מחלה (תיקון -  ניכוי ימי מחלה), התשעו-2016 </t>
  </si>
  <si>
    <t xml:space="preserve">תקנות הפיקוח על מזון לבעלי חיים (ועדה מקצועית מייעצת), התשעז-2016 </t>
  </si>
  <si>
    <t xml:space="preserve">1. תקנות הפיקוח על יצוא ביטחוני (פטור מרישיון יצוא ביטחוני), התשע"ז - 2017 2. תקנות הפיקוח על יצוא ביטחוני ( פטור מרישיון יצוא ביטחוני)(תיקון), התשע"ז-2017 </t>
  </si>
  <si>
    <t>הוועדה המיוחדת למאבק בנגעי הסמים והאלכוהול</t>
  </si>
  <si>
    <t xml:space="preserve">יישום המתווה להסדרת השימוש בקנאביס רפואי בישראל - דיון מעקב מיום 22.11.16 בהשתתפות: המשנה למנכל משרד הבריאות פרופ ארנון אפק </t>
  </si>
  <si>
    <t xml:space="preserve">הצעת חוק לתיקון פקודת המשטרה (תיקון מס 32) (התאמה תעסוקתית), התשעו-2016 </t>
  </si>
  <si>
    <t>2017-05-16</t>
  </si>
  <si>
    <t xml:space="preserve">מכרז להזמנת מדים לשוטרי משטרת ישראל </t>
  </si>
  <si>
    <t>אלי כהן</t>
  </si>
  <si>
    <t xml:space="preserve">הצעת חוק לתיקון פקודת התעבורה (מס 117) (קווי שירות למוניות), התשעז-2016 </t>
  </si>
  <si>
    <t>יצחק כהן</t>
  </si>
  <si>
    <t xml:space="preserve">הצעת חוק הגנת הצרכן (תיקון מס 51) (שינוי תכנית הטבות לצרכן או סיומה), התשעז-2017 </t>
  </si>
  <si>
    <t>עאידה תומא סלימאן</t>
  </si>
  <si>
    <t>הוועדה לקידום מעמד האישה ולשוויון מגדרי</t>
  </si>
  <si>
    <t xml:space="preserve">הטרדות מיניות בדיור הציבורי </t>
  </si>
  <si>
    <t>אורלי לוי-אבקסיס</t>
  </si>
  <si>
    <t>ועדת  המדע  והטכנולוגיה</t>
  </si>
  <si>
    <t xml:space="preserve">צו עסקאות גופים ציבוריים (שינוי התוספת לחוק), התשעז-2017 </t>
  </si>
  <si>
    <t>הוועדה המיוחדת לזכויות הילד</t>
  </si>
  <si>
    <t xml:space="preserve">שילוב תלמידים ממוצא אתיופי במערכת החינוך  </t>
  </si>
  <si>
    <t xml:space="preserve">הצעת חוק המאבק בטרור, התשעה-2015 - החלק הנותר </t>
  </si>
  <si>
    <t xml:space="preserve">הצעת חוק חדלות פירעון ושיקום כלכלי, התשעו-2016 </t>
  </si>
  <si>
    <t xml:space="preserve">הצעת חוק בנק ישראל (תיקון מס 4) (הוועדה ליציבות פיננסית), התשעז-2017  </t>
  </si>
  <si>
    <t xml:space="preserve">1. קביעת חברת נתע בעמ כגוף אחר - סעיפים 22(2ב) ו-22א לפקודת הקרקעות (רכישה לצרכי ציבור), 1943 2. קביעת חברת נתיבי איילון בעמ כגוף אחר – סעיפים 22(2ב) ו-22א לפקודת הקרקעות (רכישה לצרכי ציבור), 1943 </t>
  </si>
  <si>
    <t xml:space="preserve">תקנות לעידוד השקעות הון (הכנסה טכנולוגית מועדפת ורווח הון למפעל טכנולוגי), התשעז-2017 </t>
  </si>
  <si>
    <t>הוועדה המיוחדת ליישום הנגשת המידע הממשלתי ועקרונות שקיפותו לציבור</t>
  </si>
  <si>
    <t xml:space="preserve">שקיפות בפעילות החטיבה להתיישבות לאור חזרתה לפעילות - בקשתה של חכ מיכל רוזין  </t>
  </si>
  <si>
    <t>סתיו שפיר</t>
  </si>
  <si>
    <t xml:space="preserve">1. תקנות המיסים(גביה) (תשלום לצד שלישי שהומצא לו צו עיקול בדרך אלקטרונית), התשעה-2015 2. תקנות המיסים (גבייה) (קביעת הוצאות מרביות) (תיקון), התשעה-2015 </t>
  </si>
  <si>
    <t>מירב  בן-ארי</t>
  </si>
  <si>
    <t xml:space="preserve">חינוך טכנולוגי בכפרי הנוער </t>
  </si>
  <si>
    <t>2017-05-17</t>
  </si>
  <si>
    <t xml:space="preserve">הכשרות ואישורים של פועלי הבנייה לגובה. אישורים לפיגומים לצורך העבודה בגובה. פיקוח על העבודה בגובה. </t>
  </si>
  <si>
    <t xml:space="preserve">הקצאת המים לחקלאות </t>
  </si>
  <si>
    <t xml:space="preserve">דיון על יישום ההטבות בתעריפי המים לאוכלוסיות זכאיות  </t>
  </si>
  <si>
    <t xml:space="preserve">בלימת הקטל בדרכים - סיכום שנת 2016 והתכנית לשנת 2017 של משטרת ישראל </t>
  </si>
  <si>
    <t>גלעד ארדן</t>
  </si>
  <si>
    <t>ועדת המשנה לעניין בטיחות בעבודה בענף הבנין</t>
  </si>
  <si>
    <t xml:space="preserve">1. עדכון יישום החלטת הממשלה להפחתת פליטות גזי חממה 2. חינוך והסברה להיערכות לשינויי האקלים ולקידום פעילות להפחתת פלטות גזי חממה </t>
  </si>
  <si>
    <t>ועדת המשנה לנושא קידום טכנולוגיות לאנרגיה מתחדשת - פיקוח ומעקב אחר יישום החלטות ועידת פריז</t>
  </si>
  <si>
    <t>אורי יהודה אריאל</t>
  </si>
  <si>
    <t xml:space="preserve">הצעת חוק המועצות האזוריות (מועד בחירות כלליות) (תיקון מס 10), התשעז-2017 </t>
  </si>
  <si>
    <t xml:space="preserve">הצעת חוק הדרכונים (תיקון - מתן דרכון לעולה), התשעז-2017 </t>
  </si>
  <si>
    <t>סופה לנדבר</t>
  </si>
  <si>
    <t>2017-05-21</t>
  </si>
  <si>
    <t>הוועדה המיוחדת לפניות הציבור</t>
  </si>
  <si>
    <t xml:space="preserve">פניות ציבור בנושא שריפות הענק וזיהום האויר באתרי פסולת סביב העיר אשדוד </t>
  </si>
  <si>
    <t>2017-05-22</t>
  </si>
  <si>
    <t xml:space="preserve">תקנות מס הכנסה (כללים לאישור ולניהול קופות גמל)(תיקון), התשעז-2017 </t>
  </si>
  <si>
    <t xml:space="preserve">צו הגנה על בריאות הציבור(מזון)(תחילת הוראות החוק לעניין ייצור, ייבוא, ייצוא ושיווק של משקאות משכרים), התשעז-2017 </t>
  </si>
  <si>
    <t xml:space="preserve">1. הצעת חוק קליטת חיילים משוחררים (תיקון מס 18), התשעז-2017 </t>
  </si>
  <si>
    <t xml:space="preserve">הצעת חוק הגבלת גישה לאתר אינטרנט לשם מניעת ביצוע עבירות, התשעה-2014 </t>
  </si>
  <si>
    <t xml:space="preserve">כניסתן של חברות פרטיות שנותנות שירותי תפעול בעקבות חקיקת פרק הייעוץ הפנסיוני והשיווק הפנסיוני בחוק התכנית הכלכלית (תיקוני חקיקה ליישום המדיניות הכלכלית לשנות התקציב 2015 ו-2016), התשעו-2015 </t>
  </si>
  <si>
    <t xml:space="preserve">אישור שילוב פרסומת מסחרית במוסדות חינוך – התשעו </t>
  </si>
  <si>
    <t xml:space="preserve">הצעת חוק עובדים זרים (תיקון מס 20) (הגנה על עובדים זרים), התשעז-2017 </t>
  </si>
  <si>
    <t>יהודה יהושע גליק</t>
  </si>
  <si>
    <t>2017-05-23</t>
  </si>
  <si>
    <t xml:space="preserve">הצעת חוק איסור הפליה במוצרים, בשירותים ובכניסה למקומות בידור ולמקומות ציבוריים (תיקון מס 4), התשעה-2014 </t>
  </si>
  <si>
    <t xml:space="preserve">הצעת חוק השכירות והשאילה (תיקון), התשעו-2016 </t>
  </si>
  <si>
    <t>ועדת העלייה, הקליטה והתפוצות</t>
  </si>
  <si>
    <t xml:space="preserve">סיפור העלייה מאתיופיה דרך סודן וגורל נעדרי סודן  </t>
  </si>
  <si>
    <t>2017-05-24</t>
  </si>
  <si>
    <t xml:space="preserve">1. החשש להמשך תמיכת אוניברסיטת בן גוריון בפעילות BDS 2. החשש להמשך תמיכת אוניברסיטת בן גוריון בפעילות BDS 3. החשש להמשך תמיכת אוניברסיטת בן גוריון בפעילות BDS </t>
  </si>
  <si>
    <t>הוועדה לענייני ביקורת המדינה</t>
  </si>
  <si>
    <t xml:space="preserve">זיהומי מים בין מדינת ישראל לשטחי יהודה, שומרון ורצועת עזה דוח 67ב כרך שלישי עמ 1481 </t>
  </si>
  <si>
    <t xml:space="preserve">הרפורמה ביחסים שבין הממשלה לכנסת </t>
  </si>
  <si>
    <t xml:space="preserve">תחקיר ערוץ 10- אפליית מחפשות עבודה העוטות חיגאב ברשתות הפארם  </t>
  </si>
  <si>
    <t xml:space="preserve">תקנות הנמלים (תיקון), התשע"ז-2017 , בדבר ניהול התעבורה הימית בנמלים, הענקת סמכויות לרב חובל הנמל והניתוב בנמלים </t>
  </si>
  <si>
    <t>עפר שלח</t>
  </si>
  <si>
    <t xml:space="preserve">1. בקשת חה"כ דוד ביטן, יושב-ראש הקואליציה להוספת חברים בוועדת החוקה, חוק ומשפט.	 - רביזיה  2. הצעת חוק קליטת חיילים משוחררים (תיקון מס' 19), התשע"ז-2017 </t>
  </si>
  <si>
    <t xml:space="preserve">הצעת חוק העונשין (תיקון מס 124) (עבירות המתה), התשעו-2015 </t>
  </si>
  <si>
    <t xml:space="preserve">1. בקשת חהכ דוד ביטן, יושב-ראש הקואליציה להוספת חברים בוועדת החוקה, חוק ומשפט.	 2. הצעת חוק קליטת חיילים משוחררים (תיקון מס 18), התשעז-2017 3. הצעת חוק קליטת חיילים משוחררים (תיקון - הארכת תקופת מימוש הזכאות לפיקדון), התשעה-2015 - מיזוג  </t>
  </si>
  <si>
    <t xml:space="preserve">1. שביתת העוזרים המשפטיים לשופטים במחאה על תנאי העסקתם ומניעת פיטוריהם 2. שביתת העוזרים המשפטיים לשופטים במחאה על תנאי העסקתם ומניעת פיטוריהם 3.  שביתת העוזרים המשפטיים לשופטים במחאה על תנאי העסקתם ומניעת פיטוריהם 4. שביתת העוזרים המשפטיים לשופטים במחאה על תנאי העסקתם ומניעת פיטוריהם </t>
  </si>
  <si>
    <t xml:space="preserve">תיקון התקנון האחיד (תיקון 10) (שינוי התקנון של קרנות הפנסיה הוותיקות שבהסדר </t>
  </si>
  <si>
    <t xml:space="preserve">ממצאי הבדיקה בנושא המשכנתאות של הממונה על ההגבלים העסקיים, בהשתתפות הממונה על ההגבלים העסקיים עוד מיכל הלפרין </t>
  </si>
  <si>
    <t xml:space="preserve">שינוי בהרכב חברי ועדת המשנה לנושאי בטחון פנים  </t>
  </si>
  <si>
    <t xml:space="preserve">תקנות הנמלים (ניהול התעבורה הימית), התשעז-2017 </t>
  </si>
  <si>
    <t>איילת שקד</t>
  </si>
  <si>
    <t>יריב לוין</t>
  </si>
  <si>
    <t xml:space="preserve">חופי הים בישראל - דיווח פרטני על חופים בתשלום - ישיבת מעקב </t>
  </si>
  <si>
    <t>טלב אבו עראר</t>
  </si>
  <si>
    <t>2017-05-25</t>
  </si>
  <si>
    <t xml:space="preserve">הצעת חוק הנכים (תגמולים ושיקום) (תיקון מס 30), התשעז-2017 </t>
  </si>
  <si>
    <t>2017-05-29</t>
  </si>
  <si>
    <t xml:space="preserve">הארכת תוקף חוק האזרחות והכניסה לישראל (הוראת שעה), התשס"ג-2003 </t>
  </si>
  <si>
    <t xml:space="preserve">1. אסדרת פעילות הדואר במסירת דואר בינלאומי - הצעה לדיון מהיר של חכ  רועי פולקמן 2. אסדרת פעילות הדואר במסירת דואר בינלאומי - הצעה לדיון מהיר של  חכ יעקב אשר </t>
  </si>
  <si>
    <t xml:space="preserve">שימוש בעודפי תקציב משנת 2016 לשנת 2017 </t>
  </si>
  <si>
    <t xml:space="preserve">פתרונות דיור בקהילה לכ-700 דיירי מרכז הקליטה מבשרת שיפונו תוך 3 חודשים  </t>
  </si>
  <si>
    <t xml:space="preserve">התמודדות הורים לילדים עם מום לבבי מול המוסד לביטוח לאומי  </t>
  </si>
  <si>
    <t xml:space="preserve">1. שביתת הרעב של האסירים בבתי כלא 2. שביתת הרעב של האסירים בבתי כלא </t>
  </si>
  <si>
    <t xml:space="preserve">ירושלים -1. מודל להתחדשות עירונית 2.  תכנית תברואה וסביבה במזרח ירושלים </t>
  </si>
  <si>
    <t xml:space="preserve">מצוקת מבני החינוך בירושלים ותקציב העירייה  </t>
  </si>
  <si>
    <t xml:space="preserve">פניות ציבור בנושא העיכוב בסלילת מסילת הרכבת הקלה לבית החולים הדסה עין כרם - ישיבת מעקב               </t>
  </si>
  <si>
    <t xml:space="preserve">השבת אקדמאים ומדענים לארץ - תוכניות, הישגים, אתגרים </t>
  </si>
  <si>
    <t>ועדה משותפת כלכלה ופנים לדיון בהצ"ח תאגידי מים וביוב</t>
  </si>
  <si>
    <t xml:space="preserve">1. הצעת חוק תאגידי מים וביוב (תיקון - צמצום מספר תאגידי המים והביוב), התשעז-2016 2. הצעת חוק תאגידי מים וביוב (תיקון - צמצום מספר תאגידי המים והביוב), התשעז-2016 </t>
  </si>
  <si>
    <t>איציק שמולי</t>
  </si>
  <si>
    <t xml:space="preserve">הגידול בהיקף תופעת המינים הפולשים ודרכי הטיפול בה </t>
  </si>
  <si>
    <t xml:space="preserve">1. הצעת חוק חינוך חינם לילדים חולים (תיקון – הגדרת ילד חולה), התשעו–2015   2. הצעת חוק חינוך חינם לילדים חולים (תיקון - הגדרת ילד חולה), התשעו-2016 </t>
  </si>
  <si>
    <t xml:space="preserve">1. הקמת ועדת משנה לבחינת ימי הלימודים במערכת החינוך 2. מחסור בכיתות לימוד בירושלים בכל המגזרים - לציון יום ירושלים </t>
  </si>
  <si>
    <t>ועדת משנה לבחינת התנהלות הבנקים והגופים המוסדיים בהעמדת אשראי ללווים מסוימים</t>
  </si>
  <si>
    <t xml:space="preserve">הפעולות שנקטו בפיקוח על הבנקים לטיפול בכשלי אשראי ללוים הגדולים </t>
  </si>
  <si>
    <t xml:space="preserve">חיילות דתיות בצהל- צרכים וחסמים </t>
  </si>
  <si>
    <t xml:space="preserve">התמודדות משטרת ישראל עם הפשיעה החקלאית דוח 67ב כרך שלישי, עמ 1297 </t>
  </si>
  <si>
    <t xml:space="preserve">תקנות בתי המשפט (רשימת מגשרים), התשעו-2016 </t>
  </si>
  <si>
    <t>ועדה משותפת לוועדת הכנסת וועדת המדע לדיון בהלס"י בנושא אבטחת מאגרי מידע ממשלתיים ואופן השימוש בהם</t>
  </si>
  <si>
    <t xml:space="preserve">הצעה לסדר-היום בנושא: אבטחת מאגרי מידע ממשלתיים ואופן השימוש בהם </t>
  </si>
  <si>
    <t xml:space="preserve">מדיניות הרשות הפלסטינית ביחס להסתה נגד ישראל </t>
  </si>
  <si>
    <t>קסניה סבטלובה</t>
  </si>
  <si>
    <t xml:space="preserve">הצעת חוק קליטת חיילים משוחררים (תיקון מס 18), התשעז-2017 </t>
  </si>
  <si>
    <t>ועדה משותפת לתקציב הכנסת</t>
  </si>
  <si>
    <t xml:space="preserve">שקיפות במימוש תכניות העבודה הממשלתיות - דיון מעקב </t>
  </si>
  <si>
    <t xml:space="preserve">הצעת חוק שירותי הסעד (תיקון - הקמת מרכזי מיצוי זכויות), התשעה-2015 </t>
  </si>
  <si>
    <t>ועדה משותפת חוץ וביטחון ופנים לדיון בהארכת תוקף חוק האזרחות והכניסה לישראל</t>
  </si>
  <si>
    <t>2017-06-05</t>
  </si>
  <si>
    <t xml:space="preserve">1. מפגע סביבתי חמור כתוצאה מפעילות מפחמות בשטחי הרשות הפלשתינית Aו-B - ישיבת מעקב 2. זיהום אויר כתוצאת משריפת פסולת בשטחי הרשות הפלשתינית </t>
  </si>
  <si>
    <t xml:space="preserve">1. מתקן ההתפלה של חברת מקורות באשדוד ומצבה הכלכלי של החברה תחת השפעת תיקון 27 לחוק המים - (יעל כהן-פארן 6789)  2. מתקן ההתפלה של חברת מקורות באשדוד, מצבה הכלכלי של החברה ומחיר המים - (גמאל זחאלקה 6803)  3. מתקן ההתפלה של חברת מקורות באשדוד ומצבה הכלכלי של החברה תחת השפעת תיקון 27 לחוק המים - (מיקי לוי 6847) </t>
  </si>
  <si>
    <t xml:space="preserve">הצעת חוק לתיקון פקודת התעבורה (מס 116), התשעז-2016 </t>
  </si>
  <si>
    <t xml:space="preserve">הצעת חוק לתיקון פקודת ביטוח רכב מנועי [נוסח חדש] (מס 22), התשעז-2017 </t>
  </si>
  <si>
    <t>קארין אלהרר</t>
  </si>
  <si>
    <t xml:space="preserve">טיפול המוסד לביטוח לאומי בתביעות נגד צד שלישי (שיבוב) - דוח מבקר המדינה 67ב - ישיבה משותפת עם ועדת העבודה הרווחה והבריאות </t>
  </si>
  <si>
    <t xml:space="preserve">ישיבת משותפת של ועדת העבודה, הרווחה והבריאות והוועדה לביקורת המדינה . על סדר היום: דוח מבקר המדינה 2017 - טיפול המוסד לביטוח לאומי בתביעות  נגד צד שלישי (שיבוב) </t>
  </si>
  <si>
    <t xml:space="preserve">1. מעקב אחרי תכנית החומש למגזר הדרוזי והצרקסי - (חמד עמאר 5556)  2. מעקב אחרי תוכנית החומש למגזר הדרוזי והצרקסי - (איתן ברושי 5557)  3. מעקב אחרי תכנית החומש למגזר הדרוזי והצרקסי - (מיקי לוי 5558)  4. מעקב אחרי תכנית החומש למגזר הדרוזי והצרקסי - (עבדאללה אבו מערוף 5562)  5. מעקב אחרי תכנית החומש למגזר הדרוזי והצרקסי - (בצלאל סמוטריץ 5563)  6. מעקב אחרי תכנית החומש למגזר הדרוזי והצרקסי - (טלי פלוסקוב 5573)  7. מעקב אחרי תכנית החומש למגזר הדרוזי והצרקסי - (נאוה בוקר 5580) </t>
  </si>
  <si>
    <t xml:space="preserve">1. הר החובות של משקי הבית תופח וחצה את רף החצי טריליון ש״ח - (זהבה גלאון 6667)  2. הר החובות של משקי הבית תופח וחצה את רף החצי טריליון ש״ח - (אורי מקלב 6683)  3. הר החובות של משקי הבית תופח וחצה את רף החצי טריליון ש״ח - (מיקי (מכלוף) זוהר 6687)  4. הר החובות של משקי הבית תופח וחצה את רף החצי טריליון ש״ח - (אחמד טיבי 6696) </t>
  </si>
  <si>
    <t xml:space="preserve">1. דיווח על פעילות הקרן לשמירת הניקיון בהתאם לסעיפים 10(ו) ו-11(יג) לחוק שמירת הניקיון התשמד-1984 2. הצעת חוק שמירת הניקיון (תיקון מס 22) (מטרות כספי היטל הטמנה), התשעז-2016 - הכנה לקריאה שניה ושלישית </t>
  </si>
  <si>
    <t xml:space="preserve">סבסוד קייטנות לשנת 2017 </t>
  </si>
  <si>
    <t xml:space="preserve">צו איסור הלבנת הון (חובות זיהוי, דיווח וניהול רישומים של מנהל תיקים למניעת הלבנת הון ומימון טרור)(תיקון), התשעז-2017 </t>
  </si>
  <si>
    <t xml:space="preserve">צו ההוצאה לפועל (סגירת לשכה), התשעז-2017 </t>
  </si>
  <si>
    <t xml:space="preserve">1. מסקנות ועדת ההסדרה ותוכנית משרד הבריאות לסימון מוצרי מזון בריאים ולא בריאים 2. הצעה לסדר-היום בנושא: תכנית משרד הבריאות לסימון מוצרי מזון בריאים ולא בריאים 3. התכנית להסטת פעילות  ממימון פרטי לציבורי וקיצור תורים </t>
  </si>
  <si>
    <t>2017-06-06</t>
  </si>
  <si>
    <t xml:space="preserve">ישיבת ועדת הכספים </t>
  </si>
  <si>
    <t xml:space="preserve">מענים לילדים אלרגיים וזקוקי השגחה בגילאי לידה עד שלוש  </t>
  </si>
  <si>
    <t xml:space="preserve">הצעת חוק הביטוח הלאומי (תיקון - הרחבת הגדרת ילד לעניין קצבת נפגעי עבודה), התשעז-2017 </t>
  </si>
  <si>
    <t>ועדת משנה לבטיחות בדרכים</t>
  </si>
  <si>
    <t xml:space="preserve">מעורבות אוטובוסים וכלי רכב כבדים בתאונות הדרכים וקידום הטכוגרף הדיגיטלי </t>
  </si>
  <si>
    <t xml:space="preserve">יישום פרויקט קווי הזנק לאזורי תעסוקה </t>
  </si>
  <si>
    <t xml:space="preserve">עדויות של בני משפחות הנעלמים מפרשת  היעלמותם של ילדי תימן, מזרח והבלקן </t>
  </si>
  <si>
    <t xml:space="preserve">דיון מיוחד לציון יובל למלחמת ששת הימים בנושא: יחסי הגומלין בין הכנסת ובין אזרחי ישראל תושבי יהודה ושומרון </t>
  </si>
  <si>
    <t xml:space="preserve">הצעת חוק לתיקון דיני הראיות (הגנת ילדים) (תיקון - הגנה על ילדים נפגעי עבירות מין או אלימות בעת מתן עדות בבתי המשפט), התשעו-2016 </t>
  </si>
  <si>
    <t xml:space="preserve">1. הצעת חוק החזקת מזרקי אפינפרין במקומות ציבוריים, התשעה-2015 2. הצעת חוק חובת החזקת תכשיר אפינפרין במקומות ציבוריים, התשעו-2016 </t>
  </si>
  <si>
    <t xml:space="preserve">המתווה להסדר החוב של אליעזר פישמן ובני משפחתו </t>
  </si>
  <si>
    <t xml:space="preserve">הצעת חוק העיצובים, התשעה-2015 </t>
  </si>
  <si>
    <t xml:space="preserve">הצגת תוכנית מועצת ישע לפיתוח הישובים ביהודה ושומרון  </t>
  </si>
  <si>
    <t>יואב גלנט</t>
  </si>
  <si>
    <t>2017-06-07</t>
  </si>
  <si>
    <t xml:space="preserve">הצעה לסדר-היום בנושא: קריסת התחבורה הציבורית במירון - לג בעומר </t>
  </si>
  <si>
    <t xml:space="preserve">1. הצעת חוק לתיקון פקודת הבטיחות בעבודה (הגדרת אדם כשיר), התשעז-2017 2. צו להגברת האכיפה של דיני העבודה(שינוי התוספת השנייה לחוק), התשעז 2017 </t>
  </si>
  <si>
    <t>חיים כץ</t>
  </si>
  <si>
    <t xml:space="preserve">ועמ"ש לתכנון לאומי- בהשתתפות המועצה הלאומית לכלכלה </t>
  </si>
  <si>
    <t xml:space="preserve">1. הצעת חוק נכסים של נספי השואה (השבה ליורשים והקדשה למטרות סיוע והנצחה) (תיקון מס 4) (סיום פעילות החברה והעברה לאפוטרופוס הכללי), התשעז-2017 - הכנה לקריאה שניה ושלישית 2. הצעת חוק נכסים של נספי השואה (השבה ליורשים והקדשה למטרות סיוע והנצחה) (תיקון - סיוע לניצולי שואה הזקוקים לכך), התשעו-2016 - הכנה לקריאה ראשונה </t>
  </si>
  <si>
    <t xml:space="preserve">גביית אגרות על ידי משרד החקלאות ופיתוח הכפר עבור חיסונים לכלבים  </t>
  </si>
  <si>
    <t xml:space="preserve">הצעה לסדר-היום בנושא: התערבות הייעוץ המשפטי ומשטרת ישראל באירועי הקפות השניות ובאירועים תרבותיים יחודיים </t>
  </si>
  <si>
    <t xml:space="preserve">הצעה לסדר-היום בנושא: הצורך לשדרג את המקומות הקדושים בישראל כולל קבר רחל וקבר רבי עובדיה מברטנורא </t>
  </si>
  <si>
    <t>2017-06-12</t>
  </si>
  <si>
    <t xml:space="preserve">תקנות הדרכונים (תיקון מס 2), התשעז-2017  </t>
  </si>
  <si>
    <t xml:space="preserve">פגיעה במחקר המדעי בישראל על ידי רשות המיסים (מיסוי מלגות) - ישיבה משותפת  לוועדות מדע וטכנולוגיה-כספים </t>
  </si>
  <si>
    <t xml:space="preserve">צו איסור הלבנת הון (חובות זיהוי, דיווח וניהול רישומים של חבר בורסה למניעת הלבנת הון ומימון טרור)(תיקון מס 2), התשעז-2017 </t>
  </si>
  <si>
    <t xml:space="preserve">הצעת חוק איסור הלבנת הון (תיקון מס 19), התשעז-2016 </t>
  </si>
  <si>
    <t xml:space="preserve">דיון ביוזמת חהכ אורלי לוי-אבקסיס בנושא.:  גביית מזונות ילדים שאינם משולמים, על ידי ההוצאה לפועל </t>
  </si>
  <si>
    <t xml:space="preserve">הפצת מידע כוזב ותקיפות סייבר לשם השפעה על מערכות בחירות </t>
  </si>
  <si>
    <t xml:space="preserve">לאן נעלמו עשרה מיליון צליינים תיירים? </t>
  </si>
  <si>
    <t xml:space="preserve">אישור מוסדות ציבור לעניין סעיף 46 לפקודת מס הכנסה (רשימה שסימנה 11-431-17) </t>
  </si>
  <si>
    <t xml:space="preserve">ישיבה משותפת (כספים-מדע וטכנולוגיה) - פגיעה במחקר המדעי בישראל על ידי רשות המיסים (מיסוי מלגות), הצעתם של חברי הכנסת: בצלאל סמוטריץ, עודד פורר, רועי פולקמן, מנואל טרכטנברג </t>
  </si>
  <si>
    <t xml:space="preserve">1. פיקוח הרבנות הראשית ומשרד הבריאות על עבודתם של המוהלים 2. דווח השר לשירותי דת על פעילות משרדו </t>
  </si>
  <si>
    <t>דוד אזולאי</t>
  </si>
  <si>
    <t xml:space="preserve">תקנות הסדרים במשק המדינה (ארנונה כללית ברשויות המקומיות)(הוראת שעה), התשעז-2017 </t>
  </si>
  <si>
    <t>2017-06-13</t>
  </si>
  <si>
    <t xml:space="preserve">פיקוח על תקציב משרד התיירות על שינויו לשנים 2016-2017 - בהשתתפות שר התיירות מר יריב לוין </t>
  </si>
  <si>
    <t xml:space="preserve">1. חשש מהעברת מיזם תמנע לירדן ופיטורי מאות עובדים בדרום - (מיקי לוי 5327)  2. חשש מהעברת מיזם תמנע לירדן ופיטורי מאות עובדים בדרום - (דוד ביטן 5338)  3. חשש מהעברת מיזם תמנע לירדן ופיטורי מאות עובדים בדרום - (אראל מרגלית 5344) </t>
  </si>
  <si>
    <t xml:space="preserve">הצעת חוק הסדרים במשק המדינה (תיקוני חקיקה להשגת יעדי התקציב) (תיקון מס 15) (הרחבת ההגדרה נכס המשמש למגורי נכה), התשעז-2017 </t>
  </si>
  <si>
    <t xml:space="preserve">הצעת חוק חניה לנכים (תיקון מס 7) (הקצאת מקום חניה לנכה סמוך למקום מגוריו), התשעז-2017 </t>
  </si>
  <si>
    <t xml:space="preserve">קביעת נהלי עבודה של הצוות הבינמשרדי לשם איתור מידע בפניות של  משפחות הנעלמים מפרשת ילדי תימן, מזרח והבלקן  </t>
  </si>
  <si>
    <t xml:space="preserve">בחירת ממלא מקום ליור הכנסת בעת העדרו מהארץ </t>
  </si>
  <si>
    <t xml:space="preserve">התערבות בנק ישראל ברכישת מטח – מעקב, הצעתו של חכ יואב קיש </t>
  </si>
  <si>
    <t xml:space="preserve">שילוב בעלי לקות ראייה בצה"ל ובשירות הלאומי אזרחי </t>
  </si>
  <si>
    <t xml:space="preserve">1. תקנות הביטוח הלאומי (מתנדבים) (תיקון), התשעז-2017 2. דיווח משרד העבודה, הרווחה והשירותים החברתיים על יישום חוק אומנה לילדים התשעו 2016, על פי סעיף 91 לחוק </t>
  </si>
  <si>
    <t xml:space="preserve">במסגרת ציון יום הבליינדיי בשיתוף המרכז העיוור בישראל: על סדר היום: שימור המומחיות הנדרשת למתן שירותים לאנשים עם עיוורון </t>
  </si>
  <si>
    <t xml:space="preserve">1. היעדר תפקוד ועדת התלונות נגד פסיכולוגים במשרד הבריאות 2. היעדר תפקוד ועדת התלונות נגד פסיכולוגים במשרד הבריאות </t>
  </si>
  <si>
    <t xml:space="preserve">תקנות המקרקעין (החלפת ספק גז בבית משותף) (שינוי התוספת לחוק), התשעו-2016 </t>
  </si>
  <si>
    <t>2017-06-14</t>
  </si>
  <si>
    <t xml:space="preserve">כשלים בגיבושה ובהפעלתה של התכנית האסטרטגית לעידוד ההתיישבות ולחיזוקה - דוח מבקר המדינה 67ב </t>
  </si>
  <si>
    <t xml:space="preserve">הצעת חוק הפיקוח על שירותים פיננסיים (שירותים פיננסיים מוסדרים) (תיקון) (שירותי פיקדון ואשראי בלא ריבית), התשעז-2016 </t>
  </si>
  <si>
    <t xml:space="preserve">הצעת חוק ביטוח בריאות ממלכתי (תיקון מס 62) (חממות טכנולוגיות וחברות הזנק), התשעז-2017  </t>
  </si>
  <si>
    <t xml:space="preserve">פסולת ביולוגית? -מחקרים רפואיים בילדי תימן, מזרח והבלקן  </t>
  </si>
  <si>
    <t xml:space="preserve">הצעת חוק המכינות הקדם-צבאיות (תיקון - הכרה בצעירים עם מוגבלות כחניכי מכינות), התשעו-2016 </t>
  </si>
  <si>
    <t>עמר בר-לב</t>
  </si>
  <si>
    <t xml:space="preserve">תקנות הפיקוח על יצוא ביטחוני (פטור מרישיון שיווק ביטחוני)(תיקון), תשע"ז-2017 </t>
  </si>
  <si>
    <t>2017-06-19</t>
  </si>
  <si>
    <t xml:space="preserve">1. דוח נציבות תלונות הציבור על מייצגי המדינה בערכאות בעניין התנהלות הפרקליטות מול המרכז לרפואה משפטית 2. דוח נציבות תלונות הציבור על מייצגי המדינה בערכאות בעניין התנהלות הפרקליטות מול המרכז לרפואה משפטית 3. דוח נציבות תלונות הציבור על מייצגי המדינה בערכאות בעניין התנהלות הפרקליטות מול המרכז לרפואה משפטית 4. דוח נציבות תלונות הציבור על מייצגי המדינה בערכאות בעניין התנהלות הפרקליטות מול המרכז לרפואה משפטית 5. דוח נציבות תלונות הציבור על מייצגי המדינה בערכאות בעניין התנהלות הפרקליטות מול המרכז לרפואה משפטית </t>
  </si>
  <si>
    <t xml:space="preserve">הצעת חוק חופשה שנתית (תיקון - חופשה ביום שבו מתקיימות בחירות מקדימות במפלגה שבה חבר העובד), התשעז-2017 </t>
  </si>
  <si>
    <t xml:space="preserve">הצעת חוק הביטוח הלאומי (תיקון - מניין שהות בישראל לעניין תושבות), התשעז-2016 </t>
  </si>
  <si>
    <t xml:space="preserve">1. הארכת תוקף כהונתה של הוועדה המיוחדת לפרשת היעלמותם של ילדי תימן, מזרח והבלקן 2. הצעת חוק להסדרת הביטחון בגופים ציבוריים (תיקון מס 8) (פעולות אבטחה ימית), התשעז-2017 - בקשה להעברת הצעת החוק מוועדת הפנים והגנת הסביבה לדיון בוועדת החוץ והביטחון. </t>
  </si>
  <si>
    <t xml:space="preserve">1. הצעת חוק להסדרת הצבה של כוורת וייצור דבש, התשעד-2014 2. הצעת חוק להסדרת רעיית דבורים וייצור דבש, התשעה-2015 3. הצעת חוק להסדרת רעיית דבורים וייצור דבש, התשעו-2015 </t>
  </si>
  <si>
    <t xml:space="preserve">הצעת חוק הפיקוח על צעצועים מסוכנים, התשעד-2014 </t>
  </si>
  <si>
    <t xml:space="preserve">סעיף 163 - מתוך פרק י (תשתיות להולכה ולאחסון של נפט), מתוך הצעת חוק ההתייעלות הכלכלית (תיקוני חקיקה להשגת יעדי התקציב לשנות 2017 ו-2018), התשעז-2016 </t>
  </si>
  <si>
    <t xml:space="preserve">הצעת חוק הדרכונים (תיקון מס 9) (מתן דרכון לעולה), התשעז-2017 </t>
  </si>
  <si>
    <t xml:space="preserve">1. ייצוג עצמי לרבנות הראשית בעתירות בעניין הכותל 2. יצוג עצמי לרבנות הראשית בעתירות בעניין הכותל </t>
  </si>
  <si>
    <t>2017-06-20</t>
  </si>
  <si>
    <t xml:space="preserve"> חשיפות וממצאים חדשים - סיכום ביניים על עבודת הוועדה בפרשת ילדי תימן, מזרח והבלקן  </t>
  </si>
  <si>
    <t xml:space="preserve">1. החשש מסגירת מפעל תעשיות מתכת במושב שתולה ופיטורי מאות עובדים - (מיקי לוי 5965)  2. החשש מסגירת מפעל תעשיות מתכת במושב שתולה ופיטורי מאות עובדים - (יצחק וקנין 5992)  3. החשש מסגירת מפעל תעשיות מתכתב במושב שתולה ופיטורי מאות עובדים - (יוסי יונה 6014) </t>
  </si>
  <si>
    <t xml:space="preserve">תקנות הסדרת פעילות חברות דירוג האשראי (פטור מהוראות החוק), התשעז-2016, בדבר גיוס כספים במנגנון של מימון המונים </t>
  </si>
  <si>
    <t xml:space="preserve">הצעת חוק הסיוע המשפטי (תיקון - נפגעי עבירות מין), התשעו-2016 </t>
  </si>
  <si>
    <t xml:space="preserve">הצעת חוק להארכת תוקפן של תקנות שעת חירום (יהודה ושומרון - שיפוט בעיברות ועזרה משפטית), התשעז-2017 </t>
  </si>
  <si>
    <t xml:space="preserve">1. חשש מפיטורי עובדים במפעל סינרגי כבלים משדרות, הצעתו של חכ משה גפני 2. פיטוריהם הצפויים של מעל ל-100 עובדים בחברת סינרגי בשדרות בגלל הקושי להתמודד עם יבוא מקביל זול מטורקיה, הצעתו של חכ מיקי לוי </t>
  </si>
  <si>
    <t xml:space="preserve">תקנות להגברת האכיפה של דיני העבודה (בודק שכר מוסמך), התשעו-2016 </t>
  </si>
  <si>
    <t>2017-06-21</t>
  </si>
  <si>
    <t xml:space="preserve">הצעת חוק לתיקון פקודת מס הכנסה (מס 239), התשעז-2017  </t>
  </si>
  <si>
    <t xml:space="preserve">הקמת ועדת משנה לענייני מרחב התפר  </t>
  </si>
  <si>
    <t>הצעת חוק הסדרת הלוואות חוץ-בנקאיות (תיקון מס` 3), התשע?ה-2015 - הכנה לקריאה שניה ושלישית</t>
  </si>
  <si>
    <t>2017-06-26</t>
  </si>
  <si>
    <t xml:space="preserve">הצעת חוק לתיקון פקודת הבטיחות בעבודה (מס 10) (הגדרת אדם כשיר), התשעז-2017 </t>
  </si>
  <si>
    <t xml:space="preserve">1. הצעת חוק גיל פרישה (תיקון - הצמדת גיל הפרישה שבחוק הביטוח הלאומי לגיל הפרישה שבחוק גיל פרישה), התשעז-2017 - (פ/4278/20)(משה גפני, יצחק וקנין, מיקי רוזנטל, עודד פורר, בצלאל סמוטריץ, דוד ביטן, זהבה גלאון, מיקי לוי, מנואל טרכטנברג, רועי פולקמן, רחל עזריה, אחמד טיבי, מכלוף מיקי זוהר, מרב מיכאלי) - להכנה לקריאה ראשונה  2. הצעת חוק גיל פרישה לאישה (תיקוני חקיקה), התשעו-2016 - (פ/2680/20)(אורלי לוי אבקסיס, שרן השכל) - להכנה לקריאה ראשונה  3. הצעת חוק גיל פרישה לאישה (תיקוני חקיקה), התשעז-2016 - (פ/3492/20)(מרב מיכאלי) - להכנה לקריאה ראשונה 4. דיון בסעיף 9 לחוק גיל פרישה, התשסד-2004 </t>
  </si>
  <si>
    <t xml:space="preserve">1. הכללת יישובי המפונים נווה ובני נצרים בחוק הסיוע ליישובי עוטף עזה - (מיקי מכלוף זוהר 7009)  2. הכללת יישובי המפונים נווה ובני נצרים בחוק הסיוע ליישובי עוטף עזה - (יואב בן-צור 7045)  3. הכללת יישובי המפונים נווה ובני נצרים בחוק הסיוע ליישובי עוטף עזה - (מוטי יוגב 7053) </t>
  </si>
  <si>
    <t xml:space="preserve">צו להגברת האכיפה של דיני העבודה (שינוי התוספת השלישית לחוק), התשעז-2017 </t>
  </si>
  <si>
    <t xml:space="preserve">הצעת חוק המהנדסים והאדריכלים (תיקון - שינוי הרכב מועצת ההנדסה והאדריכלות), התשעו-2016 </t>
  </si>
  <si>
    <t xml:space="preserve">שיטת חישוב אחידה  לארנונה ברשויות המקומיות </t>
  </si>
  <si>
    <t xml:space="preserve">1. תקנות הכניסה לישראל (קביעת אזורים גיאוגרפיים להעסקת עובדים זרים בענף הסיעוד) (תיקון), התשעז-2017 2. הצעת חוק הכניסה לישראל (תיקון - ועדת חריגים הומניטרית להעסקת עובדי סיעוד מעבר לתקופה המותרת), התשעו-2016 </t>
  </si>
  <si>
    <t xml:space="preserve">1. הודעת מפעל הפיס על ביטול מלגות לחיילים לוחמים בגלל איסור הפעלת מכונות מזל - (מיקי לוי 7109)  2. הודעת מפעל הפיס על ביטול מלגות לחיילים לוחמים בגלל איסור הפעלת מכונות מזל - (רויטל סויד 7134)  3. הודעת מפעל הפיס על ביטול מלגות לחיילים לוחמים בגלל איסור הפעלת מכונות מזל - (חמד עמאר 7186) </t>
  </si>
  <si>
    <t xml:space="preserve">מעקב  אחר  יישום חוק העסקה של עברייני מין במוסדות מסוימים, תשסא-2001 </t>
  </si>
  <si>
    <t xml:space="preserve">הצעת חוק יסודות המשפט (תיקון - עקרונות המשפט העברי), התשעו-2016 </t>
  </si>
  <si>
    <t xml:space="preserve">הצעת חוק לייעול הפיקוח והאכיפה העירוניים ברשויות המקומיות (תעבורה) (תיקון), התשעז-2017  </t>
  </si>
  <si>
    <t>2017-06-27</t>
  </si>
  <si>
    <t xml:space="preserve">תקנות שוויון זכויות לאנשים עם מוגבלות (התאמות נגישות פרטנית לתלמיד ולהורה), התשעה-2015 </t>
  </si>
  <si>
    <t xml:space="preserve">1. הצעת חוק הרשויות המקומיות (פיקוח על מחירי צהרונים), התשעז-2016 2. הצעת חוק הרשויות המקומיות (פיקוח על מחירי צהרונים), התשעז-2016 3. הצעת חוק מסגרות המשך יום לימודים (צהרונים), התשעז-2017 </t>
  </si>
  <si>
    <t>ועדת משנה לתקנות חוק שוויון זכויות לאנשים עם מוגבלות</t>
  </si>
  <si>
    <t>2017-06-28</t>
  </si>
  <si>
    <t xml:space="preserve">1. הצעת חוק להסדרת רעיית דבורים וייצור דבש, התשעו-2015 2. הצעת חוק להסדרת הצבה של כוורת וייצור דבש, התשעד-2014 3. הצעת חוק להסדרת רעיית דבורים וייצור דבש, התשעה-2015 - בקשת יור ועדת הכלכלה למיזוג הצעות החוק 4. הצעת חוק הכשרות המשפטית והאפוטרופסות (תיקון - שינוי חזקת הגיל הרך), התשעז-2017 - רביזיה על החלטת ועדת הכנסת בדבר קביעת הוועדה לדיון בהצעת החוק. </t>
  </si>
  <si>
    <t xml:space="preserve">אישור השקעת בעלים בחברת נצר השרון בעמ (נצר השרון או החברה) בהתאם לסעיף 10 לחוק החברות הממשלתיות, התשלה – 1975 </t>
  </si>
  <si>
    <t>2017-07-03</t>
  </si>
  <si>
    <t xml:space="preserve">1. הצעת חוק-יסוד: הכנסת (תיקון - מניעת בחירת מועמד שהורשע בעבירת טרור) - בקשה להעברת הצעת החוק מוועדת החוקה לוועדה אחרת 2. מתן פטור מחובת הנחה על שולחן הכנסת להצעות חוק פרטיות </t>
  </si>
  <si>
    <t xml:space="preserve">כללי המים (קביעת תנאים ברישיון) (ניתוק אספקת מים), התשעז-2017 </t>
  </si>
  <si>
    <t xml:space="preserve">הארכת מועדים לפי חוק מימון מפלגות, התשלג – 1973 </t>
  </si>
  <si>
    <t>2017-07-05</t>
  </si>
  <si>
    <t xml:space="preserve">1. צו בתי דין דתיים (יחידות סיוע)(הקמת יחידות סיוע בבתי הדין השרעיים, דרכי הפעלתן וסדרי עבודתן), התשעז-2017 2. צו בתי דין דתיים (יחידות סיוע)(הקמת יחידת סיוע בבית הדין הדתי הדרוזי, דרכי הפעלתה וסדרי עבודתה), התשעז-2017 </t>
  </si>
  <si>
    <t xml:space="preserve">הצעת חוק איסור הלבנת הון 1(4) </t>
  </si>
  <si>
    <t>2017-07-17</t>
  </si>
  <si>
    <t xml:space="preserve">בקשת יור ועדה להקדמת הדיון בהצעת חוק, בקריאה השניה והשלישית </t>
  </si>
  <si>
    <t xml:space="preserve">הצעת חוק לתיקון דיני הראיות (הגנת ילדים) (תיקון מס 21) (הרחבת ההגנה על ילדים נפגעי עבירות מין או אלימות בעת מתן עדות בבתי המשפט), התשעז-2017 </t>
  </si>
  <si>
    <t>2017-07-18</t>
  </si>
  <si>
    <t xml:space="preserve">בקשת חהכ דוד ביטן להקדמת הדיון בהצעת חוק בנימין זאב הרצל (הנצחת זכרו ופועלו) (תיקון – מימון פעילות מוסדות ההנצחה), התשעז-2017  (פ/4414/20) </t>
  </si>
  <si>
    <t>Grand Total</t>
  </si>
  <si>
    <t>הוועדה המיוחדת לזכויות הילד Total</t>
  </si>
  <si>
    <t>הוועדה המיוחדת ליישום הנגשת המידע הממשלתי ועקרונות שקיפותו לציבור Total</t>
  </si>
  <si>
    <t>הוועדה המיוחדת למאבק בנגעי הסמים והאלכוהול Total</t>
  </si>
  <si>
    <t>הוועדה המיוחדת לפניות הציבור Total</t>
  </si>
  <si>
    <t>הוועדה לענייני ביקורת המדינה Total</t>
  </si>
  <si>
    <t>הוועדה לקידום מעמד האישה ולשוויון מגדרי Total</t>
  </si>
  <si>
    <t>הועדה המיוחדת לפרשת היעלמותם של ילדי תימן, מזרח והבלקן Total</t>
  </si>
  <si>
    <t>ועדה משותפת חוץ וביטחון ופנים לדיון בהארכת תוקף חוק האזרחות והכניסה לישראל Total</t>
  </si>
  <si>
    <t>ועדה משותפת חוץ וביטחון-חוקה לעניין הצורך להכריז על מצב חירום Total</t>
  </si>
  <si>
    <t>ועדה משותפת כלכלה ופנים לדיון בהצ"ח תאגידי מים וביוב Total</t>
  </si>
  <si>
    <t>ועדה משותפת לוועדת הכנסת וועדת המדע לדיון בהלס"י בנושא אבטחת מאגרי מידע ממשלתיים ואופן השימוש בהם Total</t>
  </si>
  <si>
    <t>ועדה משותפת לועדת הכלכלה ולועדת הכנסת להצעת חוק השידור הציבורי הישראלי  Total</t>
  </si>
  <si>
    <t>ועדה משותפת לתקציב הכנסת Total</t>
  </si>
  <si>
    <t>ועדת  המדע  והטכנולוגיה Total</t>
  </si>
  <si>
    <t>ועדת החוץ והביטחון Total</t>
  </si>
  <si>
    <t>ועדת החוקה, חוק ומשפט Total</t>
  </si>
  <si>
    <t>ועדת החינוך, התרבות והספורט Total</t>
  </si>
  <si>
    <t>ועדת הכלכלה Total</t>
  </si>
  <si>
    <t>ועדת הכנסת Total</t>
  </si>
  <si>
    <t>ועדת הכספים Total</t>
  </si>
  <si>
    <t>ועדת המשנה לנושא קידום טכנולוגיות לאנרגיה מתחדשת - פיקוח ומעקב אחר יישום החלטות ועידת פריז Total</t>
  </si>
  <si>
    <t>ועדת המשנה לעניין בטיחות בעבודה בענף הבנין Total</t>
  </si>
  <si>
    <t>ועדת העבודה, הרווחה והבריאות Total</t>
  </si>
  <si>
    <t>ועדת העלייה, הקליטה והתפוצות Total</t>
  </si>
  <si>
    <t>ועדת הפנים והגנת הסביבה Total</t>
  </si>
  <si>
    <t>ועדת משנה לבחינת התנהלות הבנקים והגופים המוסדיים בהעמדת אשראי ללווים מסוימים Total</t>
  </si>
  <si>
    <t>ועדת משנה לבטיחות בדרכים Total</t>
  </si>
  <si>
    <t>ועדת משנה לתחבורה ציבורית Total</t>
  </si>
  <si>
    <t>ועדת משנה לתקנות חוק שוויון זכויות לאנשים עם מוגבלות Total</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</si>
</sst>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rgb="FF000000"/>
      <name val="Arial"/>
    </font>
    <font>
      <u/>
      <sz val="11.0"/>
      <color rgb="FF0000FF"/>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0" numFmtId="0" xfId="0" applyAlignment="1" applyFont="1">
      <alignment shrinkToFit="0" wrapText="0"/>
    </xf>
    <xf borderId="0" fillId="0" fontId="0" numFmtId="0" xfId="0" applyAlignment="1" applyFont="1">
      <alignment readingOrder="0" shrinkToFit="0" wrapText="0"/>
    </xf>
    <xf borderId="0" fillId="0" fontId="1"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pivotCacheDefinition" Target="pivotCache/pivotCacheDefinition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E1479" sheet="result"/>
  </cacheSource>
  <cacheFields>
    <cacheField name="member_name" numFmtId="0">
      <sharedItems>
        <s v="איילת נחמיאס ורבין"/>
        <s v="איתן כבל"/>
        <s v="אמיר אוחנה"/>
        <s v="דוד ביטן"/>
        <s v="יגאל גואטה"/>
        <s v="יואב קיש"/>
        <s v="יוסי יונה"/>
        <s v="יעקב פרי"/>
        <s v="מיכאל מלכיאלי"/>
        <s v="נורית קורן"/>
        <s v="צחי הנגבי"/>
        <s v="רוברט אילטוב"/>
        <s v="רועי פולקמן"/>
        <s v="שולי מועלם-רפאלי"/>
        <s v="עיסאווי פריג`"/>
        <s v="זאב אלקין"/>
        <s v="יעקב מרגי"/>
        <s v="עודד פורר"/>
        <s v="ישראל אייכלר"/>
        <s v="דוד אמסלם"/>
        <s v="אורי מקלב"/>
        <s v="אברהם נגוסה"/>
        <s v="מיכל רוזין"/>
        <s v="ג`מאל זחאלקה"/>
        <s v="מכלוף מיקי זוהר"/>
        <s v="אלי אלאלוף"/>
        <s v="עבדאללה אבו מערוף"/>
        <s v="נחמן שי"/>
        <s v="יוסף ג`בארין"/>
        <s v="דב חנין"/>
        <s v="אלעזר שטרן"/>
        <s v="זאב בנימין בגין"/>
        <s v="ענת ברקו"/>
        <s v="אבי (משה) דיכטר"/>
        <s v="איתן ברושי"/>
        <s v="יעקב אשר"/>
        <s v="יעל גרמן"/>
        <s v="עבד אלחכים חאג` יחיא"/>
        <s v="זוהיר בהלול"/>
        <s v="עליזה לביא"/>
        <s v="יואל חסון"/>
        <s v="חמד עמאר"/>
        <s v="טלי פלוסקוב"/>
        <s v="זהבה גלאון"/>
        <s v="בצלאל סמוטריץ"/>
        <s v="אראל מרגלית"/>
        <s v="איימן עודה"/>
        <s v="אחמד טיבי"/>
        <s v="אורן אסף חזן"/>
        <s v="איל בן-ראובן"/>
        <s v="מסעוד גנאים"/>
        <s v="יצחק וקנין"/>
        <s v="יעל כהן פארן"/>
        <s v="חיים ילין"/>
        <s v="מנחם אליעזר מוזס"/>
        <s v="חנין זועבי"/>
        <s v="מנואל טרכטנברג"/>
        <s v="יואב בן צור"/>
        <s v="מרב מיכאלי"/>
        <s v="מיכל בירן"/>
        <s v="רחל עזריה"/>
        <s v="משה גפני"/>
        <s v="מיקי רוזנטל"/>
        <s v="מיקי לוי"/>
        <s v="ניסן סלומינסקי"/>
        <s v="נאוה בוקר"/>
        <s v="אילן גילאון"/>
        <s v="יוליה מלינובסקי"/>
        <s v="מאיר כהן"/>
        <s v="רויטל סויד"/>
        <s v="תמר זנדברג"/>
        <s v="אכרם חסון"/>
        <s v="אוסאמה סעדי"/>
        <s v="יפעת שאשא ביטון"/>
        <s v="מרדכי יוגב"/>
        <s v="שרן השכל"/>
        <s v="שלי יחימוביץ"/>
        <s v="ג'מעה אזברגה"/>
        <s v="אלי כהן"/>
        <s v="יצחק כהן"/>
        <s v="עאידה תומא סלימאן"/>
        <s v="אורלי לוי-אבקסיס"/>
        <s v="סתיו שפיר"/>
        <s v="מירב  בן-ארי"/>
        <s v="גלעד ארדן"/>
        <s v="אורי יהודה אריאל"/>
        <s v="סופה לנדבר"/>
        <s v="יהודה יהושע גליק"/>
        <s v="עפר שלח"/>
        <s v="איילת שקד"/>
        <s v="יריב לוין"/>
        <s v="טלב אבו עראר"/>
        <s v="איציק שמולי"/>
        <s v="קסניה סבטלובה"/>
        <s v="קארין אלהרר"/>
        <s v="יואב גלנט"/>
        <s v="חיים כץ"/>
        <s v="דוד אזולאי"/>
        <s v="עמר בר-לב"/>
      </sharedItems>
    </cacheField>
    <cacheField name="meeting_date" numFmtId="0">
      <sharedItems>
        <s v="2017-05-07"/>
        <s v="2017-05-08"/>
        <s v="2017-05-09"/>
        <s v="2017-05-10"/>
        <s v="2017-05-15"/>
        <s v="2017-05-16"/>
        <s v="2017-05-17"/>
        <s v="2017-05-21"/>
        <s v="2017-05-22"/>
        <s v="2017-05-23"/>
        <s v="2017-05-24"/>
        <s v="2017-05-25"/>
        <s v="2017-05-29"/>
        <s v="2017-06-05"/>
        <s v="2017-06-06"/>
        <s v="2017-06-07"/>
        <s v="2017-06-12"/>
        <s v="2017-06-13"/>
        <s v="2017-06-14"/>
        <s v="2017-06-19"/>
        <s v="2017-06-20"/>
        <s v="2017-06-21"/>
        <s v="2017-06-26"/>
        <s v="2017-06-27"/>
        <s v="2017-06-28"/>
        <s v="2017-07-03"/>
        <s v="2017-07-05"/>
        <s v="2017-07-17"/>
        <s v="2017-07-18"/>
      </sharedItems>
    </cacheField>
    <cacheField name="committee_name" numFmtId="0">
      <sharedItems>
        <s v="ועדה משותפת לועדת הכלכלה ולועדת הכנסת להצעת חוק השידור הציבורי הישראלי "/>
        <s v="ועדת החינוך, התרבות והספורט"/>
        <s v="ועדת הכנסת"/>
        <s v="הועדה המיוחדת לפרשת היעלמותם של ילדי תימן, מזרח והבלקן"/>
        <s v="ועדת העבודה, הרווחה והבריאות"/>
        <s v="ועדת הכלכלה"/>
        <s v="ועדת הפנים והגנת הסביבה"/>
        <s v="ועדת החוקה, חוק ומשפט"/>
        <s v="ועדה משותפת חוץ וביטחון-חוקה לעניין הצורך להכריז על מצב חירום"/>
        <s v="ועדת החוץ והביטחון"/>
        <s v="ועדת הכספים"/>
        <s v="ועדת משנה לתחבורה ציבורית"/>
        <s v="הוועדה המיוחדת למאבק בנגעי הסמים והאלכוהול"/>
        <s v="הוועדה לקידום מעמד האישה ולשוויון מגדרי"/>
        <s v="ועדת  המדע  והטכנולוגיה"/>
        <s v="הוועדה המיוחדת לזכויות הילד"/>
        <s v="הוועדה המיוחדת ליישום הנגשת המידע הממשלתי ועקרונות שקיפותו לציבור"/>
        <s v="ועדת המשנה לעניין בטיחות בעבודה בענף הבנין"/>
        <s v="ועדת המשנה לנושא קידום טכנולוגיות לאנרגיה מתחדשת - פיקוח ומעקב אחר יישום החלטות ועידת פריז"/>
        <s v="הוועדה המיוחדת לפניות הציבור"/>
        <s v="ועדת העלייה, הקליטה והתפוצות"/>
        <s v="הוועדה לענייני ביקורת המדינה"/>
        <s v="ועדה משותפת כלכלה ופנים לדיון בהצ&quot;ח תאגידי מים וביוב"/>
        <s v="ועדת משנה לבחינת התנהלות הבנקים והגופים המוסדיים בהעמדת אשראי ללווים מסוימים"/>
        <s v="ועדה משותפת לוועדת הכנסת וועדת המדע לדיון בהלס&quot;י בנושא אבטחת מאגרי מידע ממשלתיים ואופן השימוש בהם"/>
        <s v="ועדה משותפת לתקציב הכנסת"/>
        <s v="ועדה משותפת חוץ וביטחון ופנים לדיון בהארכת תוקף חוק האזרחות והכניסה לישראל"/>
        <s v="ועדת משנה לבטיחות בדרכים"/>
        <s v="ועדת משנה לתקנות חוק שוויון זכויות לאנשים עם מוגבלות"/>
      </sharedItems>
    </cacheField>
    <cacheField name="meeting_title" numFmtId="0">
      <sharedItems>
        <s v="הצעת חוק השידור הציבורי הישראלי (תיקון מס 8) (תאגיד החדשות), התשעז-2017 "/>
        <s v="הצעת חוק המרכז למורשת מלחמת ששת הימים, שחרור ירושלים ואיחודה, התשעז-2017  "/>
        <s v="בקשת הממשלה להקדמת הדיון בהצעת חוק מס הכנסה (הגדלת נקודות זיכוי להורים)  (הוראת שעה), התשעז-2017 (מ/1133).  "/>
        <s v="חוק מס הכנסה (הגדלת נקודות זיכוי להורים - הוראת שעה), התשע&quot;ז-2017 "/>
        <s v="העברת ילדים לחול על ידי אוניות של חברת הספנות צים במבצע כותונת פסים  "/>
        <s v="הצעת חוק לתיקון פקודת הרוקחים (מס 27) (הרשאה אישית לבעל תואר ברוקחות קלינית), התשעז–2017 "/>
        <s v="הצעת חוק התקשורת (בזק ושידורים) (תיקון מס 66) (שידורי חדשות בין-לאומיים שמקורם בישראל), התשעז-2017 "/>
        <s v="הצעת חוק חניה לנכים (תיקון - הקצאת מקום חניה לנכה סמוך למקום מגוריו), התשעו-2016 "/>
        <s v="הצעת חוק הסדרים במשק המדינה (תיקוני חקיקה להשגת יעדי התקציב) (תיקון - נכס המשמש למגורי נכה), התשעז-2016 "/>
        <s v="1. תקנות בתי המשפט (אגרות)(תיקון), התשעז-2017- ארמים 2. תקנות בית הדין לעבודה (אגרות)(תיקון), התשעו-2016 3. תקנות בית המשפט לענייני משפחה (אגרות)(תיקון), התשעו-2016 "/>
        <s v="תקנות חוק המאבק בטרור (הכרזה על ארגון טרור), התשעז-2016 "/>
        <s v="עדכון בפעילות המשרדים לניתוק זיקתם של החוקים המפורטים ממצב חירום "/>
        <s v="הצעת חוק חוזה הביטוח (תיקון - מיצוי הליכים בתביעות תחלוף), התשעה-2015 "/>
        <s v=" מימוש הבטחות הממשלה והשרים בתכנית לחיזוק ופיתוח הצפון     מימוש הבטחות הממשלה והשרים בתכנית לחיזוק ופיתוח הצפון "/>
        <s v="היערכות הגורמים האחראים להילולת רבי שמעון בר יוחאי במירון "/>
        <s v="היערכות התחבורה הציבורית לאירועים המוניים "/>
        <s v="יישום החלטת הממשלה ומשרד האוצר על הקצאת תקציב לפיתוח אזור הצפון "/>
        <s v="1. קביעת סדרי דיון מיוחדים להצעת חוק השידור הציבורי הישראלי (תיקון מס 8) התשעז- 2017 (מ/ 1132) בקריאה שניה ושלישית, לפי סעיף 98 לתקנון הכנסת. 2. בקשת חברי הכנסת להקדמת הדיון בהצעות חוק, לפני הקריאה הטרומית "/>
        <s v="הצגת תכנית החומש של המלג – בהשתתפות פרופ יפה זילברשץ "/>
        <s v="תקנות המאבק בטרור (ניהול רכוש שנתפס ושחולט), התשעז - 2016 "/>
        <s v="ההשלכות של פרשת היעלמותם של ילדי תימן, מזרח והבלקן על מתן צו ירושה  "/>
        <s v="הצעת חוק שירותי רווחה (מענק הסתגלות לנשים ששהו במקלט לנשים מוכות) (תיקון - זכויות נשים ששהו במקלט לנשים מוכות), התשעו-2016 "/>
        <s v="1. מצוקת ההכשרות הקליניות במקצועות הבריאות בישראל 2. מצוקת ההכשרות הקליניות במקצועות הבריאות בישראל 3.  מצוקת ההכשרות הקליניות במקצועות הבריאות בישראל  4. מצוקת ההכשרות הקליניות במקצועות הבריאות בישראל  5. מצוקת ההכשרה הקלינית של סטודנטים לרפואה "/>
        <s v="קביעת חברת נת&quot;ע בע&quot;מ כ&quot;גוף אחר&quot; - סעיפים 22(2ב) ו-22א לפקודת הקרקעות (רכישה לצרכי ציבור), 1943 "/>
        <s v="הצעת חוק מס הכנסה (הגדלת נקודות זיכוי להורים) (הוראה שעה), התשעז-2017 "/>
        <s v="הקמת מינהל לאנשים עם מוגבלויות במשרד העבודה, הרווחה והשירותים החברתיים "/>
        <s v="תקנות הדיינים (כשירות של מנהל בתי הדין הרבניים) התשעו-2016 "/>
        <s v="כללי תאגידי מים וביוב (ניתוק אספקת מים) (תיקון), התשעז-2017 "/>
        <s v="הצעת חוק הרשויות המקומיות (פיקוח על מחירי שירות של קייטנה ציבורית), התשעז-2017 "/>
        <s v="הצעת חוק שמירת הניקיון (תיקון מס 22) (מטרות כספי היטל הטמנה), התשעז-2016 "/>
        <s v="1. צו להסדרת הביטחון בגופים ציבוריים (שינוי התוספת הרביעית - חברת נט 4 פי אייץ איי) 2. צו להסדרת הביטחון בגופים ציבוריים (שינוי התוספת השנייה והתוספת החמישית - חברת תרכובות ברום בעמ 3. צו להסדרת הביטחון בגופים ציבוריים (שינוי התוספת החמישית - משרד התחבורה"/>
        <s v="1. הרפורמה ביחסים שבין הממשלה לכנסת - בנושאים הבאים: - חובת התייצבות בפני ועדות הכנסת. - פיקוח הכנסת על הממשלה. - עבודת הכנסת – חקיקה פרטית.  2. הצעת חוק לתיקון פקודת מס הכנסה (הטבות במס ליישוב מאויים באזור), התשעו-2016 - קביעת ועדה  3. הצעה לסדר-היום בנו"/>
        <s v="1. הצעת חוק לביטול פקודת העתונות, התשעז-2017 2. הצעת חוק לתיקון פקודת העתונות (ביטול הפקודה), התשעז-2017 "/>
        <s v="הצעת חוק עבודת נשים (תיקון מס 57) (זכות להיעדר מעבודה בעת שירות מילואים של בן הזוג), התשעז- 2017 "/>
        <s v="1. הפגיעה בעובדי חברת החשמל בהסכם השכר החדש 2. הצעה לסדר-היום בנושא: הסדר תשלום חריגות השכר בחברת חשמל מאיים לגבות כספים מעובדים פשוטים בכדי לכסות על חריגות השכר של ההנהלה הבכירה "/>
        <s v="נוהל לבחירת גורם מפעיל או להעברת בעלות של מוסד חינוך עי רשויות מקומיות "/>
        <s v="תקנות בתי המשפט (אגרות)(תיקון מס), התשעז-2017 "/>
        <s v="הצעת חוק הסדרת הלוואות חוץ-בנקאיות (תיקון מס 3), התשעה-2015  "/>
        <s v="תהליכי אימוץ במדינת ישראל בעבר ובהווה והשלכתם על פרשת היעלמותם של ילדי תימן, מזרח והבלקן  "/>
        <s v="1. הצעת חוק לתיקון פקודת מס הכנסה (מוסד הפועל לטובת מדינת ישראל), התשעז-2017 - פ/3667/20 בצלאל סמוטריץ, מכלוף מיקי זוהר, דוד ביטן, עודד פורר, יואב קיש, דוד אמסלם, מירב בן ארי, יצחק וקנין, שולי מועלם-רפאלי, מרדכי יוגב , יואב בן צור, מנחם אליעזר מוזס, יגאל "/>
        <s v="תקנות חלוקת חיסכון פנסיוני בין בני זוג שנפרדו, התשעז-2017 "/>
        <s v="הצעת חוק דמי מחלה (תיקון -  ניכוי ימי מחלה), התשעו-2016 "/>
        <s v="תקנות הפיקוח על מזון לבעלי חיים (ועדה מקצועית מייעצת), התשעז-2016 "/>
        <s v="1. תקנות הפיקוח על יצוא ביטחוני (פטור מרישיון יצוא ביטחוני), התשע&quot;ז - 2017 2. תקנות הפיקוח על יצוא ביטחוני ( פטור מרישיון יצוא ביטחוני)(תיקון), התשע&quot;ז-2017 "/>
        <s v="יישום המתווה להסדרת השימוש בקנאביס רפואי בישראל - דיון מעקב מיום 22.11.16 בהשתתפות: המשנה למנכל משרד הבריאות פרופ ארנון אפק "/>
        <s v="הצעת חוק לתיקון פקודת המשטרה (תיקון מס 32) (התאמה תעסוקתית), התשעו-2016 "/>
        <s v="מכרז להזמנת מדים לשוטרי משטרת ישראל "/>
        <s v="הצעת חוק לתיקון פקודת התעבורה (מס 117) (קווי שירות למוניות), התשעז-2016 "/>
        <s v="הצעת חוק הגנת הצרכן (תיקון מס 51) (שינוי תכנית הטבות לצרכן או סיומה), התשעז-2017 "/>
        <s v="הטרדות מיניות בדיור הציבורי "/>
        <s v="צו עסקאות גופים ציבוריים (שינוי התוספת לחוק), התשעז-2017 "/>
        <s v="שילוב תלמידים ממוצא אתיופי במערכת החינוך  "/>
        <s v="הצעת חוק המאבק בטרור, התשעה-2015 - החלק הנותר "/>
        <s v="הצעת חוק חדלות פירעון ושיקום כלכלי, התשעו-2016 "/>
        <s v="הצעת חוק בנק ישראל (תיקון מס 4) (הוועדה ליציבות פיננסית), התשעז-2017  "/>
        <s v="1. קביעת חברת נתע בעמ כגוף אחר - סעיפים 22(2ב) ו-22א לפקודת הקרקעות (רכישה לצרכי ציבור), 1943 2. קביעת חברת נתיבי איילון בעמ כגוף אחר – סעיפים 22(2ב) ו-22א לפקודת הקרקעות (רכישה לצרכי ציבור), 1943 "/>
        <s v="תקנות לעידוד השקעות הון (הכנסה טכנולוגית מועדפת ורווח הון למפעל טכנולוגי), התשעז-2017 "/>
        <s v="שקיפות בפעילות החטיבה להתיישבות לאור חזרתה לפעילות - בקשתה של חכ מיכל רוזין  "/>
        <s v="1. תקנות המיסים(גביה) (תשלום לצד שלישי שהומצא לו צו עיקול בדרך אלקטרונית), התשעה-2015 2. תקנות המיסים (גבייה) (קביעת הוצאות מרביות) (תיקון), התשעה-2015 "/>
        <s v="חינוך טכנולוגי בכפרי הנוער "/>
        <s v="הכשרות ואישורים של פועלי הבנייה לגובה. אישורים לפיגומים לצורך העבודה בגובה. פיקוח על העבודה בגובה. "/>
        <s v="הקצאת המים לחקלאות "/>
        <s v="דיון על יישום ההטבות בתעריפי המים לאוכלוסיות זכאיות  "/>
        <s v="בלימת הקטל בדרכים - סיכום שנת 2016 והתכנית לשנת 2017 של משטרת ישראל "/>
        <s v="1. עדכון יישום החלטת הממשלה להפחתת פליטות גזי חממה 2. חינוך והסברה להיערכות לשינויי האקלים ולקידום פעילות להפחתת פלטות גזי חממה "/>
        <s v="הצעת חוק המועצות האזוריות (מועד בחירות כלליות) (תיקון מס 10), התשעז-2017 "/>
        <s v="הצעת חוק הדרכונים (תיקון - מתן דרכון לעולה), התשעז-2017 "/>
        <s v="פניות ציבור בנושא שריפות הענק וזיהום האויר באתרי פסולת סביב העיר אשדוד "/>
        <s v="תקנות מס הכנסה (כללים לאישור ולניהול קופות גמל)(תיקון), התשעז-2017 "/>
        <s v="צו הגנה על בריאות הציבור(מזון)(תחילת הוראות החוק לעניין ייצור, ייבוא, ייצוא ושיווק של משקאות משכרים), התשעז-2017 "/>
        <s v="1. הצעת חוק קליטת חיילים משוחררים (תיקון מס 18), התשעז-2017 "/>
        <s v="הצעת חוק הגבלת גישה לאתר אינטרנט לשם מניעת ביצוע עבירות, התשעה-2014 "/>
        <s v="כניסתן של חברות פרטיות שנותנות שירותי תפעול בעקבות חקיקת פרק הייעוץ הפנסיוני והשיווק הפנסיוני בחוק התכנית הכלכלית (תיקוני חקיקה ליישום המדיניות הכלכלית לשנות התקציב 2015 ו-2016), התשעו-2015 "/>
        <s v="אישור שילוב פרסומת מסחרית במוסדות חינוך – התשעו "/>
        <s v="הצעת חוק עובדים זרים (תיקון מס 20) (הגנה על עובדים זרים), התשעז-2017 "/>
        <s v="הצעת חוק איסור הפליה במוצרים, בשירותים ובכניסה למקומות בידור ולמקומות ציבוריים (תיקון מס 4), התשעה-2014 "/>
        <s v="הצעת חוק השכירות והשאילה (תיקון), התשעו-2016 "/>
        <s v="סיפור העלייה מאתיופיה דרך סודן וגורל נעדרי סודן  "/>
        <s v="1. החשש להמשך תמיכת אוניברסיטת בן גוריון בפעילות BDS 2. החשש להמשך תמיכת אוניברסיטת בן גוריון בפעילות BDS 3. החשש להמשך תמיכת אוניברסיטת בן גוריון בפעילות BDS "/>
        <s v="זיהומי מים בין מדינת ישראל לשטחי יהודה, שומרון ורצועת עזה דוח 67ב כרך שלישי עמ 1481 "/>
        <s v="הרפורמה ביחסים שבין הממשלה לכנסת "/>
        <s v="תחקיר ערוץ 10- אפליית מחפשות עבודה העוטות חיגאב ברשתות הפארם  "/>
        <s v="תקנות הנמלים (תיקון), התשע&quot;ז-2017 , בדבר ניהול התעבורה הימית בנמלים, הענקת סמכויות לרב חובל הנמל והניתוב בנמלים "/>
        <s v="1. בקשת חה&quot;כ דוד ביטן, יושב-ראש הקואליציה להוספת חברים בוועדת החוקה, חוק ומשפט.  - רביזיה  2. הצעת חוק קליטת חיילים משוחררים (תיקון מס' 19), התשע&quot;ז-2017 "/>
        <s v="הצעת חוק העונשין (תיקון מס 124) (עבירות המתה), התשעו-2015 "/>
        <s v="1. בקשת חהכ דוד ביטן, יושב-ראש הקואליציה להוספת חברים בוועדת החוקה, חוק ומשפט.  2. הצעת חוק קליטת חיילים משוחררים (תיקון מס 18), התשעז-2017 3. הצעת חוק קליטת חיילים משוחררים (תיקון - הארכת תקופת מימוש הזכאות לפיקדון), התשעה-2015 - מיזוג  "/>
        <s v="1. שביתת העוזרים המשפטיים לשופטים במחאה על תנאי העסקתם ומניעת פיטוריהם 2. שביתת העוזרים המשפטיים לשופטים במחאה על תנאי העסקתם ומניעת פיטוריהם 3.  שביתת העוזרים המשפטיים לשופטים במחאה על תנאי העסקתם ומניעת פיטוריהם 4. שביתת העוזרים המשפטיים לשופטים במחאה ע"/>
        <s v="תיקון התקנון האחיד (תיקון 10) (שינוי התקנון של קרנות הפנסיה הוותיקות שבהסדר "/>
        <s v="ממצאי הבדיקה בנושא המשכנתאות של הממונה על ההגבלים העסקיים, בהשתתפות הממונה על ההגבלים העסקיים עוד מיכל הלפרין "/>
        <s v="שינוי בהרכב חברי ועדת המשנה לנושאי בטחון פנים  "/>
        <s v="תקנות הנמלים (ניהול התעבורה הימית), התשעז-2017 "/>
        <s v="חופי הים בישראל - דיווח פרטני על חופים בתשלום - ישיבת מעקב "/>
        <s v="הצעת חוק הנכים (תגמולים ושיקום) (תיקון מס 30), התשעז-2017 "/>
        <s v="הארכת תוקף חוק האזרחות והכניסה לישראל (הוראת שעה), התשס&quot;ג-2003 "/>
        <s v="1. אסדרת פעילות הדואר במסירת דואר בינלאומי - הצעה לדיון מהיר של חכ  רועי פולקמן 2. אסדרת פעילות הדואר במסירת דואר בינלאומי - הצעה לדיון מהיר של  חכ יעקב אשר "/>
        <s v="שימוש בעודפי תקציב משנת 2016 לשנת 2017 "/>
        <s v="פתרונות דיור בקהילה לכ-700 דיירי מרכז הקליטה מבשרת שיפונו תוך 3 חודשים  "/>
        <s v="התמודדות הורים לילדים עם מום לבבי מול המוסד לביטוח לאומי  "/>
        <s v="1. שביתת הרעב של האסירים בבתי כלא 2. שביתת הרעב של האסירים בבתי כלא "/>
        <s v="ירושלים -1. מודל להתחדשות עירונית 2.  תכנית תברואה וסביבה במזרח ירושלים "/>
        <s v="מצוקת מבני החינוך בירושלים ותקציב העירייה  "/>
        <s v="פניות ציבור בנושא העיכוב בסלילת מסילת הרכבת הקלה לבית החולים הדסה עין כרם - ישיבת מעקב               "/>
        <s v="השבת אקדמאים ומדענים לארץ - תוכניות, הישגים, אתגרים "/>
        <s v="1. הצעת חוק תאגידי מים וביוב (תיקון - צמצום מספר תאגידי המים והביוב), התשעז-2016 2. הצעת חוק תאגידי מים וביוב (תיקון - צמצום מספר תאגידי המים והביוב), התשעז-2016 "/>
        <s v="הגידול בהיקף תופעת המינים הפולשים ודרכי הטיפול בה "/>
        <s v="1. הצעת חוק חינוך חינם לילדים חולים (תיקון – הגדרת ילד חולה), התשעו–2015   2. הצעת חוק חינוך חינם לילדים חולים (תיקון - הגדרת ילד חולה), התשעו-2016 "/>
        <s v="1. הקמת ועדת משנה לבחינת ימי הלימודים במערכת החינוך 2. מחסור בכיתות לימוד בירושלים בכל המגזרים - לציון יום ירושלים "/>
        <s v="הפעולות שנקטו בפיקוח על הבנקים לטיפול בכשלי אשראי ללוים הגדולים "/>
        <s v="חיילות דתיות בצהל- צרכים וחסמים "/>
        <s v="התמודדות משטרת ישראל עם הפשיעה החקלאית דוח 67ב כרך שלישי, עמ 1297 "/>
        <s v="תקנות בתי המשפט (רשימת מגשרים), התשעו-2016 "/>
        <s v="הצעה לסדר-היום בנושא: אבטחת מאגרי מידע ממשלתיים ואופן השימוש בהם "/>
        <s v="מדיניות הרשות הפלסטינית ביחס להסתה נגד ישראל "/>
        <s v="הצעת חוק קליטת חיילים משוחררים (תיקון מס 18), התשעז-2017 "/>
        <s v="שקיפות במימוש תכניות העבודה הממשלתיות - דיון מעקב "/>
        <s v="הצעת חוק שירותי הסעד (תיקון - הקמת מרכזי מיצוי זכויות), התשעה-2015 "/>
        <s v="1. מפגע סביבתי חמור כתוצאה מפעילות מפחמות בשטחי הרשות הפלשתינית Aו-B - ישיבת מעקב 2. זיהום אויר כתוצאת משריפת פסולת בשטחי הרשות הפלשתינית "/>
        <s v="1. מתקן ההתפלה של חברת מקורות באשדוד ומצבה הכלכלי של החברה תחת השפעת תיקון 27 לחוק המים - (יעל כהן-פארן 6789)  2. מתקן ההתפלה של חברת מקורות באשדוד, מצבה הכלכלי של החברה ומחיר המים - (גמאל זחאלקה 6803)  3. מתקן ההתפלה של חברת מקורות באשדוד ומצבה הכלכלי של"/>
        <s v="הצעת חוק לתיקון פקודת התעבורה (מס 116), התשעז-2016 "/>
        <s v="הצעת חוק לתיקון פקודת ביטוח רכב מנועי [נוסח חדש] (מס 22), התשעז-2017 "/>
        <s v="טיפול המוסד לביטוח לאומי בתביעות נגד צד שלישי (שיבוב) - דוח מבקר המדינה 67ב - ישיבה משותפת עם ועדת העבודה הרווחה והבריאות "/>
        <s v="ישיבת משותפת של ועדת העבודה, הרווחה והבריאות והוועדה לביקורת המדינה . על סדר היום: דוח מבקר המדינה 2017 - טיפול המוסד לביטוח לאומי בתביעות  נגד צד שלישי (שיבוב) "/>
        <s v="1. מעקב אחרי תכנית החומש למגזר הדרוזי והצרקסי - (חמד עמאר 5556)  2. מעקב אחרי תוכנית החומש למגזר הדרוזי והצרקסי - (איתן ברושי 5557)  3. מעקב אחרי תכנית החומש למגזר הדרוזי והצרקסי - (מיקי לוי 5558)  4. מעקב אחרי תכנית החומש למגזר הדרוזי והצרקסי - (עבדאללה "/>
        <s v="1. הר החובות של משקי הבית תופח וחצה את רף החצי טריליון ש״ח - (זהבה גלאון 6667)  2. הר החובות של משקי הבית תופח וחצה את רף החצי טריליון ש״ח - (אורי מקלב 6683)  3. הר החובות של משקי הבית תופח וחצה את רף החצי טריליון ש״ח - (מיקי (מכלוף) זוהר 6687)  4. הר החו"/>
        <s v="1. דיווח על פעילות הקרן לשמירת הניקיון בהתאם לסעיפים 10(ו) ו-11(יג) לחוק שמירת הניקיון התשמד-1984 2. הצעת חוק שמירת הניקיון (תיקון מס 22) (מטרות כספי היטל הטמנה), התשעז-2016 - הכנה לקריאה שניה ושלישית "/>
        <s v="סבסוד קייטנות לשנת 2017 "/>
        <s v="צו איסור הלבנת הון (חובות זיהוי, דיווח וניהול רישומים של מנהל תיקים למניעת הלבנת הון ומימון טרור)(תיקון), התשעז-2017 "/>
        <s v="צו ההוצאה לפועל (סגירת לשכה), התשעז-2017 "/>
        <s v="1. מסקנות ועדת ההסדרה ותוכנית משרד הבריאות לסימון מוצרי מזון בריאים ולא בריאים 2. הצעה לסדר-היום בנושא: תכנית משרד הבריאות לסימון מוצרי מזון בריאים ולא בריאים 3. התכנית להסטת פעילות  ממימון פרטי לציבורי וקיצור תורים "/>
        <s v="ישיבת ועדת הכספים "/>
        <s v="מענים לילדים אלרגיים וזקוקי השגחה בגילאי לידה עד שלוש  "/>
        <s v="הצעת חוק הביטוח הלאומי (תיקון - הרחבת הגדרת ילד לעניין קצבת נפגעי עבודה), התשעז-2017 "/>
        <s v="מעורבות אוטובוסים וכלי רכב כבדים בתאונות הדרכים וקידום הטכוגרף הדיגיטלי "/>
        <s v="יישום פרויקט קווי הזנק לאזורי תעסוקה "/>
        <s v="עדויות של בני משפחות הנעלמים מפרשת  היעלמותם של ילדי תימן, מזרח והבלקן "/>
        <s v="דיון מיוחד לציון יובל למלחמת ששת הימים בנושא: יחסי הגומלין בין הכנסת ובין אזרחי ישראל תושבי יהודה ושומרון "/>
        <s v="הצעת חוק לתיקון דיני הראיות (הגנת ילדים) (תיקון - הגנה על ילדים נפגעי עבירות מין או אלימות בעת מתן עדות בבתי המשפט), התשעו-2016 "/>
        <s v="1. הצעת חוק החזקת מזרקי אפינפרין במקומות ציבוריים, התשעה-2015 2. הצעת חוק חובת החזקת תכשיר אפינפרין במקומות ציבוריים, התשעו-2016 "/>
        <s v="המתווה להסדר החוב של אליעזר פישמן ובני משפחתו "/>
        <s v="הצעת חוק העיצובים, התשעה-2015 "/>
        <s v="הצגת תוכנית מועצת ישע לפיתוח הישובים ביהודה ושומרון  "/>
        <s v="הצעה לסדר-היום בנושא: קריסת התחבורה הציבורית במירון - לג בעומר "/>
        <s v="1. הצעת חוק לתיקון פקודת הבטיחות בעבודה (הגדרת אדם כשיר), התשעז-2017 2. צו להגברת האכיפה של דיני העבודה(שינוי התוספת השנייה לחוק), התשעז 2017 "/>
        <s v="ועמ&quot;ש לתכנון לאומי- בהשתתפות המועצה הלאומית לכלכלה "/>
        <s v="1. הצעת חוק נכסים של נספי השואה (השבה ליורשים והקדשה למטרות סיוע והנצחה) (תיקון מס 4) (סיום פעילות החברה והעברה לאפוטרופוס הכללי), התשעז-2017 - הכנה לקריאה שניה ושלישית 2. הצעת חוק נכסים של נספי השואה (השבה ליורשים והקדשה למטרות סיוע והנצחה) (תיקון - סיוע"/>
        <s v="גביית אגרות על ידי משרד החקלאות ופיתוח הכפר עבור חיסונים לכלבים  "/>
        <s v="הצעה לסדר-היום בנושא: התערבות הייעוץ המשפטי ומשטרת ישראל באירועי הקפות השניות ובאירועים תרבותיים יחודיים "/>
        <s v="הצעה לסדר-היום בנושא: הצורך לשדרג את המקומות הקדושים בישראל כולל קבר רחל וקבר רבי עובדיה מברטנורא "/>
        <s v="תקנות הדרכונים (תיקון מס 2), התשעז-2017  "/>
        <s v="פגיעה במחקר המדעי בישראל על ידי רשות המיסים (מיסוי מלגות) - ישיבה משותפת  לוועדות מדע וטכנולוגיה-כספים "/>
        <s v="צו איסור הלבנת הון (חובות זיהוי, דיווח וניהול רישומים של חבר בורסה למניעת הלבנת הון ומימון טרור)(תיקון מס 2), התשעז-2017 "/>
        <s v="הצעת חוק איסור הלבנת הון (תיקון מס 19), התשעז-2016 "/>
        <s v="דיון ביוזמת חהכ אורלי לוי-אבקסיס בנושא.:  גביית מזונות ילדים שאינם משולמים, על ידי ההוצאה לפועל "/>
        <s v="הפצת מידע כוזב ותקיפות סייבר לשם השפעה על מערכות בחירות "/>
        <s v="לאן נעלמו עשרה מיליון צליינים תיירים? "/>
        <s v="אישור מוסדות ציבור לעניין סעיף 46 לפקודת מס הכנסה (רשימה שסימנה 11-431-17) "/>
        <s v="ישיבה משותפת (כספים-מדע וטכנולוגיה) - פגיעה במחקר המדעי בישראל על ידי רשות המיסים (מיסוי מלגות), הצעתם של חברי הכנסת: בצלאל סמוטריץ, עודד פורר, רועי פולקמן, מנואל טרכטנברג "/>
        <s v="1. פיקוח הרבנות הראשית ומשרד הבריאות על עבודתם של המוהלים 2. דווח השר לשירותי דת על פעילות משרדו "/>
        <s v="תקנות הסדרים במשק המדינה (ארנונה כללית ברשויות המקומיות)(הוראת שעה), התשעז-2017 "/>
        <s v="פיקוח על תקציב משרד התיירות על שינויו לשנים 2016-2017 - בהשתתפות שר התיירות מר יריב לוין "/>
        <s v="1. חשש מהעברת מיזם תמנע לירדן ופיטורי מאות עובדים בדרום - (מיקי לוי 5327)  2. חשש מהעברת מיזם תמנע לירדן ופיטורי מאות עובדים בדרום - (דוד ביטן 5338)  3. חשש מהעברת מיזם תמנע לירדן ופיטורי מאות עובדים בדרום - (אראל מרגלית 5344) "/>
        <s v="הצעת חוק הסדרים במשק המדינה (תיקוני חקיקה להשגת יעדי התקציב) (תיקון מס 15) (הרחבת ההגדרה נכס המשמש למגורי נכה), התשעז-2017 "/>
        <s v="הצעת חוק חניה לנכים (תיקון מס 7) (הקצאת מקום חניה לנכה סמוך למקום מגוריו), התשעז-2017 "/>
        <s v="קביעת נהלי עבודה של הצוות הבינמשרדי לשם איתור מידע בפניות של  משפחות הנעלמים מפרשת ילדי תימן, מזרח והבלקן  "/>
        <s v="בחירת ממלא מקום ליור הכנסת בעת העדרו מהארץ "/>
        <s v="התערבות בנק ישראל ברכישת מטח – מעקב, הצעתו של חכ יואב קיש "/>
        <s v="שילוב בעלי לקות ראייה בצה&quot;ל ובשירות הלאומי אזרחי "/>
        <s v="1. תקנות הביטוח הלאומי (מתנדבים) (תיקון), התשעז-2017 2. דיווח משרד העבודה, הרווחה והשירותים החברתיים על יישום חוק אומנה לילדים התשעו 2016, על פי סעיף 91 לחוק "/>
        <s v="במסגרת ציון יום הבליינדיי בשיתוף המרכז העיוור בישראל: על סדר היום: שימור המומחיות הנדרשת למתן שירותים לאנשים עם עיוורון "/>
        <s v="1. היעדר תפקוד ועדת התלונות נגד פסיכולוגים במשרד הבריאות 2. היעדר תפקוד ועדת התלונות נגד פסיכולוגים במשרד הבריאות "/>
        <s v="תקנות המקרקעין (החלפת ספק גז בבית משותף) (שינוי התוספת לחוק), התשעו-2016 "/>
        <s v="כשלים בגיבושה ובהפעלתה של התכנית האסטרטגית לעידוד ההתיישבות ולחיזוקה - דוח מבקר המדינה 67ב "/>
        <s v="הצעת חוק הפיקוח על שירותים פיננסיים (שירותים פיננסיים מוסדרים) (תיקון) (שירותי פיקדון ואשראי בלא ריבית), התשעז-2016 "/>
        <s v="הצעת חוק ביטוח בריאות ממלכתי (תיקון מס 62) (חממות טכנולוגיות וחברות הזנק), התשעז-2017  "/>
        <s v="פסולת ביולוגית? -מחקרים רפואיים בילדי תימן, מזרח והבלקן  "/>
        <s v="הצעת חוק המכינות הקדם-צבאיות (תיקון - הכרה בצעירים עם מוגבלות כחניכי מכינות), התשעו-2016 "/>
        <s v="תקנות הפיקוח על יצוא ביטחוני (פטור מרישיון שיווק ביטחוני)(תיקון), תשע&quot;ז-2017 "/>
        <s v="1. דוח נציבות תלונות הציבור על מייצגי המדינה בערכאות בעניין התנהלות הפרקליטות מול המרכז לרפואה משפטית 2. דוח נציבות תלונות הציבור על מייצגי המדינה בערכאות בעניין התנהלות הפרקליטות מול המרכז לרפואה משפטית 3. דוח נציבות תלונות הציבור על מייצגי המדינה בערכאו"/>
        <s v="הצעת חוק חופשה שנתית (תיקון - חופשה ביום שבו מתקיימות בחירות מקדימות במפלגה שבה חבר העובד), התשעז-2017 "/>
        <s v="הצעת חוק הביטוח הלאומי (תיקון - מניין שהות בישראל לעניין תושבות), התשעז-2016 "/>
        <s v="1. הארכת תוקף כהונתה של הוועדה המיוחדת לפרשת היעלמותם של ילדי תימן, מזרח והבלקן 2. הצעת חוק להסדרת הביטחון בגופים ציבוריים (תיקון מס 8) (פעולות אבטחה ימית), התשעז-2017 - בקשה להעברת הצעת החוק מוועדת הפנים והגנת הסביבה לדיון בוועדת החוץ והביטחון. "/>
        <s v="1. הצעת חוק להסדרת הצבה של כוורת וייצור דבש, התשעד-2014 2. הצעת חוק להסדרת רעיית דבורים וייצור דבש, התשעה-2015 3. הצעת חוק להסדרת רעיית דבורים וייצור דבש, התשעו-2015 "/>
        <s v="הצעת חוק הפיקוח על צעצועים מסוכנים, התשעד-2014 "/>
        <s v="סעיף 163 - מתוך פרק י (תשתיות להולכה ולאחסון של נפט), מתוך הצעת חוק ההתייעלות הכלכלית (תיקוני חקיקה להשגת יעדי התקציב לשנות 2017 ו-2018), התשעז-2016 "/>
        <s v="הצעת חוק הדרכונים (תיקון מס 9) (מתן דרכון לעולה), התשעז-2017 "/>
        <s v="1. ייצוג עצמי לרבנות הראשית בעתירות בעניין הכותל 2. יצוג עצמי לרבנות הראשית בעתירות בעניין הכותל "/>
        <s v=" חשיפות וממצאים חדשים - סיכום ביניים על עבודת הוועדה בפרשת ילדי תימן, מזרח והבלקן  "/>
        <s v="1. החשש מסגירת מפעל תעשיות מתכת במושב שתולה ופיטורי מאות עובדים - (מיקי לוי 5965)  2. החשש מסגירת מפעל תעשיות מתכת במושב שתולה ופיטורי מאות עובדים - (יצחק וקנין 5992)  3. החשש מסגירת מפעל תעשיות מתכתב במושב שתולה ופיטורי מאות עובדים - (יוסי יונה 6014) "/>
        <s v="תקנות הסדרת פעילות חברות דירוג האשראי (פטור מהוראות החוק), התשעז-2016, בדבר גיוס כספים במנגנון של מימון המונים "/>
        <s v="הצעת חוק הסיוע המשפטי (תיקון - נפגעי עבירות מין), התשעו-2016 "/>
        <s v="הצעת חוק להארכת תוקפן של תקנות שעת חירום (יהודה ושומרון - שיפוט בעיברות ועזרה משפטית), התשעז-2017 "/>
        <s v="1. חשש מפיטורי עובדים במפעל סינרגי כבלים משדרות, הצעתו של חכ משה גפני 2. פיטוריהם הצפויים של מעל ל-100 עובדים בחברת סינרגי בשדרות בגלל הקושי להתמודד עם יבוא מקביל זול מטורקיה, הצעתו של חכ מיקי לוי "/>
        <s v="תקנות להגברת האכיפה של דיני העבודה (בודק שכר מוסמך), התשעו-2016 "/>
        <s v="הצעת חוק לתיקון פקודת מס הכנסה (מס 239), התשעז-2017  "/>
        <s v="הקמת ועדת משנה לענייני מרחב התפר  "/>
        <s v="הצעת חוק הסדרת הלוואות חוץ-בנקאיות (תיקון מס` 3), התשע?ה-2015 - הכנה לקריאה שניה ושלישית"/>
        <s v="הצעת חוק לתיקון פקודת הבטיחות בעבודה (מס 10) (הגדרת אדם כשיר), התשעז-2017 "/>
        <s v="1. הצעת חוק גיל פרישה (תיקון - הצמדת גיל הפרישה שבחוק הביטוח הלאומי לגיל הפרישה שבחוק גיל פרישה), התשעז-2017 - (פ/4278/20)(משה גפני, יצחק וקנין, מיקי רוזנטל, עודד פורר, בצלאל סמוטריץ, דוד ביטן, זהבה גלאון, מיקי לוי, מנואל טרכטנברג, רועי פולקמן, רחל עזריה,"/>
        <s v="1. הכללת יישובי המפונים נווה ובני נצרים בחוק הסיוע ליישובי עוטף עזה - (מיקי מכלוף זוהר 7009)  2. הכללת יישובי המפונים נווה ובני נצרים בחוק הסיוע ליישובי עוטף עזה - (יואב בן-צור 7045)  3. הכללת יישובי המפונים נווה ובני נצרים בחוק הסיוע ליישובי עוטף עזה - ("/>
        <s v="צו להגברת האכיפה של דיני העבודה (שינוי התוספת השלישית לחוק), התשעז-2017 "/>
        <s v="הצעת חוק המהנדסים והאדריכלים (תיקון - שינוי הרכב מועצת ההנדסה והאדריכלות), התשעו-2016 "/>
        <s v="שיטת חישוב אחידה  לארנונה ברשויות המקומיות "/>
        <s v="1. תקנות הכניסה לישראל (קביעת אזורים גיאוגרפיים להעסקת עובדים זרים בענף הסיעוד) (תיקון), התשעז-2017 2. הצעת חוק הכניסה לישראל (תיקון - ועדת חריגים הומניטרית להעסקת עובדי סיעוד מעבר לתקופה המותרת), התשעו-2016 "/>
        <s v="1. הודעת מפעל הפיס על ביטול מלגות לחיילים לוחמים בגלל איסור הפעלת מכונות מזל - (מיקי לוי 7109)  2. הודעת מפעל הפיס על ביטול מלגות לחיילים לוחמים בגלל איסור הפעלת מכונות מזל - (רויטל סויד 7134)  3. הודעת מפעל הפיס על ביטול מלגות לחיילים לוחמים בגלל איסור ה"/>
        <s v="מעקב  אחר  יישום חוק העסקה של עברייני מין במוסדות מסוימים, תשסא-2001 "/>
        <s v="הצעת חוק יסודות המשפט (תיקון - עקרונות המשפט העברי), התשעו-2016 "/>
        <s v="הצעת חוק לייעול הפיקוח והאכיפה העירוניים ברשויות המקומיות (תעבורה) (תיקון), התשעז-2017  "/>
        <s v="תקנות שוויון זכויות לאנשים עם מוגבלות (התאמות נגישות פרטנית לתלמיד ולהורה), התשעה-2015 "/>
        <s v="1. הצעת חוק הרשויות המקומיות (פיקוח על מחירי צהרונים), התשעז-2016 2. הצעת חוק הרשויות המקומיות (פיקוח על מחירי צהרונים), התשעז-2016 3. הצעת חוק מסגרות המשך יום לימודים (צהרונים), התשעז-2017 "/>
        <s v="1. הצעת חוק להסדרת רעיית דבורים וייצור דבש, התשעו-2015 2. הצעת חוק להסדרת הצבה של כוורת וייצור דבש, התשעד-2014 3. הצעת חוק להסדרת רעיית דבורים וייצור דבש, התשעה-2015 - בקשת יור ועדת הכלכלה למיזוג הצעות החוק 4. הצעת חוק הכשרות המשפטית והאפוטרופסות (תיקון -"/>
        <s v="אישור השקעת בעלים בחברת נצר השרון בעמ (נצר השרון או החברה) בהתאם לסעיף 10 לחוק החברות הממשלתיות, התשלה – 1975 "/>
        <s v="1. הצעת חוק-יסוד: הכנסת (תיקון - מניעת בחירת מועמד שהורשע בעבירת טרור) - בקשה להעברת הצעת החוק מוועדת החוקה לוועדה אחרת 2. מתן פטור מחובת הנחה על שולחן הכנסת להצעות חוק פרטיות "/>
        <s v="כללי המים (קביעת תנאים ברישיון) (ניתוק אספקת מים), התשעז-2017 "/>
        <s v="הארכת מועדים לפי חוק מימון מפלגות, התשלג – 1973 "/>
        <s v="1. צו בתי דין דתיים (יחידות סיוע)(הקמת יחידות סיוע בבתי הדין השרעיים, דרכי הפעלתן וסדרי עבודתן), התשעז-2017 2. צו בתי דין דתיים (יחידות סיוע)(הקמת יחידת סיוע בבית הדין הדתי הדרוזי, דרכי הפעלתה וסדרי עבודתה), התשעז-2017 "/>
        <s v="הצעת חוק איסור הלבנת הון 1(4) "/>
        <s v="בקשת יור ועדה להקדמת הדיון בהצעת חוק, בקריאה השניה והשלישית "/>
        <s v="הצעת חוק לתיקון דיני הראיות (הגנת ילדים) (תיקון מס 21) (הרחבת ההגנה על ילדים נפגעי עבירות מין או אלימות בעת מתן עדות בבתי המשפט), התשעז-2017 "/>
        <s v="בקשת חהכ דוד ביטן להקדמת הדיון בהצעת חוק בנימין זאב הרצל (הנצחת זכרו ופועלו) (תיקון – מימון פעילות מוסדות ההנצחה), התשעז-2017  (פ/4414/20) "/>
      </sharedItems>
    </cacheField>
    <cacheField name="meeting_url" numFmtId="0">
      <sharedItems>
        <s v="https://oknesset.org/committee/meeting/14436/"/>
        <s v="https://oknesset.org/committee/meeting/14435/"/>
        <s v="https://oknesset.org/committee/meeting/14288/"/>
        <s v="https://oknesset.org/committee/meeting/14041/"/>
        <s v="https://oknesset.org/committee/meeting/14432/"/>
        <s v="https://oknesset.org/committee/meeting/14040/"/>
        <s v="https://oknesset.org/committee/meeting/14417/"/>
        <s v="https://oknesset.org/committee/meeting/14374/"/>
        <s v="https://oknesset.org/committee/meeting/14156/"/>
        <s v="https://oknesset.org/committee/meeting/14202/"/>
        <s v="https://oknesset.org/committee/meeting/14201/"/>
        <s v="https://oknesset.org/committee/meeting/14264/"/>
        <s v="https://oknesset.org/committee/meeting/14263/"/>
        <s v="https://oknesset.org/committee/meeting/14262/"/>
        <s v="https://oknesset.org/committee/meeting/14434/"/>
        <s v="https://oknesset.org/committee/meeting/14407/"/>
        <s v="https://oknesset.org/committee/meeting/14175/"/>
        <s v="https://oknesset.org/committee/meeting/14433/"/>
        <s v="https://oknesset.org/committee/meeting/14102/"/>
        <s v="https://oknesset.org/committee/meeting/14153/"/>
        <s v="https://oknesset.org/committee/meeting/14200/"/>
        <s v="https://oknesset.org/committee/meeting/14155/"/>
        <s v="https://oknesset.org/committee/meeting/14154/"/>
        <s v="https://oknesset.org/committee/meeting/14039/"/>
        <s v="https://oknesset.org/committee/meeting/14287/"/>
        <s v="https://oknesset.org/committee/meeting/14430/"/>
        <s v="https://oknesset.org/committee/meeting/14261/"/>
        <s v="https://oknesset.org/committee/meeting/14431/"/>
        <s v="https://oknesset.org/committee/meeting/14416/"/>
        <s v="https://oknesset.org/committee/meeting/14402/"/>
        <s v="https://oknesset.org/committee/meeting/14372/"/>
        <s v="https://oknesset.org/committee/meeting/14373/"/>
        <s v="https://oknesset.org/committee/meeting/14101/"/>
        <s v="https://oknesset.org/committee/meeting/14100/"/>
        <s v="https://oknesset.org/committee/meeting/14371/"/>
        <s v="https://oknesset.org/committee/meeting/14260/"/>
        <s v="https://oknesset.org/committee/meeting/14037/"/>
        <s v="https://oknesset.org/committee/meeting/14099/"/>
        <s v="https://oknesset.org/committee/meeting/14152/"/>
        <s v="https://oknesset.org/committee/meeting/14198/"/>
        <s v="https://oknesset.org/committee/meeting/14199/"/>
        <s v="https://oknesset.org/committee/meeting/14197/"/>
        <s v="https://oknesset.org/committee/meeting/14036/"/>
        <s v="https://oknesset.org/committee/meeting/14195/"/>
        <s v="https://oknesset.org/committee/meeting/14149/"/>
        <s v="https://oknesset.org/committee/meeting/14150/"/>
        <s v="https://oknesset.org/committee/meeting/14151/"/>
        <s v="https://oknesset.org/committee/meeting/14286/"/>
        <s v="https://oknesset.org/committee/meeting/14259/"/>
        <s v="https://oknesset.org/committee/meeting/14258/"/>
        <s v="https://oknesset.org/committee/meeting/14415/"/>
        <s v="https://oknesset.org/committee/meeting/14098/"/>
        <s v="https://oknesset.org/committee/meeting/14370/"/>
        <s v="https://oknesset.org/committee/meeting/14369/"/>
        <s v="https://oknesset.org/committee/meeting/14368/"/>
        <s v="https://oknesset.org/committee/meeting/14174/"/>
        <s v="https://oknesset.org/committee/meeting/14316/"/>
        <s v="https://oknesset.org/committee/meeting/14196/"/>
        <s v="https://oknesset.org/committee/meeting/14146/"/>
        <s v="https://oknesset.org/committee/meeting/14147/"/>
        <s v="https://oknesset.org/committee/meeting/14148/"/>
        <s v="https://oknesset.org/committee/meeting/14311/"/>
        <s v="https://oknesset.org/committee/meeting/14324/"/>
        <s v="https://oknesset.org/committee/meeting/14335/"/>
        <s v="https://oknesset.org/committee/meeting/14255/"/>
        <s v="https://oknesset.org/committee/meeting/14256/"/>
        <s v="https://oknesset.org/committee/meeting/14097/"/>
        <s v="https://oknesset.org/committee/meeting/14096/"/>
        <s v="https://oknesset.org/committee/meeting/14095/"/>
        <s v="https://oknesset.org/committee/meeting/14405/"/>
        <s v="https://oknesset.org/committee/meeting/14257/"/>
        <s v="https://oknesset.org/committee/meeting/14285/"/>
        <s v="https://oknesset.org/committee/meeting/14367/"/>
        <s v="https://oknesset.org/committee/meeting/14093/"/>
        <s v="https://oknesset.org/committee/meeting/14094/"/>
        <s v="https://oknesset.org/committee/meeting/14145/"/>
        <s v="https://oknesset.org/committee/meeting/14426/"/>
        <s v="https://oknesset.org/committee/meeting/14323/"/>
        <s v="https://oknesset.org/committee/meeting/14408/"/>
        <s v="https://oknesset.org/committee/meeting/14193/"/>
        <s v="https://oknesset.org/committee/meeting/14194/"/>
        <s v="https://oknesset.org/committee/meeting/14330/"/>
        <s v="https://oknesset.org/committee/meeting/14091/"/>
        <s v="https://oknesset.org/committee/meeting/14364/"/>
        <s v="https://oknesset.org/committee/meeting/14365/"/>
        <s v="https://oknesset.org/committee/meeting/14254/"/>
        <s v="https://oknesset.org/committee/meeting/14092/"/>
        <s v="https://oknesset.org/committee/meeting/14284/"/>
        <s v="https://oknesset.org/committee/meeting/14366/"/>
        <s v="https://oknesset.org/committee/meeting/14143/"/>
        <s v="https://oknesset.org/committee/meeting/14253/"/>
        <s v="https://oknesset.org/committee/meeting/14144/"/>
        <s v="https://oknesset.org/committee/meeting/14337/"/>
        <s v="https://oknesset.org/committee/meeting/14283/"/>
        <s v="https://oknesset.org/committee/meeting/14296/"/>
        <s v="https://oknesset.org/committee/meeting/14034/"/>
        <s v="https://oknesset.org/committee/meeting/14310/"/>
        <s v="https://oknesset.org/committee/meeting/14141/"/>
        <s v="https://oknesset.org/committee/meeting/14033/"/>
        <s v="https://oknesset.org/committee/meeting/14252/"/>
        <s v="https://oknesset.org/committee/meeting/14035/"/>
        <s v="https://oknesset.org/committee/meeting/14362/"/>
        <s v="https://oknesset.org/committee/meeting/14363/"/>
        <s v="https://oknesset.org/committee/meeting/14090/"/>
        <s v="https://oknesset.org/committee/meeting/14192/"/>
        <s v="https://oknesset.org/committee/meeting/14142/"/>
        <s v="https://oknesset.org/committee/meeting/14191/"/>
        <s v="https://oknesset.org/committee/meeting/14361/"/>
        <s v="https://oknesset.org/committee/meeting/14172/"/>
        <s v="https://oknesset.org/committee/meeting/14251/"/>
        <s v="https://oknesset.org/committee/meeting/14140/"/>
        <s v="https://oknesset.org/committee/meeting/14089/"/>
        <s v="https://oknesset.org/committee/meeting/14336/"/>
        <s v="https://oknesset.org/committee/meeting/14334/"/>
        <s v="https://oknesset.org/committee/meeting/14187/"/>
        <s v="https://oknesset.org/committee/meeting/14189/"/>
        <s v="https://oknesset.org/committee/meeting/14190/"/>
        <s v="https://oknesset.org/committee/meeting/14088/"/>
        <s v="https://oknesset.org/committee/meeting/14329/"/>
        <s v="https://oknesset.org/committee/meeting/14322/"/>
        <s v="https://oknesset.org/committee/meeting/14423/"/>
        <s v="https://oknesset.org/committee/meeting/14188/"/>
        <s v="https://oknesset.org/committee/meeting/14281/"/>
        <s v="https://oknesset.org/committee/meeting/14282/"/>
        <s v="https://oknesset.org/committee/meeting/14427/"/>
        <s v="https://oknesset.org/committee/meeting/14309/"/>
        <s v="https://oknesset.org/committee/meeting/14295/"/>
        <s v="https://oknesset.org/committee/meeting/14250/"/>
        <s v="https://oknesset.org/committee/meeting/14437/"/>
        <s v="https://oknesset.org/committee/meeting/14173/"/>
        <s v="https://oknesset.org/committee/meeting/14360/"/>
        <s v="https://oknesset.org/committee/meeting/14396/"/>
        <s v="https://oknesset.org/committee/meeting/14404/"/>
        <s v="https://oknesset.org/committee/meeting/14359/"/>
        <s v="https://oknesset.org/committee/meeting/14406/"/>
        <s v="https://oknesset.org/committee/meeting/14186/"/>
        <s v="https://oknesset.org/committee/meeting/14087/"/>
        <s v="https://oknesset.org/committee/meeting/14137/"/>
        <s v="https://oknesset.org/committee/meeting/14138/"/>
        <s v="https://oknesset.org/committee/meeting/14139/"/>
        <s v="https://oknesset.org/committee/meeting/14294/"/>
        <s v="https://oknesset.org/committee/meeting/14357/"/>
        <s v="https://oknesset.org/committee/meeting/14085/"/>
        <s v="https://oknesset.org/committee/meeting/14086/"/>
        <s v="https://oknesset.org/committee/meeting/14184/"/>
        <s v="https://oknesset.org/committee/meeting/14185/"/>
        <s v="https://oknesset.org/committee/meeting/14247/"/>
        <s v="https://oknesset.org/committee/meeting/14248/"/>
        <s v="https://oknesset.org/committee/meeting/14249/"/>
        <s v="https://oknesset.org/committee/meeting/14358/"/>
        <s v="https://oknesset.org/committee/meeting/14084/"/>
        <s v="https://oknesset.org/committee/meeting/14333/"/>
        <s v="https://oknesset.org/committee/meeting/14356/"/>
        <s v="https://oknesset.org/committee/meeting/14397/"/>
        <s v="https://oknesset.org/committee/meeting/14401/"/>
        <s v="https://oknesset.org/committee/meeting/14414/"/>
        <s v="https://oknesset.org/committee/meeting/14132/"/>
        <s v="https://oknesset.org/committee/meeting/14133/"/>
        <s v="https://oknesset.org/committee/meeting/14030/"/>
        <s v="https://oknesset.org/committee/meeting/14246/"/>
        <s v="https://oknesset.org/committee/meeting/14245/"/>
        <s v="https://oknesset.org/committee/meeting/14244/"/>
        <s v="https://oknesset.org/committee/meeting/14355/"/>
        <s v="https://oknesset.org/committee/meeting/14134/"/>
        <s v="https://oknesset.org/committee/meeting/14135/"/>
        <s v="https://oknesset.org/committee/meeting/14136/"/>
        <s v="https://oknesset.org/committee/meeting/14183/"/>
        <s v="https://oknesset.org/committee/meeting/14081/"/>
        <s v="https://oknesset.org/committee/meeting/14354/"/>
        <s v="https://oknesset.org/committee/meeting/14171/"/>
        <s v="https://oknesset.org/committee/meeting/14243/"/>
        <s v="https://oknesset.org/committee/meeting/14131/"/>
        <s v="https://oknesset.org/committee/meeting/14083/"/>
        <s v="https://oknesset.org/committee/meeting/14082/"/>
        <s v="https://oknesset.org/committee/meeting/14077/"/>
        <s v="https://oknesset.org/committee/meeting/14129/"/>
        <s v="https://oknesset.org/committee/meeting/14353/"/>
        <s v="https://oknesset.org/committee/meeting/14321/"/>
        <s v="https://oknesset.org/committee/meeting/14239/"/>
        <s v="https://oknesset.org/committee/meeting/14240/"/>
        <s v="https://oknesset.org/committee/meeting/14241/"/>
        <s v="https://oknesset.org/committee/meeting/14242/"/>
        <s v="https://oknesset.org/committee/meeting/14320/"/>
        <s v="https://oknesset.org/committee/meeting/14130/"/>
        <s v="https://oknesset.org/committee/meeting/14080/"/>
        <s v="https://oknesset.org/committee/meeting/14422/"/>
        <s v="https://oknesset.org/committee/meeting/14078/"/>
        <s v="https://oknesset.org/committee/meeting/14182/"/>
        <s v="https://oknesset.org/committee/meeting/14076/"/>
        <s v="https://oknesset.org/committee/meeting/14079/"/>
        <s v="https://oknesset.org/committee/meeting/14075/"/>
        <s v="https://oknesset.org/committee/meeting/14074/"/>
        <s v="https://oknesset.org/committee/meeting/14180/"/>
        <s v="https://oknesset.org/committee/meeting/14181/"/>
        <s v="https://oknesset.org/committee/meeting/14413/"/>
        <s v="https://oknesset.org/committee/meeting/14029/"/>
        <s v="https://oknesset.org/committee/meeting/14073/"/>
        <s v="https://oknesset.org/committee/meeting/14170/"/>
        <s v="https://oknesset.org/committee/meeting/14352/"/>
        <s v="https://oknesset.org/committee/meeting/14351/"/>
        <s v="https://oknesset.org/committee/meeting/14293/"/>
        <s v="https://oknesset.org/committee/meeting/14128/"/>
        <s v="https://oknesset.org/committee/meeting/14236/"/>
        <s v="https://oknesset.org/committee/meeting/14237/"/>
        <s v="https://oknesset.org/committee/meeting/14238/"/>
        <s v="https://oknesset.org/committee/meeting/14292/"/>
        <s v="https://oknesset.org/committee/meeting/14072/"/>
        <s v="https://oknesset.org/committee/meeting/14350/"/>
        <s v="https://oknesset.org/committee/meeting/14412/"/>
        <s v="https://oknesset.org/committee/meeting/14235/"/>
        <s v="https://oknesset.org/committee/meeting/14280/"/>
        <s v="https://oknesset.org/committee/meeting/14169/"/>
        <s v="https://oknesset.org/committee/meeting/14234/"/>
        <s v="https://oknesset.org/committee/meeting/14349/"/>
        <s v="https://oknesset.org/committee/meeting/14348/"/>
        <s v="https://oknesset.org/committee/meeting/14347/"/>
        <s v="https://oknesset.org/committee/meeting/14028/"/>
        <s v="https://oknesset.org/committee/meeting/14126/"/>
        <s v="https://oknesset.org/committee/meeting/14127/"/>
        <s v="https://oknesset.org/committee/meeting/14071/"/>
        <s v="https://oknesset.org/committee/meeting/14179/"/>
        <s v="https://oknesset.org/committee/meeting/14070/"/>
        <s v="https://oknesset.org/committee/meeting/14232/"/>
        <s v="https://oknesset.org/committee/meeting/14233/"/>
        <s v="https://oknesset.org/committee/meeting/14425/"/>
        <s v="https://oknesset.org/committee/meeting/14421/"/>
        <s v="https://oknesset.org/committee/meeting/14411/"/>
        <s v="https://oknesset.org/committee/meeting/14345/"/>
        <s v="https://oknesset.org/committee/meeting/14068/"/>
        <s v="https://oknesset.org/committee/meeting/14124/"/>
        <s v="https://oknesset.org/committee/meeting/14125/"/>
        <s v="https://oknesset.org/committee/meeting/14231/"/>
        <s v="https://oknesset.org/committee/meeting/14230/"/>
        <s v="https://oknesset.org/committee/meeting/14229/"/>
        <s v="https://oknesset.org/committee/meeting/14067/"/>
        <s v="https://oknesset.org/committee/meeting/14069/"/>
        <s v="https://oknesset.org/committee/meeting/14344/"/>
        <s v="https://oknesset.org/committee/meeting/14346/"/>
        <s v="https://oknesset.org/committee/meeting/14066/"/>
        <s v="https://oknesset.org/committee/meeting/14178/"/>
        <s v="https://oknesset.org/committee/meeting/14168/"/>
        <s v="https://oknesset.org/committee/meeting/14228/"/>
        <s v="https://oknesset.org/committee/meeting/14342/"/>
        <s v="https://oknesset.org/committee/meeting/14065/"/>
        <s v="https://oknesset.org/committee/meeting/14064/"/>
        <s v="https://oknesset.org/committee/meeting/14343/"/>
        <s v="https://oknesset.org/committee/meeting/14341/"/>
        <s v="https://oknesset.org/committee/meeting/14176/"/>
        <s v="https://oknesset.org/committee/meeting/14177/"/>
        <s v="https://oknesset.org/committee/meeting/14063/"/>
        <s v="https://oknesset.org/committee/meeting/14225/"/>
        <s v="https://oknesset.org/committee/meeting/14226/"/>
        <s v="https://oknesset.org/committee/meeting/14227/"/>
        <s v="https://oknesset.org/committee/meeting/14123/"/>
        <s v="https://oknesset.org/committee/meeting/14340/"/>
        <s v="https://oknesset.org/committee/meeting/14279/"/>
        <s v="https://oknesset.org/committee/meeting/14400/"/>
        <s v="https://oknesset.org/committee/meeting/14027/"/>
        <s v="https://oknesset.org/committee/meeting/14061/"/>
        <s v="https://oknesset.org/committee/meeting/14062/"/>
        <s v="https://oknesset.org/committee/meeting/14026/"/>
        <s v="https://oknesset.org/committee/meeting/14122/"/>
        <s v="https://oknesset.org/committee/meeting/14060/"/>
        <s v="https://oknesset.org/committee/meeting/14224/"/>
        <s v="https://oknesset.org/committee/meeting/14223/"/>
        <s v="https://oknesset.org/committee/meeting/14222/"/>
        <s v="https://oknesset.org/committee/meeting/14467/"/>
        <s v="https://oknesset.org/committee/meeting/14468/"/>
        <s v="https://oknesset.org/committee/meeting/14466/"/>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ממוין לפי ח&quot;כים" cacheId="0" dataCaption="" compact="0" compactData="0">
  <location ref="A1:B101" firstHeaderRow="1" firstDataRow="2" firstDataCol="0"/>
  <pivotFields>
    <pivotField name="member_name" axis="axisRow" compact="0" outline="0" multipleItemSelectionAllowed="1" showAll="0" sortType="de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autoSortScope>
        <pivotArea>
          <references>
            <reference field="4294967294">
              <x v="0"/>
            </reference>
          </references>
        </pivotArea>
      </autoSortScope>
    </pivotField>
    <pivotField name="meeting_dat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committee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meeting_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t="default"/>
      </items>
    </pivotField>
    <pivotField name="meeting_ur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t="default"/>
      </items>
    </pivotField>
  </pivotFields>
  <rowFields>
    <field x="0"/>
  </rowFields>
  <dataFields>
    <dataField name="COUNTA of meeting_date" fld="1" subtotal="count" baseField="0"/>
  </dataFields>
</pivotTableDefinition>
</file>

<file path=xl/pivotTables/pivotTable2.xml><?xml version="1.0" encoding="utf-8"?>
<pivotTableDefinition xmlns="http://schemas.openxmlformats.org/spreadsheetml/2006/main" name="ממוין לפי ועדות וח&quot;כים" cacheId="0" dataCaption="" compact="0" compactData="0">
  <location ref="A1:C520" firstHeaderRow="1" firstDataRow="3" firstDataCol="0"/>
  <pivotFields>
    <pivotField name="member_name" axis="axisRow" compact="0" outline="0" multipleItemSelectionAllowed="1" showAll="0" sortType="ascending">
      <items>
        <item x="33"/>
        <item x="21"/>
        <item x="72"/>
        <item x="85"/>
        <item x="20"/>
        <item x="81"/>
        <item x="48"/>
        <item x="47"/>
        <item x="0"/>
        <item x="89"/>
        <item x="46"/>
        <item x="49"/>
        <item x="66"/>
        <item x="92"/>
        <item x="34"/>
        <item x="1"/>
        <item x="71"/>
        <item x="25"/>
        <item x="78"/>
        <item x="30"/>
        <item x="2"/>
        <item x="45"/>
        <item x="44"/>
        <item x="77"/>
        <item x="23"/>
        <item x="84"/>
        <item x="29"/>
        <item x="97"/>
        <item x="19"/>
        <item x="3"/>
        <item x="15"/>
        <item x="31"/>
        <item x="43"/>
        <item x="38"/>
        <item x="53"/>
        <item x="96"/>
        <item x="41"/>
        <item x="55"/>
        <item x="91"/>
        <item x="42"/>
        <item x="4"/>
        <item x="87"/>
        <item x="57"/>
        <item x="95"/>
        <item x="5"/>
        <item x="40"/>
        <item x="67"/>
        <item x="6"/>
        <item x="28"/>
        <item x="36"/>
        <item x="52"/>
        <item x="35"/>
        <item x="16"/>
        <item x="7"/>
        <item x="73"/>
        <item x="51"/>
        <item x="79"/>
        <item x="90"/>
        <item x="18"/>
        <item x="68"/>
        <item x="8"/>
        <item x="59"/>
        <item x="22"/>
        <item x="63"/>
        <item x="62"/>
        <item x="83"/>
        <item x="24"/>
        <item x="56"/>
        <item x="54"/>
        <item x="50"/>
        <item x="58"/>
        <item x="74"/>
        <item x="61"/>
        <item x="65"/>
        <item x="9"/>
        <item x="27"/>
        <item x="64"/>
        <item x="86"/>
        <item x="82"/>
        <item x="80"/>
        <item x="37"/>
        <item x="26"/>
        <item x="17"/>
        <item x="14"/>
        <item x="39"/>
        <item x="98"/>
        <item x="32"/>
        <item x="88"/>
        <item x="10"/>
        <item x="94"/>
        <item x="93"/>
        <item x="11"/>
        <item x="69"/>
        <item x="12"/>
        <item x="60"/>
        <item x="13"/>
        <item x="76"/>
        <item x="75"/>
        <item x="70"/>
        <item t="default"/>
      </items>
    </pivotField>
    <pivotField name="meeting_dat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committee_name" axis="axisRow" compact="0" outline="0" multipleItemSelectionAllowed="1" showAll="0" sortType="ascending">
      <items>
        <item x="15"/>
        <item x="16"/>
        <item x="12"/>
        <item x="19"/>
        <item x="21"/>
        <item x="13"/>
        <item x="3"/>
        <item x="26"/>
        <item x="8"/>
        <item x="22"/>
        <item x="24"/>
        <item x="0"/>
        <item x="25"/>
        <item x="14"/>
        <item x="9"/>
        <item x="7"/>
        <item x="1"/>
        <item x="5"/>
        <item x="2"/>
        <item x="10"/>
        <item x="18"/>
        <item x="17"/>
        <item x="4"/>
        <item x="20"/>
        <item x="6"/>
        <item x="23"/>
        <item x="27"/>
        <item x="11"/>
        <item x="28"/>
        <item t="default"/>
      </items>
    </pivotField>
    <pivotField name="meeting_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t="default"/>
      </items>
    </pivotField>
    <pivotField name="meeting_ur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t="default"/>
      </items>
    </pivotField>
  </pivotFields>
  <rowFields>
    <field x="2"/>
    <field x="0"/>
  </rowFields>
  <dataFields>
    <dataField name="COUNTA of meeting_date" fld="1" subtotal="count" baseField="0"/>
  </dataFields>
</pivotTableDefinit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7.38"/>
    <col customWidth="1" min="2" max="2" width="11.88"/>
    <col customWidth="1" min="3" max="3" width="83.5"/>
    <col customWidth="1" min="4" max="4" width="42.0"/>
    <col customWidth="1" min="5" max="5" width="39.88"/>
    <col customWidth="1" min="6" max="26" width="8.63"/>
  </cols>
  <sheetData>
    <row r="1" ht="14.25" customHeight="1">
      <c r="A1" s="1" t="s">
        <v>0</v>
      </c>
      <c r="B1" s="1" t="s">
        <v>1</v>
      </c>
      <c r="C1" s="1" t="s">
        <v>2</v>
      </c>
      <c r="D1" s="1" t="s">
        <v>3</v>
      </c>
      <c r="E1" s="1" t="s">
        <v>4</v>
      </c>
    </row>
    <row r="2" ht="14.25" customHeight="1">
      <c r="A2" s="2" t="s">
        <v>5</v>
      </c>
      <c r="B2" s="1" t="s">
        <v>6</v>
      </c>
      <c r="C2" s="2" t="s">
        <v>7</v>
      </c>
      <c r="D2" s="2" t="s">
        <v>8</v>
      </c>
      <c r="E2" s="3" t="str">
        <f t="shared" ref="E2:E9" si="1">HYPERLINK("https://oknesset.org/committee/meeting/14436/","https://oknesset.org/committee/meeting/14436/")</f>
        <v>https://oknesset.org/committee/meeting/14436/</v>
      </c>
    </row>
    <row r="3" ht="14.25" customHeight="1">
      <c r="A3" s="2" t="s">
        <v>9</v>
      </c>
      <c r="B3" s="1" t="s">
        <v>6</v>
      </c>
      <c r="C3" s="2" t="s">
        <v>7</v>
      </c>
      <c r="D3" s="2" t="s">
        <v>8</v>
      </c>
      <c r="E3" s="3" t="str">
        <f t="shared" si="1"/>
        <v>https://oknesset.org/committee/meeting/14436/</v>
      </c>
    </row>
    <row r="4" ht="14.25" customHeight="1">
      <c r="A4" s="2" t="s">
        <v>10</v>
      </c>
      <c r="B4" s="1" t="s">
        <v>6</v>
      </c>
      <c r="C4" s="2" t="s">
        <v>7</v>
      </c>
      <c r="D4" s="2" t="s">
        <v>8</v>
      </c>
      <c r="E4" s="3" t="str">
        <f t="shared" si="1"/>
        <v>https://oknesset.org/committee/meeting/14436/</v>
      </c>
    </row>
    <row r="5" ht="14.25" customHeight="1">
      <c r="A5" s="2" t="s">
        <v>11</v>
      </c>
      <c r="B5" s="1" t="s">
        <v>6</v>
      </c>
      <c r="C5" s="2" t="s">
        <v>7</v>
      </c>
      <c r="D5" s="2" t="s">
        <v>8</v>
      </c>
      <c r="E5" s="3" t="str">
        <f t="shared" si="1"/>
        <v>https://oknesset.org/committee/meeting/14436/</v>
      </c>
    </row>
    <row r="6" ht="14.25" customHeight="1">
      <c r="A6" s="2" t="s">
        <v>12</v>
      </c>
      <c r="B6" s="1" t="s">
        <v>6</v>
      </c>
      <c r="C6" s="2" t="s">
        <v>7</v>
      </c>
      <c r="D6" s="2" t="s">
        <v>8</v>
      </c>
      <c r="E6" s="3" t="str">
        <f t="shared" si="1"/>
        <v>https://oknesset.org/committee/meeting/14436/</v>
      </c>
    </row>
    <row r="7" ht="14.25" customHeight="1">
      <c r="A7" s="2" t="s">
        <v>13</v>
      </c>
      <c r="B7" s="1" t="s">
        <v>6</v>
      </c>
      <c r="C7" s="2" t="s">
        <v>7</v>
      </c>
      <c r="D7" s="2" t="s">
        <v>8</v>
      </c>
      <c r="E7" s="3" t="str">
        <f t="shared" si="1"/>
        <v>https://oknesset.org/committee/meeting/14436/</v>
      </c>
    </row>
    <row r="8" ht="14.25" customHeight="1">
      <c r="A8" s="2" t="s">
        <v>14</v>
      </c>
      <c r="B8" s="1" t="s">
        <v>6</v>
      </c>
      <c r="C8" s="2" t="s">
        <v>7</v>
      </c>
      <c r="D8" s="2" t="s">
        <v>8</v>
      </c>
      <c r="E8" s="3" t="str">
        <f t="shared" si="1"/>
        <v>https://oknesset.org/committee/meeting/14436/</v>
      </c>
    </row>
    <row r="9" ht="14.25" customHeight="1">
      <c r="A9" s="2" t="s">
        <v>15</v>
      </c>
      <c r="B9" s="1" t="s">
        <v>6</v>
      </c>
      <c r="C9" s="2" t="s">
        <v>7</v>
      </c>
      <c r="D9" s="2" t="s">
        <v>8</v>
      </c>
      <c r="E9" s="3" t="str">
        <f t="shared" si="1"/>
        <v>https://oknesset.org/committee/meeting/14436/</v>
      </c>
    </row>
    <row r="10" ht="14.25" customHeight="1">
      <c r="A10" s="2" t="s">
        <v>5</v>
      </c>
      <c r="B10" s="1" t="s">
        <v>6</v>
      </c>
      <c r="C10" s="2" t="s">
        <v>7</v>
      </c>
      <c r="D10" s="2" t="s">
        <v>8</v>
      </c>
      <c r="E10" s="3" t="str">
        <f t="shared" ref="E10:E17" si="2">HYPERLINK("https://oknesset.org/committee/meeting/14435/","https://oknesset.org/committee/meeting/14435/")</f>
        <v>https://oknesset.org/committee/meeting/14435/</v>
      </c>
    </row>
    <row r="11" ht="14.25" customHeight="1">
      <c r="A11" s="2" t="s">
        <v>9</v>
      </c>
      <c r="B11" s="1" t="s">
        <v>6</v>
      </c>
      <c r="C11" s="2" t="s">
        <v>7</v>
      </c>
      <c r="D11" s="2" t="s">
        <v>8</v>
      </c>
      <c r="E11" s="3" t="str">
        <f t="shared" si="2"/>
        <v>https://oknesset.org/committee/meeting/14435/</v>
      </c>
    </row>
    <row r="12" ht="14.25" customHeight="1">
      <c r="A12" s="2" t="s">
        <v>10</v>
      </c>
      <c r="B12" s="1" t="s">
        <v>6</v>
      </c>
      <c r="C12" s="2" t="s">
        <v>7</v>
      </c>
      <c r="D12" s="2" t="s">
        <v>8</v>
      </c>
      <c r="E12" s="3" t="str">
        <f t="shared" si="2"/>
        <v>https://oknesset.org/committee/meeting/14435/</v>
      </c>
    </row>
    <row r="13" ht="14.25" customHeight="1">
      <c r="A13" s="2" t="s">
        <v>11</v>
      </c>
      <c r="B13" s="1" t="s">
        <v>6</v>
      </c>
      <c r="C13" s="2" t="s">
        <v>7</v>
      </c>
      <c r="D13" s="2" t="s">
        <v>8</v>
      </c>
      <c r="E13" s="3" t="str">
        <f t="shared" si="2"/>
        <v>https://oknesset.org/committee/meeting/14435/</v>
      </c>
    </row>
    <row r="14" ht="14.25" customHeight="1">
      <c r="A14" s="2" t="s">
        <v>12</v>
      </c>
      <c r="B14" s="1" t="s">
        <v>6</v>
      </c>
      <c r="C14" s="2" t="s">
        <v>7</v>
      </c>
      <c r="D14" s="2" t="s">
        <v>8</v>
      </c>
      <c r="E14" s="3" t="str">
        <f t="shared" si="2"/>
        <v>https://oknesset.org/committee/meeting/14435/</v>
      </c>
    </row>
    <row r="15" ht="14.25" customHeight="1">
      <c r="A15" s="2" t="s">
        <v>13</v>
      </c>
      <c r="B15" s="1" t="s">
        <v>6</v>
      </c>
      <c r="C15" s="2" t="s">
        <v>7</v>
      </c>
      <c r="D15" s="2" t="s">
        <v>8</v>
      </c>
      <c r="E15" s="3" t="str">
        <f t="shared" si="2"/>
        <v>https://oknesset.org/committee/meeting/14435/</v>
      </c>
    </row>
    <row r="16" ht="14.25" customHeight="1">
      <c r="A16" s="2" t="s">
        <v>14</v>
      </c>
      <c r="B16" s="1" t="s">
        <v>6</v>
      </c>
      <c r="C16" s="2" t="s">
        <v>7</v>
      </c>
      <c r="D16" s="2" t="s">
        <v>8</v>
      </c>
      <c r="E16" s="3" t="str">
        <f t="shared" si="2"/>
        <v>https://oknesset.org/committee/meeting/14435/</v>
      </c>
    </row>
    <row r="17" ht="14.25" customHeight="1">
      <c r="A17" s="2" t="s">
        <v>15</v>
      </c>
      <c r="B17" s="1" t="s">
        <v>6</v>
      </c>
      <c r="C17" s="2" t="s">
        <v>7</v>
      </c>
      <c r="D17" s="2" t="s">
        <v>8</v>
      </c>
      <c r="E17" s="3" t="str">
        <f t="shared" si="2"/>
        <v>https://oknesset.org/committee/meeting/14435/</v>
      </c>
    </row>
    <row r="18" ht="14.25" customHeight="1">
      <c r="A18" s="2" t="s">
        <v>16</v>
      </c>
      <c r="B18" s="1" t="s">
        <v>6</v>
      </c>
      <c r="C18" s="2" t="s">
        <v>7</v>
      </c>
      <c r="D18" s="2" t="s">
        <v>8</v>
      </c>
      <c r="E18" s="3" t="str">
        <f t="shared" ref="E18:E24" si="3">HYPERLINK("https://oknesset.org/committee/meeting/14436/","https://oknesset.org/committee/meeting/14436/")</f>
        <v>https://oknesset.org/committee/meeting/14436/</v>
      </c>
    </row>
    <row r="19" ht="14.25" customHeight="1">
      <c r="A19" s="2" t="s">
        <v>17</v>
      </c>
      <c r="B19" s="1" t="s">
        <v>6</v>
      </c>
      <c r="C19" s="2" t="s">
        <v>7</v>
      </c>
      <c r="D19" s="2" t="s">
        <v>8</v>
      </c>
      <c r="E19" s="3" t="str">
        <f t="shared" si="3"/>
        <v>https://oknesset.org/committee/meeting/14436/</v>
      </c>
    </row>
    <row r="20" ht="14.25" customHeight="1">
      <c r="A20" s="2" t="s">
        <v>18</v>
      </c>
      <c r="B20" s="1" t="s">
        <v>6</v>
      </c>
      <c r="C20" s="2" t="s">
        <v>7</v>
      </c>
      <c r="D20" s="2" t="s">
        <v>8</v>
      </c>
      <c r="E20" s="3" t="str">
        <f t="shared" si="3"/>
        <v>https://oknesset.org/committee/meeting/14436/</v>
      </c>
    </row>
    <row r="21" ht="14.25" customHeight="1">
      <c r="A21" s="2" t="s">
        <v>19</v>
      </c>
      <c r="B21" s="1" t="s">
        <v>6</v>
      </c>
      <c r="C21" s="2" t="s">
        <v>7</v>
      </c>
      <c r="D21" s="2" t="s">
        <v>8</v>
      </c>
      <c r="E21" s="3" t="str">
        <f t="shared" si="3"/>
        <v>https://oknesset.org/committee/meeting/14436/</v>
      </c>
    </row>
    <row r="22" ht="14.25" customHeight="1">
      <c r="A22" s="2" t="s">
        <v>20</v>
      </c>
      <c r="B22" s="1" t="s">
        <v>6</v>
      </c>
      <c r="C22" s="2" t="s">
        <v>7</v>
      </c>
      <c r="D22" s="2" t="s">
        <v>8</v>
      </c>
      <c r="E22" s="3" t="str">
        <f t="shared" si="3"/>
        <v>https://oknesset.org/committee/meeting/14436/</v>
      </c>
    </row>
    <row r="23" ht="14.25" customHeight="1">
      <c r="A23" s="2" t="s">
        <v>21</v>
      </c>
      <c r="B23" s="1" t="s">
        <v>6</v>
      </c>
      <c r="C23" s="2" t="s">
        <v>7</v>
      </c>
      <c r="D23" s="2" t="s">
        <v>8</v>
      </c>
      <c r="E23" s="3" t="str">
        <f t="shared" si="3"/>
        <v>https://oknesset.org/committee/meeting/14436/</v>
      </c>
    </row>
    <row r="24" ht="14.25" customHeight="1">
      <c r="A24" s="2" t="s">
        <v>22</v>
      </c>
      <c r="B24" s="1" t="s">
        <v>6</v>
      </c>
      <c r="C24" s="2" t="s">
        <v>7</v>
      </c>
      <c r="D24" s="2" t="s">
        <v>8</v>
      </c>
      <c r="E24" s="3" t="str">
        <f t="shared" si="3"/>
        <v>https://oknesset.org/committee/meeting/14436/</v>
      </c>
    </row>
    <row r="25" ht="14.25" customHeight="1">
      <c r="A25" s="2" t="s">
        <v>16</v>
      </c>
      <c r="B25" s="1" t="s">
        <v>6</v>
      </c>
      <c r="C25" s="2" t="s">
        <v>7</v>
      </c>
      <c r="D25" s="2" t="s">
        <v>8</v>
      </c>
      <c r="E25" s="3" t="str">
        <f t="shared" ref="E25:E31" si="4">HYPERLINK("https://oknesset.org/committee/meeting/14435/","https://oknesset.org/committee/meeting/14435/")</f>
        <v>https://oknesset.org/committee/meeting/14435/</v>
      </c>
    </row>
    <row r="26" ht="14.25" customHeight="1">
      <c r="A26" s="2" t="s">
        <v>17</v>
      </c>
      <c r="B26" s="1" t="s">
        <v>6</v>
      </c>
      <c r="C26" s="2" t="s">
        <v>7</v>
      </c>
      <c r="D26" s="2" t="s">
        <v>8</v>
      </c>
      <c r="E26" s="3" t="str">
        <f t="shared" si="4"/>
        <v>https://oknesset.org/committee/meeting/14435/</v>
      </c>
    </row>
    <row r="27" ht="14.25" customHeight="1">
      <c r="A27" s="2" t="s">
        <v>18</v>
      </c>
      <c r="B27" s="1" t="s">
        <v>6</v>
      </c>
      <c r="C27" s="2" t="s">
        <v>7</v>
      </c>
      <c r="D27" s="2" t="s">
        <v>8</v>
      </c>
      <c r="E27" s="3" t="str">
        <f t="shared" si="4"/>
        <v>https://oknesset.org/committee/meeting/14435/</v>
      </c>
    </row>
    <row r="28" ht="14.25" customHeight="1">
      <c r="A28" s="2" t="s">
        <v>19</v>
      </c>
      <c r="B28" s="1" t="s">
        <v>6</v>
      </c>
      <c r="C28" s="2" t="s">
        <v>7</v>
      </c>
      <c r="D28" s="2" t="s">
        <v>8</v>
      </c>
      <c r="E28" s="3" t="str">
        <f t="shared" si="4"/>
        <v>https://oknesset.org/committee/meeting/14435/</v>
      </c>
    </row>
    <row r="29" ht="14.25" customHeight="1">
      <c r="A29" s="2" t="s">
        <v>20</v>
      </c>
      <c r="B29" s="1" t="s">
        <v>6</v>
      </c>
      <c r="C29" s="2" t="s">
        <v>7</v>
      </c>
      <c r="D29" s="2" t="s">
        <v>8</v>
      </c>
      <c r="E29" s="3" t="str">
        <f t="shared" si="4"/>
        <v>https://oknesset.org/committee/meeting/14435/</v>
      </c>
    </row>
    <row r="30" ht="14.25" customHeight="1">
      <c r="A30" s="2" t="s">
        <v>21</v>
      </c>
      <c r="B30" s="1" t="s">
        <v>6</v>
      </c>
      <c r="C30" s="2" t="s">
        <v>7</v>
      </c>
      <c r="D30" s="2" t="s">
        <v>8</v>
      </c>
      <c r="E30" s="3" t="str">
        <f t="shared" si="4"/>
        <v>https://oknesset.org/committee/meeting/14435/</v>
      </c>
    </row>
    <row r="31" ht="14.25" customHeight="1">
      <c r="A31" s="2" t="s">
        <v>22</v>
      </c>
      <c r="B31" s="1" t="s">
        <v>6</v>
      </c>
      <c r="C31" s="2" t="s">
        <v>7</v>
      </c>
      <c r="D31" s="2" t="s">
        <v>8</v>
      </c>
      <c r="E31" s="3" t="str">
        <f t="shared" si="4"/>
        <v>https://oknesset.org/committee/meeting/14435/</v>
      </c>
    </row>
    <row r="32" ht="14.25" customHeight="1">
      <c r="A32" s="2" t="s">
        <v>23</v>
      </c>
      <c r="B32" s="1" t="s">
        <v>24</v>
      </c>
      <c r="C32" s="2" t="s">
        <v>25</v>
      </c>
      <c r="D32" s="2" t="s">
        <v>26</v>
      </c>
      <c r="E32" s="3" t="str">
        <f t="shared" ref="E32:E34" si="5">HYPERLINK("https://oknesset.org/committee/meeting/14288/","https://oknesset.org/committee/meeting/14288/")</f>
        <v>https://oknesset.org/committee/meeting/14288/</v>
      </c>
    </row>
    <row r="33" ht="14.25" customHeight="1">
      <c r="A33" s="2" t="s">
        <v>27</v>
      </c>
      <c r="B33" s="1" t="s">
        <v>24</v>
      </c>
      <c r="C33" s="2" t="s">
        <v>25</v>
      </c>
      <c r="D33" s="2" t="s">
        <v>26</v>
      </c>
      <c r="E33" s="3" t="str">
        <f t="shared" si="5"/>
        <v>https://oknesset.org/committee/meeting/14288/</v>
      </c>
    </row>
    <row r="34" ht="14.25" customHeight="1">
      <c r="A34" s="2" t="s">
        <v>28</v>
      </c>
      <c r="B34" s="1" t="s">
        <v>24</v>
      </c>
      <c r="C34" s="2" t="s">
        <v>25</v>
      </c>
      <c r="D34" s="2" t="s">
        <v>26</v>
      </c>
      <c r="E34" s="3" t="str">
        <f t="shared" si="5"/>
        <v>https://oknesset.org/committee/meeting/14288/</v>
      </c>
    </row>
    <row r="35" ht="14.25" customHeight="1">
      <c r="A35" s="2" t="s">
        <v>20</v>
      </c>
      <c r="B35" s="1" t="s">
        <v>24</v>
      </c>
      <c r="C35" s="2" t="s">
        <v>29</v>
      </c>
      <c r="D35" s="2" t="s">
        <v>30</v>
      </c>
      <c r="E35" s="3" t="str">
        <f t="shared" ref="E35:E39" si="6">HYPERLINK("https://oknesset.org/committee/meeting/14041/","https://oknesset.org/committee/meeting/14041/")</f>
        <v>https://oknesset.org/committee/meeting/14041/</v>
      </c>
    </row>
    <row r="36" ht="14.25" customHeight="1">
      <c r="A36" s="2" t="s">
        <v>31</v>
      </c>
      <c r="B36" s="1" t="s">
        <v>24</v>
      </c>
      <c r="C36" s="2" t="s">
        <v>29</v>
      </c>
      <c r="D36" s="2" t="s">
        <v>30</v>
      </c>
      <c r="E36" s="3" t="str">
        <f t="shared" si="6"/>
        <v>https://oknesset.org/committee/meeting/14041/</v>
      </c>
    </row>
    <row r="37" ht="14.25" customHeight="1">
      <c r="A37" s="2" t="s">
        <v>13</v>
      </c>
      <c r="B37" s="1" t="s">
        <v>24</v>
      </c>
      <c r="C37" s="2" t="s">
        <v>29</v>
      </c>
      <c r="D37" s="2" t="s">
        <v>30</v>
      </c>
      <c r="E37" s="3" t="str">
        <f t="shared" si="6"/>
        <v>https://oknesset.org/committee/meeting/14041/</v>
      </c>
    </row>
    <row r="38" ht="14.25" customHeight="1">
      <c r="A38" s="2" t="s">
        <v>32</v>
      </c>
      <c r="B38" s="1" t="s">
        <v>24</v>
      </c>
      <c r="C38" s="2" t="s">
        <v>29</v>
      </c>
      <c r="D38" s="2" t="s">
        <v>30</v>
      </c>
      <c r="E38" s="3" t="str">
        <f t="shared" si="6"/>
        <v>https://oknesset.org/committee/meeting/14041/</v>
      </c>
    </row>
    <row r="39" ht="14.25" customHeight="1">
      <c r="A39" s="2" t="s">
        <v>10</v>
      </c>
      <c r="B39" s="1" t="s">
        <v>24</v>
      </c>
      <c r="C39" s="2" t="s">
        <v>29</v>
      </c>
      <c r="D39" s="2" t="s">
        <v>30</v>
      </c>
      <c r="E39" s="3" t="str">
        <f t="shared" si="6"/>
        <v>https://oknesset.org/committee/meeting/14041/</v>
      </c>
    </row>
    <row r="40" ht="14.25" customHeight="1">
      <c r="A40" s="2" t="s">
        <v>15</v>
      </c>
      <c r="B40" s="1" t="s">
        <v>24</v>
      </c>
      <c r="C40" s="2" t="s">
        <v>7</v>
      </c>
      <c r="D40" s="2" t="s">
        <v>8</v>
      </c>
      <c r="E40" s="3" t="str">
        <f>HYPERLINK("https://oknesset.org/committee/meeting/14432/","https://oknesset.org/committee/meeting/14432/")</f>
        <v>https://oknesset.org/committee/meeting/14432/</v>
      </c>
    </row>
    <row r="41" ht="14.25" customHeight="1">
      <c r="A41" s="2" t="s">
        <v>11</v>
      </c>
      <c r="B41" s="1" t="s">
        <v>24</v>
      </c>
      <c r="C41" s="2" t="s">
        <v>29</v>
      </c>
      <c r="D41" s="2" t="s">
        <v>33</v>
      </c>
      <c r="E41" s="3" t="str">
        <f t="shared" ref="E41:E43" si="7">HYPERLINK("https://oknesset.org/committee/meeting/14040/","https://oknesset.org/committee/meeting/14040/")</f>
        <v>https://oknesset.org/committee/meeting/14040/</v>
      </c>
    </row>
    <row r="42" ht="14.25" customHeight="1">
      <c r="A42" s="2" t="s">
        <v>34</v>
      </c>
      <c r="B42" s="1" t="s">
        <v>24</v>
      </c>
      <c r="C42" s="2" t="s">
        <v>29</v>
      </c>
      <c r="D42" s="2" t="s">
        <v>33</v>
      </c>
      <c r="E42" s="3" t="str">
        <f t="shared" si="7"/>
        <v>https://oknesset.org/committee/meeting/14040/</v>
      </c>
    </row>
    <row r="43" ht="14.25" customHeight="1">
      <c r="A43" s="2" t="s">
        <v>35</v>
      </c>
      <c r="B43" s="1" t="s">
        <v>24</v>
      </c>
      <c r="C43" s="2" t="s">
        <v>29</v>
      </c>
      <c r="D43" s="2" t="s">
        <v>33</v>
      </c>
      <c r="E43" s="3" t="str">
        <f t="shared" si="7"/>
        <v>https://oknesset.org/committee/meeting/14040/</v>
      </c>
    </row>
    <row r="44" ht="14.25" customHeight="1">
      <c r="A44" s="2" t="s">
        <v>36</v>
      </c>
      <c r="B44" s="1" t="s">
        <v>24</v>
      </c>
      <c r="C44" s="2" t="s">
        <v>37</v>
      </c>
      <c r="D44" s="2" t="s">
        <v>38</v>
      </c>
      <c r="E44" s="3" t="str">
        <f t="shared" ref="E44:E46" si="8">HYPERLINK("https://oknesset.org/committee/meeting/14417/","https://oknesset.org/committee/meeting/14417/")</f>
        <v>https://oknesset.org/committee/meeting/14417/</v>
      </c>
    </row>
    <row r="45" ht="14.25" customHeight="1">
      <c r="A45" s="2" t="s">
        <v>17</v>
      </c>
      <c r="B45" s="1" t="s">
        <v>24</v>
      </c>
      <c r="C45" s="2" t="s">
        <v>37</v>
      </c>
      <c r="D45" s="2" t="s">
        <v>38</v>
      </c>
      <c r="E45" s="3" t="str">
        <f t="shared" si="8"/>
        <v>https://oknesset.org/committee/meeting/14417/</v>
      </c>
    </row>
    <row r="46" ht="14.25" customHeight="1">
      <c r="A46" s="2" t="s">
        <v>39</v>
      </c>
      <c r="B46" s="1" t="s">
        <v>24</v>
      </c>
      <c r="C46" s="2" t="s">
        <v>37</v>
      </c>
      <c r="D46" s="2" t="s">
        <v>38</v>
      </c>
      <c r="E46" s="3" t="str">
        <f t="shared" si="8"/>
        <v>https://oknesset.org/committee/meeting/14417/</v>
      </c>
    </row>
    <row r="47" ht="14.25" customHeight="1">
      <c r="A47" s="2" t="s">
        <v>16</v>
      </c>
      <c r="B47" s="1" t="s">
        <v>24</v>
      </c>
      <c r="C47" s="2" t="s">
        <v>7</v>
      </c>
      <c r="D47" s="2" t="s">
        <v>8</v>
      </c>
      <c r="E47" s="3" t="str">
        <f t="shared" ref="E47:E49" si="9">HYPERLINK("https://oknesset.org/committee/meeting/14432/","https://oknesset.org/committee/meeting/14432/")</f>
        <v>https://oknesset.org/committee/meeting/14432/</v>
      </c>
    </row>
    <row r="48" ht="14.25" customHeight="1">
      <c r="A48" s="2" t="s">
        <v>40</v>
      </c>
      <c r="B48" s="1" t="s">
        <v>24</v>
      </c>
      <c r="C48" s="2" t="s">
        <v>7</v>
      </c>
      <c r="D48" s="2" t="s">
        <v>8</v>
      </c>
      <c r="E48" s="3" t="str">
        <f t="shared" si="9"/>
        <v>https://oknesset.org/committee/meeting/14432/</v>
      </c>
    </row>
    <row r="49" ht="14.25" customHeight="1">
      <c r="A49" s="2" t="s">
        <v>19</v>
      </c>
      <c r="B49" s="1" t="s">
        <v>24</v>
      </c>
      <c r="C49" s="2" t="s">
        <v>7</v>
      </c>
      <c r="D49" s="2" t="s">
        <v>8</v>
      </c>
      <c r="E49" s="3" t="str">
        <f t="shared" si="9"/>
        <v>https://oknesset.org/committee/meeting/14432/</v>
      </c>
    </row>
    <row r="50" ht="14.25" customHeight="1">
      <c r="A50" s="2" t="s">
        <v>41</v>
      </c>
      <c r="B50" s="1" t="s">
        <v>24</v>
      </c>
      <c r="C50" s="2" t="s">
        <v>42</v>
      </c>
      <c r="D50" s="2" t="s">
        <v>43</v>
      </c>
      <c r="E50" s="3" t="str">
        <f t="shared" ref="E50:E51" si="10">HYPERLINK("https://oknesset.org/committee/meeting/14374/","https://oknesset.org/committee/meeting/14374/")</f>
        <v>https://oknesset.org/committee/meeting/14374/</v>
      </c>
    </row>
    <row r="51" ht="14.25" customHeight="1">
      <c r="A51" s="2" t="s">
        <v>44</v>
      </c>
      <c r="B51" s="1" t="s">
        <v>24</v>
      </c>
      <c r="C51" s="2" t="s">
        <v>42</v>
      </c>
      <c r="D51" s="2" t="s">
        <v>43</v>
      </c>
      <c r="E51" s="3" t="str">
        <f t="shared" si="10"/>
        <v>https://oknesset.org/committee/meeting/14374/</v>
      </c>
    </row>
    <row r="52" ht="14.25" customHeight="1">
      <c r="A52" s="2" t="s">
        <v>20</v>
      </c>
      <c r="B52" s="1" t="s">
        <v>24</v>
      </c>
      <c r="C52" s="2" t="s">
        <v>7</v>
      </c>
      <c r="D52" s="2" t="s">
        <v>8</v>
      </c>
      <c r="E52" s="3" t="str">
        <f t="shared" ref="E52:E54" si="11">HYPERLINK("https://oknesset.org/committee/meeting/14432/","https://oknesset.org/committee/meeting/14432/")</f>
        <v>https://oknesset.org/committee/meeting/14432/</v>
      </c>
    </row>
    <row r="53" ht="14.25" customHeight="1">
      <c r="A53" s="2" t="s">
        <v>21</v>
      </c>
      <c r="B53" s="1" t="s">
        <v>24</v>
      </c>
      <c r="C53" s="2" t="s">
        <v>7</v>
      </c>
      <c r="D53" s="2" t="s">
        <v>8</v>
      </c>
      <c r="E53" s="3" t="str">
        <f t="shared" si="11"/>
        <v>https://oknesset.org/committee/meeting/14432/</v>
      </c>
    </row>
    <row r="54" ht="14.25" customHeight="1">
      <c r="A54" s="2" t="s">
        <v>22</v>
      </c>
      <c r="B54" s="1" t="s">
        <v>24</v>
      </c>
      <c r="C54" s="2" t="s">
        <v>7</v>
      </c>
      <c r="D54" s="2" t="s">
        <v>8</v>
      </c>
      <c r="E54" s="3" t="str">
        <f t="shared" si="11"/>
        <v>https://oknesset.org/committee/meeting/14432/</v>
      </c>
    </row>
    <row r="55" ht="14.25" customHeight="1">
      <c r="A55" s="2" t="s">
        <v>15</v>
      </c>
      <c r="B55" s="1" t="s">
        <v>24</v>
      </c>
      <c r="C55" s="2" t="s">
        <v>45</v>
      </c>
      <c r="D55" s="2" t="s">
        <v>46</v>
      </c>
      <c r="E55" s="3" t="str">
        <f t="shared" ref="E55:E56" si="12">HYPERLINK("https://oknesset.org/committee/meeting/14156/","https://oknesset.org/committee/meeting/14156/")</f>
        <v>https://oknesset.org/committee/meeting/14156/</v>
      </c>
    </row>
    <row r="56" ht="14.25" customHeight="1">
      <c r="A56" s="2" t="s">
        <v>47</v>
      </c>
      <c r="B56" s="1" t="s">
        <v>24</v>
      </c>
      <c r="C56" s="2" t="s">
        <v>45</v>
      </c>
      <c r="D56" s="2" t="s">
        <v>46</v>
      </c>
      <c r="E56" s="3" t="str">
        <f t="shared" si="12"/>
        <v>https://oknesset.org/committee/meeting/14156/</v>
      </c>
    </row>
    <row r="57" ht="14.25" customHeight="1">
      <c r="A57" s="2" t="s">
        <v>44</v>
      </c>
      <c r="B57" s="1" t="s">
        <v>24</v>
      </c>
      <c r="C57" s="2" t="s">
        <v>48</v>
      </c>
      <c r="D57" s="2" t="s">
        <v>49</v>
      </c>
      <c r="E57" s="3" t="str">
        <f t="shared" ref="E57:E58" si="13">HYPERLINK("https://oknesset.org/committee/meeting/14202/","https://oknesset.org/committee/meeting/14202/")</f>
        <v>https://oknesset.org/committee/meeting/14202/</v>
      </c>
    </row>
    <row r="58" ht="14.25" customHeight="1">
      <c r="A58" s="2" t="s">
        <v>50</v>
      </c>
      <c r="B58" s="1" t="s">
        <v>24</v>
      </c>
      <c r="C58" s="2" t="s">
        <v>48</v>
      </c>
      <c r="D58" s="2" t="s">
        <v>49</v>
      </c>
      <c r="E58" s="3" t="str">
        <f t="shared" si="13"/>
        <v>https://oknesset.org/committee/meeting/14202/</v>
      </c>
    </row>
    <row r="59" ht="14.25" customHeight="1">
      <c r="A59" s="2" t="s">
        <v>32</v>
      </c>
      <c r="B59" s="1" t="s">
        <v>24</v>
      </c>
      <c r="C59" s="2" t="s">
        <v>48</v>
      </c>
      <c r="D59" s="2" t="s">
        <v>51</v>
      </c>
      <c r="E59" s="3" t="str">
        <f>HYPERLINK("https://oknesset.org/committee/meeting/14201/","https://oknesset.org/committee/meeting/14201/")</f>
        <v>https://oknesset.org/committee/meeting/14201/</v>
      </c>
    </row>
    <row r="60" ht="14.25" customHeight="1">
      <c r="A60" s="2" t="s">
        <v>34</v>
      </c>
      <c r="B60" s="1" t="s">
        <v>24</v>
      </c>
      <c r="C60" s="2" t="s">
        <v>52</v>
      </c>
      <c r="D60" s="2" t="s">
        <v>53</v>
      </c>
      <c r="E60" s="3" t="str">
        <f t="shared" ref="E60:E63" si="14">HYPERLINK("https://oknesset.org/committee/meeting/14264/","https://oknesset.org/committee/meeting/14264/")</f>
        <v>https://oknesset.org/committee/meeting/14264/</v>
      </c>
    </row>
    <row r="61" ht="14.25" customHeight="1">
      <c r="A61" s="2" t="s">
        <v>54</v>
      </c>
      <c r="B61" s="1" t="s">
        <v>24</v>
      </c>
      <c r="C61" s="2" t="s">
        <v>52</v>
      </c>
      <c r="D61" s="2" t="s">
        <v>53</v>
      </c>
      <c r="E61" s="3" t="str">
        <f t="shared" si="14"/>
        <v>https://oknesset.org/committee/meeting/14264/</v>
      </c>
    </row>
    <row r="62" ht="14.25" customHeight="1">
      <c r="A62" s="2" t="s">
        <v>15</v>
      </c>
      <c r="B62" s="1" t="s">
        <v>24</v>
      </c>
      <c r="C62" s="2" t="s">
        <v>52</v>
      </c>
      <c r="D62" s="2" t="s">
        <v>53</v>
      </c>
      <c r="E62" s="3" t="str">
        <f t="shared" si="14"/>
        <v>https://oknesset.org/committee/meeting/14264/</v>
      </c>
    </row>
    <row r="63" ht="14.25" customHeight="1">
      <c r="A63" s="2" t="s">
        <v>28</v>
      </c>
      <c r="B63" s="1" t="s">
        <v>24</v>
      </c>
      <c r="C63" s="2" t="s">
        <v>52</v>
      </c>
      <c r="D63" s="2" t="s">
        <v>53</v>
      </c>
      <c r="E63" s="3" t="str">
        <f t="shared" si="14"/>
        <v>https://oknesset.org/committee/meeting/14264/</v>
      </c>
    </row>
    <row r="64" ht="14.25" customHeight="1">
      <c r="A64" s="2" t="s">
        <v>34</v>
      </c>
      <c r="B64" s="1" t="s">
        <v>24</v>
      </c>
      <c r="C64" s="2" t="s">
        <v>52</v>
      </c>
      <c r="D64" s="2" t="s">
        <v>55</v>
      </c>
      <c r="E64" s="3" t="str">
        <f t="shared" ref="E64:E68" si="15">HYPERLINK("https://oknesset.org/committee/meeting/14263/","https://oknesset.org/committee/meeting/14263/")</f>
        <v>https://oknesset.org/committee/meeting/14263/</v>
      </c>
    </row>
    <row r="65" ht="14.25" customHeight="1">
      <c r="A65" s="2" t="s">
        <v>56</v>
      </c>
      <c r="B65" s="1" t="s">
        <v>24</v>
      </c>
      <c r="C65" s="2" t="s">
        <v>52</v>
      </c>
      <c r="D65" s="2" t="s">
        <v>55</v>
      </c>
      <c r="E65" s="3" t="str">
        <f t="shared" si="15"/>
        <v>https://oknesset.org/committee/meeting/14263/</v>
      </c>
    </row>
    <row r="66" ht="14.25" customHeight="1">
      <c r="A66" s="2" t="s">
        <v>10</v>
      </c>
      <c r="B66" s="1" t="s">
        <v>24</v>
      </c>
      <c r="C66" s="2" t="s">
        <v>52</v>
      </c>
      <c r="D66" s="2" t="s">
        <v>55</v>
      </c>
      <c r="E66" s="3" t="str">
        <f t="shared" si="15"/>
        <v>https://oknesset.org/committee/meeting/14263/</v>
      </c>
    </row>
    <row r="67" ht="14.25" customHeight="1">
      <c r="A67" s="2" t="s">
        <v>57</v>
      </c>
      <c r="B67" s="1" t="s">
        <v>24</v>
      </c>
      <c r="C67" s="2" t="s">
        <v>52</v>
      </c>
      <c r="D67" s="2" t="s">
        <v>55</v>
      </c>
      <c r="E67" s="3" t="str">
        <f t="shared" si="15"/>
        <v>https://oknesset.org/committee/meeting/14263/</v>
      </c>
    </row>
    <row r="68" ht="14.25" customHeight="1">
      <c r="A68" s="2" t="s">
        <v>58</v>
      </c>
      <c r="B68" s="1" t="s">
        <v>24</v>
      </c>
      <c r="C68" s="2" t="s">
        <v>52</v>
      </c>
      <c r="D68" s="2" t="s">
        <v>55</v>
      </c>
      <c r="E68" s="3" t="str">
        <f t="shared" si="15"/>
        <v>https://oknesset.org/committee/meeting/14263/</v>
      </c>
    </row>
    <row r="69" ht="14.25" customHeight="1">
      <c r="A69" s="2" t="s">
        <v>59</v>
      </c>
      <c r="B69" s="1" t="s">
        <v>24</v>
      </c>
      <c r="C69" s="2" t="s">
        <v>52</v>
      </c>
      <c r="D69" s="2" t="s">
        <v>60</v>
      </c>
      <c r="E69" s="3" t="str">
        <f>HYPERLINK("https://oknesset.org/committee/meeting/14262/","https://oknesset.org/committee/meeting/14262/")</f>
        <v>https://oknesset.org/committee/meeting/14262/</v>
      </c>
    </row>
    <row r="70" ht="14.25" customHeight="1">
      <c r="A70" s="2" t="s">
        <v>5</v>
      </c>
      <c r="B70" s="1" t="s">
        <v>24</v>
      </c>
      <c r="C70" s="2" t="s">
        <v>7</v>
      </c>
      <c r="D70" s="2" t="s">
        <v>8</v>
      </c>
      <c r="E70" s="3" t="str">
        <f t="shared" ref="E70:E79" si="16">HYPERLINK("https://oknesset.org/committee/meeting/14434/","https://oknesset.org/committee/meeting/14434/")</f>
        <v>https://oknesset.org/committee/meeting/14434/</v>
      </c>
    </row>
    <row r="71" ht="14.25" customHeight="1">
      <c r="A71" s="2" t="s">
        <v>61</v>
      </c>
      <c r="B71" s="1" t="s">
        <v>24</v>
      </c>
      <c r="C71" s="2" t="s">
        <v>7</v>
      </c>
      <c r="D71" s="2" t="s">
        <v>8</v>
      </c>
      <c r="E71" s="3" t="str">
        <f t="shared" si="16"/>
        <v>https://oknesset.org/committee/meeting/14434/</v>
      </c>
    </row>
    <row r="72" ht="14.25" customHeight="1">
      <c r="A72" s="2" t="s">
        <v>54</v>
      </c>
      <c r="B72" s="1" t="s">
        <v>24</v>
      </c>
      <c r="C72" s="2" t="s">
        <v>7</v>
      </c>
      <c r="D72" s="2" t="s">
        <v>8</v>
      </c>
      <c r="E72" s="3" t="str">
        <f t="shared" si="16"/>
        <v>https://oknesset.org/committee/meeting/14434/</v>
      </c>
    </row>
    <row r="73" ht="14.25" customHeight="1">
      <c r="A73" s="2" t="s">
        <v>11</v>
      </c>
      <c r="B73" s="1" t="s">
        <v>24</v>
      </c>
      <c r="C73" s="2" t="s">
        <v>7</v>
      </c>
      <c r="D73" s="2" t="s">
        <v>8</v>
      </c>
      <c r="E73" s="3" t="str">
        <f t="shared" si="16"/>
        <v>https://oknesset.org/committee/meeting/14434/</v>
      </c>
    </row>
    <row r="74" ht="14.25" customHeight="1">
      <c r="A74" s="2" t="s">
        <v>12</v>
      </c>
      <c r="B74" s="1" t="s">
        <v>24</v>
      </c>
      <c r="C74" s="2" t="s">
        <v>7</v>
      </c>
      <c r="D74" s="2" t="s">
        <v>8</v>
      </c>
      <c r="E74" s="3" t="str">
        <f t="shared" si="16"/>
        <v>https://oknesset.org/committee/meeting/14434/</v>
      </c>
    </row>
    <row r="75" ht="14.25" customHeight="1">
      <c r="A75" s="2" t="s">
        <v>14</v>
      </c>
      <c r="B75" s="1" t="s">
        <v>24</v>
      </c>
      <c r="C75" s="2" t="s">
        <v>7</v>
      </c>
      <c r="D75" s="2" t="s">
        <v>8</v>
      </c>
      <c r="E75" s="3" t="str">
        <f t="shared" si="16"/>
        <v>https://oknesset.org/committee/meeting/14434/</v>
      </c>
    </row>
    <row r="76" ht="14.25" customHeight="1">
      <c r="A76" s="2" t="s">
        <v>15</v>
      </c>
      <c r="B76" s="1" t="s">
        <v>24</v>
      </c>
      <c r="C76" s="2" t="s">
        <v>7</v>
      </c>
      <c r="D76" s="2" t="s">
        <v>8</v>
      </c>
      <c r="E76" s="3" t="str">
        <f t="shared" si="16"/>
        <v>https://oknesset.org/committee/meeting/14434/</v>
      </c>
    </row>
    <row r="77" ht="14.25" customHeight="1">
      <c r="A77" s="2" t="s">
        <v>16</v>
      </c>
      <c r="B77" s="1" t="s">
        <v>24</v>
      </c>
      <c r="C77" s="2" t="s">
        <v>7</v>
      </c>
      <c r="D77" s="2" t="s">
        <v>8</v>
      </c>
      <c r="E77" s="3" t="str">
        <f t="shared" si="16"/>
        <v>https://oknesset.org/committee/meeting/14434/</v>
      </c>
    </row>
    <row r="78" ht="14.25" customHeight="1">
      <c r="A78" s="2" t="s">
        <v>20</v>
      </c>
      <c r="B78" s="1" t="s">
        <v>24</v>
      </c>
      <c r="C78" s="2" t="s">
        <v>7</v>
      </c>
      <c r="D78" s="2" t="s">
        <v>8</v>
      </c>
      <c r="E78" s="3" t="str">
        <f t="shared" si="16"/>
        <v>https://oknesset.org/committee/meeting/14434/</v>
      </c>
    </row>
    <row r="79" ht="14.25" customHeight="1">
      <c r="A79" s="2" t="s">
        <v>22</v>
      </c>
      <c r="B79" s="1" t="s">
        <v>24</v>
      </c>
      <c r="C79" s="2" t="s">
        <v>7</v>
      </c>
      <c r="D79" s="2" t="s">
        <v>8</v>
      </c>
      <c r="E79" s="3" t="str">
        <f t="shared" si="16"/>
        <v>https://oknesset.org/committee/meeting/14434/</v>
      </c>
    </row>
    <row r="80" ht="14.25" customHeight="1">
      <c r="A80" s="2" t="s">
        <v>62</v>
      </c>
      <c r="B80" s="1" t="s">
        <v>24</v>
      </c>
      <c r="C80" s="2" t="s">
        <v>48</v>
      </c>
      <c r="D80" s="2" t="s">
        <v>51</v>
      </c>
      <c r="E80" s="3" t="str">
        <f>HYPERLINK("https://oknesset.org/committee/meeting/14201/","https://oknesset.org/committee/meeting/14201/")</f>
        <v>https://oknesset.org/committee/meeting/14201/</v>
      </c>
    </row>
    <row r="81" ht="14.25" customHeight="1">
      <c r="A81" s="2" t="s">
        <v>59</v>
      </c>
      <c r="B81" s="1" t="s">
        <v>24</v>
      </c>
      <c r="C81" s="2" t="s">
        <v>63</v>
      </c>
      <c r="D81" s="2" t="s">
        <v>60</v>
      </c>
      <c r="E81" s="3" t="str">
        <f>HYPERLINK("https://oknesset.org/committee/meeting/14407/","https://oknesset.org/committee/meeting/14407/")</f>
        <v>https://oknesset.org/committee/meeting/14407/</v>
      </c>
    </row>
    <row r="82" ht="14.25" customHeight="1">
      <c r="A82" s="2" t="s">
        <v>34</v>
      </c>
      <c r="B82" s="1" t="s">
        <v>24</v>
      </c>
      <c r="C82" s="2" t="s">
        <v>48</v>
      </c>
      <c r="D82" s="2" t="s">
        <v>49</v>
      </c>
      <c r="E82" s="3" t="str">
        <f t="shared" ref="E82:E83" si="17">HYPERLINK("https://oknesset.org/committee/meeting/14202/","https://oknesset.org/committee/meeting/14202/")</f>
        <v>https://oknesset.org/committee/meeting/14202/</v>
      </c>
    </row>
    <row r="83" ht="14.25" customHeight="1">
      <c r="A83" s="2" t="s">
        <v>32</v>
      </c>
      <c r="B83" s="1" t="s">
        <v>24</v>
      </c>
      <c r="C83" s="2" t="s">
        <v>48</v>
      </c>
      <c r="D83" s="2" t="s">
        <v>49</v>
      </c>
      <c r="E83" s="3" t="str">
        <f t="shared" si="17"/>
        <v>https://oknesset.org/committee/meeting/14202/</v>
      </c>
    </row>
    <row r="84" ht="14.25" customHeight="1">
      <c r="A84" s="2" t="s">
        <v>20</v>
      </c>
      <c r="B84" s="1" t="s">
        <v>24</v>
      </c>
      <c r="C84" s="2" t="s">
        <v>29</v>
      </c>
      <c r="D84" s="2" t="s">
        <v>33</v>
      </c>
      <c r="E84" s="3" t="str">
        <f>HYPERLINK("https://oknesset.org/committee/meeting/14040/","https://oknesset.org/committee/meeting/14040/")</f>
        <v>https://oknesset.org/committee/meeting/14040/</v>
      </c>
    </row>
    <row r="85" ht="14.25" customHeight="1">
      <c r="A85" s="2" t="s">
        <v>64</v>
      </c>
      <c r="B85" s="1" t="s">
        <v>24</v>
      </c>
      <c r="C85" s="2" t="s">
        <v>48</v>
      </c>
      <c r="D85" s="2" t="s">
        <v>49</v>
      </c>
      <c r="E85" s="3" t="str">
        <f>HYPERLINK("https://oknesset.org/committee/meeting/14202/","https://oknesset.org/committee/meeting/14202/")</f>
        <v>https://oknesset.org/committee/meeting/14202/</v>
      </c>
    </row>
    <row r="86" ht="14.25" customHeight="1">
      <c r="A86" s="2" t="s">
        <v>59</v>
      </c>
      <c r="B86" s="1" t="s">
        <v>24</v>
      </c>
      <c r="C86" s="2" t="s">
        <v>65</v>
      </c>
      <c r="D86" s="2" t="s">
        <v>60</v>
      </c>
      <c r="E86" s="3" t="str">
        <f>HYPERLINK("https://oknesset.org/committee/meeting/14175/","https://oknesset.org/committee/meeting/14175/")</f>
        <v>https://oknesset.org/committee/meeting/14175/</v>
      </c>
    </row>
    <row r="87" ht="14.25" customHeight="1">
      <c r="A87" s="2" t="s">
        <v>9</v>
      </c>
      <c r="B87" s="1" t="s">
        <v>24</v>
      </c>
      <c r="C87" s="2" t="s">
        <v>45</v>
      </c>
      <c r="D87" s="2" t="s">
        <v>46</v>
      </c>
      <c r="E87" s="3" t="str">
        <f>HYPERLINK("https://oknesset.org/committee/meeting/14156/","https://oknesset.org/committee/meeting/14156/")</f>
        <v>https://oknesset.org/committee/meeting/14156/</v>
      </c>
    </row>
    <row r="88" ht="14.25" customHeight="1">
      <c r="A88" s="2" t="s">
        <v>66</v>
      </c>
      <c r="B88" s="1" t="s">
        <v>24</v>
      </c>
      <c r="C88" s="2" t="s">
        <v>7</v>
      </c>
      <c r="D88" s="2" t="s">
        <v>8</v>
      </c>
      <c r="E88" s="3" t="str">
        <f>HYPERLINK("https://oknesset.org/committee/meeting/14434/","https://oknesset.org/committee/meeting/14434/")</f>
        <v>https://oknesset.org/committee/meeting/14434/</v>
      </c>
    </row>
    <row r="89" ht="14.25" customHeight="1">
      <c r="A89" s="2" t="s">
        <v>5</v>
      </c>
      <c r="B89" s="1" t="s">
        <v>24</v>
      </c>
      <c r="C89" s="2" t="s">
        <v>7</v>
      </c>
      <c r="D89" s="2" t="s">
        <v>8</v>
      </c>
      <c r="E89" s="3" t="str">
        <f t="shared" ref="E89:E92" si="18">HYPERLINK("https://oknesset.org/committee/meeting/14432/","https://oknesset.org/committee/meeting/14432/")</f>
        <v>https://oknesset.org/committee/meeting/14432/</v>
      </c>
    </row>
    <row r="90" ht="14.25" customHeight="1">
      <c r="A90" s="2" t="s">
        <v>9</v>
      </c>
      <c r="B90" s="1" t="s">
        <v>24</v>
      </c>
      <c r="C90" s="2" t="s">
        <v>7</v>
      </c>
      <c r="D90" s="2" t="s">
        <v>8</v>
      </c>
      <c r="E90" s="3" t="str">
        <f t="shared" si="18"/>
        <v>https://oknesset.org/committee/meeting/14432/</v>
      </c>
    </row>
    <row r="91" ht="14.25" customHeight="1">
      <c r="A91" s="2" t="s">
        <v>54</v>
      </c>
      <c r="B91" s="1" t="s">
        <v>24</v>
      </c>
      <c r="C91" s="2" t="s">
        <v>7</v>
      </c>
      <c r="D91" s="2" t="s">
        <v>8</v>
      </c>
      <c r="E91" s="3" t="str">
        <f t="shared" si="18"/>
        <v>https://oknesset.org/committee/meeting/14432/</v>
      </c>
    </row>
    <row r="92" ht="14.25" customHeight="1">
      <c r="A92" s="2" t="s">
        <v>11</v>
      </c>
      <c r="B92" s="1" t="s">
        <v>24</v>
      </c>
      <c r="C92" s="2" t="s">
        <v>7</v>
      </c>
      <c r="D92" s="2" t="s">
        <v>8</v>
      </c>
      <c r="E92" s="3" t="str">
        <f t="shared" si="18"/>
        <v>https://oknesset.org/committee/meeting/14432/</v>
      </c>
    </row>
    <row r="93" ht="14.25" customHeight="1">
      <c r="A93" s="2" t="s">
        <v>9</v>
      </c>
      <c r="B93" s="1" t="s">
        <v>24</v>
      </c>
      <c r="C93" s="2" t="s">
        <v>7</v>
      </c>
      <c r="D93" s="2" t="s">
        <v>8</v>
      </c>
      <c r="E93" s="3" t="str">
        <f t="shared" ref="E93:E103" si="19">HYPERLINK("https://oknesset.org/committee/meeting/14433/","https://oknesset.org/committee/meeting/14433/")</f>
        <v>https://oknesset.org/committee/meeting/14433/</v>
      </c>
    </row>
    <row r="94" ht="14.25" customHeight="1">
      <c r="A94" s="2" t="s">
        <v>11</v>
      </c>
      <c r="B94" s="1" t="s">
        <v>24</v>
      </c>
      <c r="C94" s="2" t="s">
        <v>7</v>
      </c>
      <c r="D94" s="2" t="s">
        <v>8</v>
      </c>
      <c r="E94" s="3" t="str">
        <f t="shared" si="19"/>
        <v>https://oknesset.org/committee/meeting/14433/</v>
      </c>
    </row>
    <row r="95" ht="14.25" customHeight="1">
      <c r="A95" s="2" t="s">
        <v>67</v>
      </c>
      <c r="B95" s="1" t="s">
        <v>24</v>
      </c>
      <c r="C95" s="2" t="s">
        <v>7</v>
      </c>
      <c r="D95" s="2" t="s">
        <v>8</v>
      </c>
      <c r="E95" s="3" t="str">
        <f t="shared" si="19"/>
        <v>https://oknesset.org/committee/meeting/14433/</v>
      </c>
    </row>
    <row r="96" ht="14.25" customHeight="1">
      <c r="A96" s="2" t="s">
        <v>12</v>
      </c>
      <c r="B96" s="1" t="s">
        <v>24</v>
      </c>
      <c r="C96" s="2" t="s">
        <v>7</v>
      </c>
      <c r="D96" s="2" t="s">
        <v>8</v>
      </c>
      <c r="E96" s="3" t="str">
        <f t="shared" si="19"/>
        <v>https://oknesset.org/committee/meeting/14433/</v>
      </c>
    </row>
    <row r="97" ht="14.25" customHeight="1">
      <c r="A97" s="2" t="s">
        <v>13</v>
      </c>
      <c r="B97" s="1" t="s">
        <v>24</v>
      </c>
      <c r="C97" s="2" t="s">
        <v>7</v>
      </c>
      <c r="D97" s="2" t="s">
        <v>8</v>
      </c>
      <c r="E97" s="3" t="str">
        <f t="shared" si="19"/>
        <v>https://oknesset.org/committee/meeting/14433/</v>
      </c>
    </row>
    <row r="98" ht="14.25" customHeight="1">
      <c r="A98" s="2" t="s">
        <v>14</v>
      </c>
      <c r="B98" s="1" t="s">
        <v>24</v>
      </c>
      <c r="C98" s="2" t="s">
        <v>7</v>
      </c>
      <c r="D98" s="2" t="s">
        <v>8</v>
      </c>
      <c r="E98" s="3" t="str">
        <f t="shared" si="19"/>
        <v>https://oknesset.org/committee/meeting/14433/</v>
      </c>
    </row>
    <row r="99" ht="14.25" customHeight="1">
      <c r="A99" s="2" t="s">
        <v>15</v>
      </c>
      <c r="B99" s="1" t="s">
        <v>24</v>
      </c>
      <c r="C99" s="2" t="s">
        <v>7</v>
      </c>
      <c r="D99" s="2" t="s">
        <v>8</v>
      </c>
      <c r="E99" s="3" t="str">
        <f t="shared" si="19"/>
        <v>https://oknesset.org/committee/meeting/14433/</v>
      </c>
    </row>
    <row r="100" ht="14.25" customHeight="1">
      <c r="A100" s="2" t="s">
        <v>16</v>
      </c>
      <c r="B100" s="1" t="s">
        <v>24</v>
      </c>
      <c r="C100" s="2" t="s">
        <v>7</v>
      </c>
      <c r="D100" s="2" t="s">
        <v>8</v>
      </c>
      <c r="E100" s="3" t="str">
        <f t="shared" si="19"/>
        <v>https://oknesset.org/committee/meeting/14433/</v>
      </c>
    </row>
    <row r="101" ht="14.25" customHeight="1">
      <c r="A101" s="2" t="s">
        <v>68</v>
      </c>
      <c r="B101" s="1" t="s">
        <v>24</v>
      </c>
      <c r="C101" s="2" t="s">
        <v>7</v>
      </c>
      <c r="D101" s="2" t="s">
        <v>8</v>
      </c>
      <c r="E101" s="3" t="str">
        <f t="shared" si="19"/>
        <v>https://oknesset.org/committee/meeting/14433/</v>
      </c>
    </row>
    <row r="102" ht="14.25" customHeight="1">
      <c r="A102" s="2" t="s">
        <v>19</v>
      </c>
      <c r="B102" s="1" t="s">
        <v>24</v>
      </c>
      <c r="C102" s="2" t="s">
        <v>7</v>
      </c>
      <c r="D102" s="2" t="s">
        <v>8</v>
      </c>
      <c r="E102" s="3" t="str">
        <f t="shared" si="19"/>
        <v>https://oknesset.org/committee/meeting/14433/</v>
      </c>
    </row>
    <row r="103" ht="14.25" customHeight="1">
      <c r="A103" s="2" t="s">
        <v>20</v>
      </c>
      <c r="B103" s="1" t="s">
        <v>24</v>
      </c>
      <c r="C103" s="2" t="s">
        <v>7</v>
      </c>
      <c r="D103" s="2" t="s">
        <v>8</v>
      </c>
      <c r="E103" s="3" t="str">
        <f t="shared" si="19"/>
        <v>https://oknesset.org/committee/meeting/14433/</v>
      </c>
    </row>
    <row r="104" ht="14.25" customHeight="1">
      <c r="A104" s="2" t="s">
        <v>19</v>
      </c>
      <c r="B104" s="1" t="s">
        <v>24</v>
      </c>
      <c r="C104" s="2" t="s">
        <v>29</v>
      </c>
      <c r="D104" s="2" t="s">
        <v>33</v>
      </c>
      <c r="E104" s="3" t="str">
        <f t="shared" ref="E104:E105" si="20">HYPERLINK("https://oknesset.org/committee/meeting/14040/","https://oknesset.org/committee/meeting/14040/")</f>
        <v>https://oknesset.org/committee/meeting/14040/</v>
      </c>
    </row>
    <row r="105" ht="14.25" customHeight="1">
      <c r="A105" s="2" t="s">
        <v>13</v>
      </c>
      <c r="B105" s="1" t="s">
        <v>24</v>
      </c>
      <c r="C105" s="2" t="s">
        <v>29</v>
      </c>
      <c r="D105" s="2" t="s">
        <v>33</v>
      </c>
      <c r="E105" s="3" t="str">
        <f t="shared" si="20"/>
        <v>https://oknesset.org/committee/meeting/14040/</v>
      </c>
    </row>
    <row r="106" ht="14.25" customHeight="1">
      <c r="A106" s="2" t="s">
        <v>56</v>
      </c>
      <c r="B106" s="1" t="s">
        <v>24</v>
      </c>
      <c r="C106" s="2" t="s">
        <v>29</v>
      </c>
      <c r="D106" s="2" t="s">
        <v>30</v>
      </c>
      <c r="E106" s="3" t="str">
        <f t="shared" ref="E106:E107" si="21">HYPERLINK("https://oknesset.org/committee/meeting/14041/","https://oknesset.org/committee/meeting/14041/")</f>
        <v>https://oknesset.org/committee/meeting/14041/</v>
      </c>
    </row>
    <row r="107" ht="14.25" customHeight="1">
      <c r="A107" s="2" t="s">
        <v>35</v>
      </c>
      <c r="B107" s="1" t="s">
        <v>24</v>
      </c>
      <c r="C107" s="2" t="s">
        <v>29</v>
      </c>
      <c r="D107" s="2" t="s">
        <v>30</v>
      </c>
      <c r="E107" s="3" t="str">
        <f t="shared" si="21"/>
        <v>https://oknesset.org/committee/meeting/14041/</v>
      </c>
    </row>
    <row r="108" ht="14.25" customHeight="1">
      <c r="A108" s="2" t="s">
        <v>12</v>
      </c>
      <c r="B108" s="1" t="s">
        <v>24</v>
      </c>
      <c r="C108" s="2" t="s">
        <v>7</v>
      </c>
      <c r="D108" s="2" t="s">
        <v>8</v>
      </c>
      <c r="E108" s="3" t="str">
        <f t="shared" ref="E108:E110" si="22">HYPERLINK("https://oknesset.org/committee/meeting/14432/","https://oknesset.org/committee/meeting/14432/")</f>
        <v>https://oknesset.org/committee/meeting/14432/</v>
      </c>
    </row>
    <row r="109" ht="14.25" customHeight="1">
      <c r="A109" s="2" t="s">
        <v>13</v>
      </c>
      <c r="B109" s="1" t="s">
        <v>24</v>
      </c>
      <c r="C109" s="2" t="s">
        <v>7</v>
      </c>
      <c r="D109" s="2" t="s">
        <v>8</v>
      </c>
      <c r="E109" s="3" t="str">
        <f t="shared" si="22"/>
        <v>https://oknesset.org/committee/meeting/14432/</v>
      </c>
    </row>
    <row r="110" ht="14.25" customHeight="1">
      <c r="A110" s="2" t="s">
        <v>14</v>
      </c>
      <c r="B110" s="1" t="s">
        <v>24</v>
      </c>
      <c r="C110" s="2" t="s">
        <v>7</v>
      </c>
      <c r="D110" s="2" t="s">
        <v>8</v>
      </c>
      <c r="E110" s="3" t="str">
        <f t="shared" si="22"/>
        <v>https://oknesset.org/committee/meeting/14432/</v>
      </c>
    </row>
    <row r="111" ht="14.25" customHeight="1">
      <c r="A111" s="2" t="s">
        <v>27</v>
      </c>
      <c r="B111" s="1" t="s">
        <v>69</v>
      </c>
      <c r="C111" s="2" t="s">
        <v>70</v>
      </c>
      <c r="D111" s="2" t="s">
        <v>71</v>
      </c>
      <c r="E111" s="3" t="str">
        <f t="shared" ref="E111:E124" si="23">HYPERLINK("https://oknesset.org/committee/meeting/14102/","https://oknesset.org/committee/meeting/14102/")</f>
        <v>https://oknesset.org/committee/meeting/14102/</v>
      </c>
    </row>
    <row r="112" ht="14.25" customHeight="1">
      <c r="A112" s="2" t="s">
        <v>72</v>
      </c>
      <c r="B112" s="1" t="s">
        <v>69</v>
      </c>
      <c r="C112" s="2" t="s">
        <v>70</v>
      </c>
      <c r="D112" s="2" t="s">
        <v>71</v>
      </c>
      <c r="E112" s="3" t="str">
        <f t="shared" si="23"/>
        <v>https://oknesset.org/committee/meeting/14102/</v>
      </c>
    </row>
    <row r="113" ht="14.25" customHeight="1">
      <c r="A113" s="2" t="s">
        <v>13</v>
      </c>
      <c r="B113" s="1" t="s">
        <v>69</v>
      </c>
      <c r="C113" s="2" t="s">
        <v>70</v>
      </c>
      <c r="D113" s="2" t="s">
        <v>71</v>
      </c>
      <c r="E113" s="3" t="str">
        <f t="shared" si="23"/>
        <v>https://oknesset.org/committee/meeting/14102/</v>
      </c>
    </row>
    <row r="114" ht="14.25" customHeight="1">
      <c r="A114" s="2" t="s">
        <v>73</v>
      </c>
      <c r="B114" s="1" t="s">
        <v>69</v>
      </c>
      <c r="C114" s="2" t="s">
        <v>70</v>
      </c>
      <c r="D114" s="2" t="s">
        <v>71</v>
      </c>
      <c r="E114" s="3" t="str">
        <f t="shared" si="23"/>
        <v>https://oknesset.org/committee/meeting/14102/</v>
      </c>
    </row>
    <row r="115" ht="14.25" customHeight="1">
      <c r="A115" s="2" t="s">
        <v>74</v>
      </c>
      <c r="B115" s="1" t="s">
        <v>69</v>
      </c>
      <c r="C115" s="2" t="s">
        <v>70</v>
      </c>
      <c r="D115" s="2" t="s">
        <v>71</v>
      </c>
      <c r="E115" s="3" t="str">
        <f t="shared" si="23"/>
        <v>https://oknesset.org/committee/meeting/14102/</v>
      </c>
    </row>
    <row r="116" ht="14.25" customHeight="1">
      <c r="A116" s="2" t="s">
        <v>75</v>
      </c>
      <c r="B116" s="1" t="s">
        <v>69</v>
      </c>
      <c r="C116" s="2" t="s">
        <v>70</v>
      </c>
      <c r="D116" s="2" t="s">
        <v>71</v>
      </c>
      <c r="E116" s="3" t="str">
        <f t="shared" si="23"/>
        <v>https://oknesset.org/committee/meeting/14102/</v>
      </c>
    </row>
    <row r="117" ht="14.25" customHeight="1">
      <c r="A117" s="2" t="s">
        <v>11</v>
      </c>
      <c r="B117" s="1" t="s">
        <v>69</v>
      </c>
      <c r="C117" s="2" t="s">
        <v>70</v>
      </c>
      <c r="D117" s="2" t="s">
        <v>71</v>
      </c>
      <c r="E117" s="3" t="str">
        <f t="shared" si="23"/>
        <v>https://oknesset.org/committee/meeting/14102/</v>
      </c>
    </row>
    <row r="118" ht="14.25" customHeight="1">
      <c r="A118" s="2" t="s">
        <v>76</v>
      </c>
      <c r="B118" s="1" t="s">
        <v>69</v>
      </c>
      <c r="C118" s="2" t="s">
        <v>70</v>
      </c>
      <c r="D118" s="2" t="s">
        <v>71</v>
      </c>
      <c r="E118" s="3" t="str">
        <f t="shared" si="23"/>
        <v>https://oknesset.org/committee/meeting/14102/</v>
      </c>
    </row>
    <row r="119" ht="14.25" customHeight="1">
      <c r="A119" s="2" t="s">
        <v>77</v>
      </c>
      <c r="B119" s="1" t="s">
        <v>69</v>
      </c>
      <c r="C119" s="2" t="s">
        <v>70</v>
      </c>
      <c r="D119" s="2" t="s">
        <v>71</v>
      </c>
      <c r="E119" s="3" t="str">
        <f t="shared" si="23"/>
        <v>https://oknesset.org/committee/meeting/14102/</v>
      </c>
    </row>
    <row r="120" ht="14.25" customHeight="1">
      <c r="A120" s="2" t="s">
        <v>61</v>
      </c>
      <c r="B120" s="1" t="s">
        <v>69</v>
      </c>
      <c r="C120" s="2" t="s">
        <v>70</v>
      </c>
      <c r="D120" s="2" t="s">
        <v>71</v>
      </c>
      <c r="E120" s="3" t="str">
        <f t="shared" si="23"/>
        <v>https://oknesset.org/committee/meeting/14102/</v>
      </c>
    </row>
    <row r="121" ht="14.25" customHeight="1">
      <c r="A121" s="2" t="s">
        <v>78</v>
      </c>
      <c r="B121" s="1" t="s">
        <v>69</v>
      </c>
      <c r="C121" s="2" t="s">
        <v>70</v>
      </c>
      <c r="D121" s="2" t="s">
        <v>71</v>
      </c>
      <c r="E121" s="3" t="str">
        <f t="shared" si="23"/>
        <v>https://oknesset.org/committee/meeting/14102/</v>
      </c>
    </row>
    <row r="122" ht="14.25" customHeight="1">
      <c r="A122" s="2" t="s">
        <v>79</v>
      </c>
      <c r="B122" s="1" t="s">
        <v>69</v>
      </c>
      <c r="C122" s="2" t="s">
        <v>70</v>
      </c>
      <c r="D122" s="2" t="s">
        <v>71</v>
      </c>
      <c r="E122" s="3" t="str">
        <f t="shared" si="23"/>
        <v>https://oknesset.org/committee/meeting/14102/</v>
      </c>
    </row>
    <row r="123" ht="14.25" customHeight="1">
      <c r="A123" s="2" t="s">
        <v>80</v>
      </c>
      <c r="B123" s="1" t="s">
        <v>69</v>
      </c>
      <c r="C123" s="2" t="s">
        <v>70</v>
      </c>
      <c r="D123" s="2" t="s">
        <v>71</v>
      </c>
      <c r="E123" s="3" t="str">
        <f t="shared" si="23"/>
        <v>https://oknesset.org/committee/meeting/14102/</v>
      </c>
    </row>
    <row r="124" ht="14.25" customHeight="1">
      <c r="A124" s="2" t="s">
        <v>35</v>
      </c>
      <c r="B124" s="1" t="s">
        <v>69</v>
      </c>
      <c r="C124" s="2" t="s">
        <v>70</v>
      </c>
      <c r="D124" s="2" t="s">
        <v>71</v>
      </c>
      <c r="E124" s="3" t="str">
        <f t="shared" si="23"/>
        <v>https://oknesset.org/committee/meeting/14102/</v>
      </c>
    </row>
    <row r="125" ht="14.25" customHeight="1">
      <c r="A125" s="2" t="s">
        <v>66</v>
      </c>
      <c r="B125" s="1" t="s">
        <v>69</v>
      </c>
      <c r="C125" s="2" t="s">
        <v>45</v>
      </c>
      <c r="D125" s="2" t="s">
        <v>81</v>
      </c>
      <c r="E125" s="3" t="str">
        <f t="shared" ref="E125:E132" si="24">HYPERLINK("https://oknesset.org/committee/meeting/14153/","https://oknesset.org/committee/meeting/14153/")</f>
        <v>https://oknesset.org/committee/meeting/14153/</v>
      </c>
    </row>
    <row r="126" ht="14.25" customHeight="1">
      <c r="A126" s="2" t="s">
        <v>82</v>
      </c>
      <c r="B126" s="1" t="s">
        <v>69</v>
      </c>
      <c r="C126" s="2" t="s">
        <v>45</v>
      </c>
      <c r="D126" s="2" t="s">
        <v>81</v>
      </c>
      <c r="E126" s="3" t="str">
        <f t="shared" si="24"/>
        <v>https://oknesset.org/committee/meeting/14153/</v>
      </c>
    </row>
    <row r="127" ht="14.25" customHeight="1">
      <c r="A127" s="2" t="s">
        <v>83</v>
      </c>
      <c r="B127" s="1" t="s">
        <v>69</v>
      </c>
      <c r="C127" s="2" t="s">
        <v>45</v>
      </c>
      <c r="D127" s="2" t="s">
        <v>81</v>
      </c>
      <c r="E127" s="3" t="str">
        <f t="shared" si="24"/>
        <v>https://oknesset.org/committee/meeting/14153/</v>
      </c>
    </row>
    <row r="128" ht="14.25" customHeight="1">
      <c r="A128" s="2" t="s">
        <v>84</v>
      </c>
      <c r="B128" s="1" t="s">
        <v>69</v>
      </c>
      <c r="C128" s="2" t="s">
        <v>45</v>
      </c>
      <c r="D128" s="2" t="s">
        <v>81</v>
      </c>
      <c r="E128" s="3" t="str">
        <f t="shared" si="24"/>
        <v>https://oknesset.org/committee/meeting/14153/</v>
      </c>
    </row>
    <row r="129" ht="14.25" customHeight="1">
      <c r="A129" s="2" t="s">
        <v>85</v>
      </c>
      <c r="B129" s="1" t="s">
        <v>69</v>
      </c>
      <c r="C129" s="2" t="s">
        <v>45</v>
      </c>
      <c r="D129" s="2" t="s">
        <v>81</v>
      </c>
      <c r="E129" s="3" t="str">
        <f t="shared" si="24"/>
        <v>https://oknesset.org/committee/meeting/14153/</v>
      </c>
    </row>
    <row r="130" ht="14.25" customHeight="1">
      <c r="A130" s="2" t="s">
        <v>73</v>
      </c>
      <c r="B130" s="1" t="s">
        <v>69</v>
      </c>
      <c r="C130" s="2" t="s">
        <v>45</v>
      </c>
      <c r="D130" s="2" t="s">
        <v>81</v>
      </c>
      <c r="E130" s="3" t="str">
        <f t="shared" si="24"/>
        <v>https://oknesset.org/committee/meeting/14153/</v>
      </c>
    </row>
    <row r="131" ht="14.25" customHeight="1">
      <c r="A131" s="2" t="s">
        <v>86</v>
      </c>
      <c r="B131" s="1" t="s">
        <v>69</v>
      </c>
      <c r="C131" s="2" t="s">
        <v>45</v>
      </c>
      <c r="D131" s="2" t="s">
        <v>81</v>
      </c>
      <c r="E131" s="3" t="str">
        <f t="shared" si="24"/>
        <v>https://oknesset.org/committee/meeting/14153/</v>
      </c>
    </row>
    <row r="132" ht="14.25" customHeight="1">
      <c r="A132" s="2" t="s">
        <v>9</v>
      </c>
      <c r="B132" s="1" t="s">
        <v>69</v>
      </c>
      <c r="C132" s="2" t="s">
        <v>45</v>
      </c>
      <c r="D132" s="2" t="s">
        <v>81</v>
      </c>
      <c r="E132" s="3" t="str">
        <f t="shared" si="24"/>
        <v>https://oknesset.org/committee/meeting/14153/</v>
      </c>
    </row>
    <row r="133" ht="14.25" customHeight="1">
      <c r="A133" s="2" t="s">
        <v>34</v>
      </c>
      <c r="B133" s="1" t="s">
        <v>69</v>
      </c>
      <c r="C133" s="2" t="s">
        <v>48</v>
      </c>
      <c r="D133" s="2" t="s">
        <v>87</v>
      </c>
      <c r="E133" s="3" t="str">
        <f t="shared" ref="E133:E136" si="25">HYPERLINK("https://oknesset.org/committee/meeting/14200/","https://oknesset.org/committee/meeting/14200/")</f>
        <v>https://oknesset.org/committee/meeting/14200/</v>
      </c>
    </row>
    <row r="134" ht="14.25" customHeight="1">
      <c r="A134" s="2" t="s">
        <v>32</v>
      </c>
      <c r="B134" s="1" t="s">
        <v>69</v>
      </c>
      <c r="C134" s="2" t="s">
        <v>48</v>
      </c>
      <c r="D134" s="2" t="s">
        <v>87</v>
      </c>
      <c r="E134" s="3" t="str">
        <f t="shared" si="25"/>
        <v>https://oknesset.org/committee/meeting/14200/</v>
      </c>
    </row>
    <row r="135" ht="14.25" customHeight="1">
      <c r="A135" s="2" t="s">
        <v>16</v>
      </c>
      <c r="B135" s="1" t="s">
        <v>69</v>
      </c>
      <c r="C135" s="2" t="s">
        <v>48</v>
      </c>
      <c r="D135" s="2" t="s">
        <v>87</v>
      </c>
      <c r="E135" s="3" t="str">
        <f t="shared" si="25"/>
        <v>https://oknesset.org/committee/meeting/14200/</v>
      </c>
    </row>
    <row r="136" ht="14.25" customHeight="1">
      <c r="A136" s="2" t="s">
        <v>88</v>
      </c>
      <c r="B136" s="1" t="s">
        <v>69</v>
      </c>
      <c r="C136" s="2" t="s">
        <v>48</v>
      </c>
      <c r="D136" s="2" t="s">
        <v>87</v>
      </c>
      <c r="E136" s="3" t="str">
        <f t="shared" si="25"/>
        <v>https://oknesset.org/committee/meeting/14200/</v>
      </c>
    </row>
    <row r="137" ht="14.25" customHeight="1">
      <c r="A137" s="2" t="s">
        <v>54</v>
      </c>
      <c r="B137" s="1" t="s">
        <v>69</v>
      </c>
      <c r="C137" s="2" t="s">
        <v>45</v>
      </c>
      <c r="D137" s="2" t="s">
        <v>89</v>
      </c>
      <c r="E137" s="3" t="str">
        <f>HYPERLINK("https://oknesset.org/committee/meeting/14155/","https://oknesset.org/committee/meeting/14155/")</f>
        <v>https://oknesset.org/committee/meeting/14155/</v>
      </c>
    </row>
    <row r="138" ht="14.25" customHeight="1">
      <c r="A138" s="2" t="s">
        <v>9</v>
      </c>
      <c r="B138" s="1" t="s">
        <v>69</v>
      </c>
      <c r="C138" s="2" t="s">
        <v>45</v>
      </c>
      <c r="D138" s="2" t="s">
        <v>90</v>
      </c>
      <c r="E138" s="3" t="str">
        <f t="shared" ref="E138:E145" si="26">HYPERLINK("https://oknesset.org/committee/meeting/14154/","https://oknesset.org/committee/meeting/14154/")</f>
        <v>https://oknesset.org/committee/meeting/14154/</v>
      </c>
    </row>
    <row r="139" ht="14.25" customHeight="1">
      <c r="A139" s="2" t="s">
        <v>54</v>
      </c>
      <c r="B139" s="1" t="s">
        <v>69</v>
      </c>
      <c r="C139" s="2" t="s">
        <v>45</v>
      </c>
      <c r="D139" s="2" t="s">
        <v>90</v>
      </c>
      <c r="E139" s="3" t="str">
        <f t="shared" si="26"/>
        <v>https://oknesset.org/committee/meeting/14154/</v>
      </c>
    </row>
    <row r="140" ht="14.25" customHeight="1">
      <c r="A140" s="2" t="s">
        <v>67</v>
      </c>
      <c r="B140" s="1" t="s">
        <v>69</v>
      </c>
      <c r="C140" s="2" t="s">
        <v>45</v>
      </c>
      <c r="D140" s="2" t="s">
        <v>90</v>
      </c>
      <c r="E140" s="3" t="str">
        <f t="shared" si="26"/>
        <v>https://oknesset.org/committee/meeting/14154/</v>
      </c>
    </row>
    <row r="141" ht="14.25" customHeight="1">
      <c r="A141" s="2" t="s">
        <v>86</v>
      </c>
      <c r="B141" s="1" t="s">
        <v>69</v>
      </c>
      <c r="C141" s="2" t="s">
        <v>45</v>
      </c>
      <c r="D141" s="2" t="s">
        <v>90</v>
      </c>
      <c r="E141" s="3" t="str">
        <f t="shared" si="26"/>
        <v>https://oknesset.org/committee/meeting/14154/</v>
      </c>
    </row>
    <row r="142" ht="14.25" customHeight="1">
      <c r="A142" s="2" t="s">
        <v>73</v>
      </c>
      <c r="B142" s="1" t="s">
        <v>69</v>
      </c>
      <c r="C142" s="2" t="s">
        <v>45</v>
      </c>
      <c r="D142" s="2" t="s">
        <v>90</v>
      </c>
      <c r="E142" s="3" t="str">
        <f t="shared" si="26"/>
        <v>https://oknesset.org/committee/meeting/14154/</v>
      </c>
    </row>
    <row r="143" ht="14.25" customHeight="1">
      <c r="A143" s="2" t="s">
        <v>84</v>
      </c>
      <c r="B143" s="1" t="s">
        <v>69</v>
      </c>
      <c r="C143" s="2" t="s">
        <v>45</v>
      </c>
      <c r="D143" s="2" t="s">
        <v>90</v>
      </c>
      <c r="E143" s="3" t="str">
        <f t="shared" si="26"/>
        <v>https://oknesset.org/committee/meeting/14154/</v>
      </c>
    </row>
    <row r="144" ht="14.25" customHeight="1">
      <c r="A144" s="2" t="s">
        <v>82</v>
      </c>
      <c r="B144" s="1" t="s">
        <v>69</v>
      </c>
      <c r="C144" s="2" t="s">
        <v>45</v>
      </c>
      <c r="D144" s="2" t="s">
        <v>90</v>
      </c>
      <c r="E144" s="3" t="str">
        <f t="shared" si="26"/>
        <v>https://oknesset.org/committee/meeting/14154/</v>
      </c>
    </row>
    <row r="145" ht="14.25" customHeight="1">
      <c r="A145" s="2" t="s">
        <v>66</v>
      </c>
      <c r="B145" s="1" t="s">
        <v>69</v>
      </c>
      <c r="C145" s="2" t="s">
        <v>45</v>
      </c>
      <c r="D145" s="2" t="s">
        <v>90</v>
      </c>
      <c r="E145" s="3" t="str">
        <f t="shared" si="26"/>
        <v>https://oknesset.org/committee/meeting/14154/</v>
      </c>
    </row>
    <row r="146" ht="14.25" customHeight="1">
      <c r="A146" s="2" t="s">
        <v>11</v>
      </c>
      <c r="B146" s="1" t="s">
        <v>69</v>
      </c>
      <c r="C146" s="2" t="s">
        <v>29</v>
      </c>
      <c r="D146" s="2" t="s">
        <v>91</v>
      </c>
      <c r="E146" s="3" t="str">
        <f>HYPERLINK("https://oknesset.org/committee/meeting/14039/","https://oknesset.org/committee/meeting/14039/")</f>
        <v>https://oknesset.org/committee/meeting/14039/</v>
      </c>
    </row>
    <row r="147" ht="14.25" customHeight="1">
      <c r="A147" s="2" t="s">
        <v>92</v>
      </c>
      <c r="B147" s="1" t="s">
        <v>69</v>
      </c>
      <c r="C147" s="2" t="s">
        <v>25</v>
      </c>
      <c r="D147" s="2" t="s">
        <v>93</v>
      </c>
      <c r="E147" s="3" t="str">
        <f t="shared" ref="E147:E151" si="27">HYPERLINK("https://oknesset.org/committee/meeting/14287/","https://oknesset.org/committee/meeting/14287/")</f>
        <v>https://oknesset.org/committee/meeting/14287/</v>
      </c>
    </row>
    <row r="148" ht="14.25" customHeight="1">
      <c r="A148" s="2" t="s">
        <v>27</v>
      </c>
      <c r="B148" s="1" t="s">
        <v>69</v>
      </c>
      <c r="C148" s="2" t="s">
        <v>25</v>
      </c>
      <c r="D148" s="2" t="s">
        <v>93</v>
      </c>
      <c r="E148" s="3" t="str">
        <f t="shared" si="27"/>
        <v>https://oknesset.org/committee/meeting/14287/</v>
      </c>
    </row>
    <row r="149" ht="14.25" customHeight="1">
      <c r="A149" s="2" t="s">
        <v>94</v>
      </c>
      <c r="B149" s="1" t="s">
        <v>69</v>
      </c>
      <c r="C149" s="2" t="s">
        <v>25</v>
      </c>
      <c r="D149" s="2" t="s">
        <v>93</v>
      </c>
      <c r="E149" s="3" t="str">
        <f t="shared" si="27"/>
        <v>https://oknesset.org/committee/meeting/14287/</v>
      </c>
    </row>
    <row r="150" ht="14.25" customHeight="1">
      <c r="A150" s="2" t="s">
        <v>83</v>
      </c>
      <c r="B150" s="1" t="s">
        <v>69</v>
      </c>
      <c r="C150" s="2" t="s">
        <v>25</v>
      </c>
      <c r="D150" s="2" t="s">
        <v>93</v>
      </c>
      <c r="E150" s="3" t="str">
        <f t="shared" si="27"/>
        <v>https://oknesset.org/committee/meeting/14287/</v>
      </c>
    </row>
    <row r="151" ht="14.25" customHeight="1">
      <c r="A151" s="2" t="s">
        <v>50</v>
      </c>
      <c r="B151" s="1" t="s">
        <v>69</v>
      </c>
      <c r="C151" s="2" t="s">
        <v>25</v>
      </c>
      <c r="D151" s="2" t="s">
        <v>93</v>
      </c>
      <c r="E151" s="3" t="str">
        <f t="shared" si="27"/>
        <v>https://oknesset.org/committee/meeting/14287/</v>
      </c>
    </row>
    <row r="152" ht="14.25" customHeight="1">
      <c r="A152" s="2" t="s">
        <v>35</v>
      </c>
      <c r="B152" s="1" t="s">
        <v>69</v>
      </c>
      <c r="C152" s="2" t="s">
        <v>7</v>
      </c>
      <c r="D152" s="2" t="s">
        <v>8</v>
      </c>
      <c r="E152" s="3" t="str">
        <f t="shared" ref="E152:E158" si="28">HYPERLINK("https://oknesset.org/committee/meeting/14430/","https://oknesset.org/committee/meeting/14430/")</f>
        <v>https://oknesset.org/committee/meeting/14430/</v>
      </c>
    </row>
    <row r="153" ht="14.25" customHeight="1">
      <c r="A153" s="2" t="s">
        <v>5</v>
      </c>
      <c r="B153" s="1" t="s">
        <v>69</v>
      </c>
      <c r="C153" s="2" t="s">
        <v>7</v>
      </c>
      <c r="D153" s="2" t="s">
        <v>8</v>
      </c>
      <c r="E153" s="3" t="str">
        <f t="shared" si="28"/>
        <v>https://oknesset.org/committee/meeting/14430/</v>
      </c>
    </row>
    <row r="154" ht="14.25" customHeight="1">
      <c r="A154" s="2" t="s">
        <v>9</v>
      </c>
      <c r="B154" s="1" t="s">
        <v>69</v>
      </c>
      <c r="C154" s="2" t="s">
        <v>7</v>
      </c>
      <c r="D154" s="2" t="s">
        <v>8</v>
      </c>
      <c r="E154" s="3" t="str">
        <f t="shared" si="28"/>
        <v>https://oknesset.org/committee/meeting/14430/</v>
      </c>
    </row>
    <row r="155" ht="14.25" customHeight="1">
      <c r="A155" s="2" t="s">
        <v>10</v>
      </c>
      <c r="B155" s="1" t="s">
        <v>69</v>
      </c>
      <c r="C155" s="2" t="s">
        <v>7</v>
      </c>
      <c r="D155" s="2" t="s">
        <v>8</v>
      </c>
      <c r="E155" s="3" t="str">
        <f t="shared" si="28"/>
        <v>https://oknesset.org/committee/meeting/14430/</v>
      </c>
    </row>
    <row r="156" ht="14.25" customHeight="1">
      <c r="A156" s="2" t="s">
        <v>11</v>
      </c>
      <c r="B156" s="1" t="s">
        <v>69</v>
      </c>
      <c r="C156" s="2" t="s">
        <v>7</v>
      </c>
      <c r="D156" s="2" t="s">
        <v>8</v>
      </c>
      <c r="E156" s="3" t="str">
        <f t="shared" si="28"/>
        <v>https://oknesset.org/committee/meeting/14430/</v>
      </c>
    </row>
    <row r="157" ht="14.25" customHeight="1">
      <c r="A157" s="2" t="s">
        <v>12</v>
      </c>
      <c r="B157" s="1" t="s">
        <v>69</v>
      </c>
      <c r="C157" s="2" t="s">
        <v>7</v>
      </c>
      <c r="D157" s="2" t="s">
        <v>8</v>
      </c>
      <c r="E157" s="3" t="str">
        <f t="shared" si="28"/>
        <v>https://oknesset.org/committee/meeting/14430/</v>
      </c>
    </row>
    <row r="158" ht="14.25" customHeight="1">
      <c r="A158" s="2" t="s">
        <v>95</v>
      </c>
      <c r="B158" s="1" t="s">
        <v>69</v>
      </c>
      <c r="C158" s="2" t="s">
        <v>7</v>
      </c>
      <c r="D158" s="2" t="s">
        <v>8</v>
      </c>
      <c r="E158" s="3" t="str">
        <f t="shared" si="28"/>
        <v>https://oknesset.org/committee/meeting/14430/</v>
      </c>
    </row>
    <row r="159" ht="14.25" customHeight="1">
      <c r="A159" s="2" t="s">
        <v>57</v>
      </c>
      <c r="B159" s="1" t="s">
        <v>69</v>
      </c>
      <c r="C159" s="2" t="s">
        <v>52</v>
      </c>
      <c r="D159" s="2" t="s">
        <v>96</v>
      </c>
      <c r="E159" s="3" t="str">
        <f>HYPERLINK("https://oknesset.org/committee/meeting/14261/","https://oknesset.org/committee/meeting/14261/")</f>
        <v>https://oknesset.org/committee/meeting/14261/</v>
      </c>
    </row>
    <row r="160" ht="14.25" customHeight="1">
      <c r="A160" s="2" t="s">
        <v>56</v>
      </c>
      <c r="B160" s="1" t="s">
        <v>69</v>
      </c>
      <c r="C160" s="2" t="s">
        <v>29</v>
      </c>
      <c r="D160" s="2" t="s">
        <v>91</v>
      </c>
      <c r="E160" s="3" t="str">
        <f t="shared" ref="E160:E162" si="29">HYPERLINK("https://oknesset.org/committee/meeting/14039/","https://oknesset.org/committee/meeting/14039/")</f>
        <v>https://oknesset.org/committee/meeting/14039/</v>
      </c>
    </row>
    <row r="161" ht="14.25" customHeight="1">
      <c r="A161" s="2" t="s">
        <v>5</v>
      </c>
      <c r="B161" s="1" t="s">
        <v>69</v>
      </c>
      <c r="C161" s="2" t="s">
        <v>29</v>
      </c>
      <c r="D161" s="2" t="s">
        <v>91</v>
      </c>
      <c r="E161" s="3" t="str">
        <f t="shared" si="29"/>
        <v>https://oknesset.org/committee/meeting/14039/</v>
      </c>
    </row>
    <row r="162" ht="14.25" customHeight="1">
      <c r="A162" s="2" t="s">
        <v>35</v>
      </c>
      <c r="B162" s="1" t="s">
        <v>69</v>
      </c>
      <c r="C162" s="2" t="s">
        <v>29</v>
      </c>
      <c r="D162" s="2" t="s">
        <v>91</v>
      </c>
      <c r="E162" s="3" t="str">
        <f t="shared" si="29"/>
        <v>https://oknesset.org/committee/meeting/14039/</v>
      </c>
    </row>
    <row r="163" ht="14.25" customHeight="1">
      <c r="A163" s="2" t="s">
        <v>62</v>
      </c>
      <c r="B163" s="1" t="s">
        <v>69</v>
      </c>
      <c r="C163" s="2" t="s">
        <v>7</v>
      </c>
      <c r="D163" s="2" t="s">
        <v>8</v>
      </c>
      <c r="E163" s="3" t="str">
        <f t="shared" ref="E163:E170" si="30">HYPERLINK("https://oknesset.org/committee/meeting/14430/","https://oknesset.org/committee/meeting/14430/")</f>
        <v>https://oknesset.org/committee/meeting/14430/</v>
      </c>
    </row>
    <row r="164" ht="14.25" customHeight="1">
      <c r="A164" s="2" t="s">
        <v>15</v>
      </c>
      <c r="B164" s="1" t="s">
        <v>69</v>
      </c>
      <c r="C164" s="2" t="s">
        <v>7</v>
      </c>
      <c r="D164" s="2" t="s">
        <v>8</v>
      </c>
      <c r="E164" s="3" t="str">
        <f t="shared" si="30"/>
        <v>https://oknesset.org/committee/meeting/14430/</v>
      </c>
    </row>
    <row r="165" ht="14.25" customHeight="1">
      <c r="A165" s="2" t="s">
        <v>16</v>
      </c>
      <c r="B165" s="1" t="s">
        <v>69</v>
      </c>
      <c r="C165" s="2" t="s">
        <v>7</v>
      </c>
      <c r="D165" s="2" t="s">
        <v>8</v>
      </c>
      <c r="E165" s="3" t="str">
        <f t="shared" si="30"/>
        <v>https://oknesset.org/committee/meeting/14430/</v>
      </c>
    </row>
    <row r="166" ht="14.25" customHeight="1">
      <c r="A166" s="2" t="s">
        <v>97</v>
      </c>
      <c r="B166" s="1" t="s">
        <v>69</v>
      </c>
      <c r="C166" s="2" t="s">
        <v>7</v>
      </c>
      <c r="D166" s="2" t="s">
        <v>8</v>
      </c>
      <c r="E166" s="3" t="str">
        <f t="shared" si="30"/>
        <v>https://oknesset.org/committee/meeting/14430/</v>
      </c>
    </row>
    <row r="167" ht="14.25" customHeight="1">
      <c r="A167" s="2" t="s">
        <v>19</v>
      </c>
      <c r="B167" s="1" t="s">
        <v>69</v>
      </c>
      <c r="C167" s="2" t="s">
        <v>7</v>
      </c>
      <c r="D167" s="2" t="s">
        <v>8</v>
      </c>
      <c r="E167" s="3" t="str">
        <f t="shared" si="30"/>
        <v>https://oknesset.org/committee/meeting/14430/</v>
      </c>
    </row>
    <row r="168" ht="14.25" customHeight="1">
      <c r="A168" s="2" t="s">
        <v>20</v>
      </c>
      <c r="B168" s="1" t="s">
        <v>69</v>
      </c>
      <c r="C168" s="2" t="s">
        <v>7</v>
      </c>
      <c r="D168" s="2" t="s">
        <v>8</v>
      </c>
      <c r="E168" s="3" t="str">
        <f t="shared" si="30"/>
        <v>https://oknesset.org/committee/meeting/14430/</v>
      </c>
    </row>
    <row r="169" ht="14.25" customHeight="1">
      <c r="A169" s="2" t="s">
        <v>21</v>
      </c>
      <c r="B169" s="1" t="s">
        <v>69</v>
      </c>
      <c r="C169" s="2" t="s">
        <v>7</v>
      </c>
      <c r="D169" s="2" t="s">
        <v>8</v>
      </c>
      <c r="E169" s="3" t="str">
        <f t="shared" si="30"/>
        <v>https://oknesset.org/committee/meeting/14430/</v>
      </c>
    </row>
    <row r="170" ht="14.25" customHeight="1">
      <c r="A170" s="2" t="s">
        <v>85</v>
      </c>
      <c r="B170" s="1" t="s">
        <v>69</v>
      </c>
      <c r="C170" s="2" t="s">
        <v>7</v>
      </c>
      <c r="D170" s="2" t="s">
        <v>8</v>
      </c>
      <c r="E170" s="3" t="str">
        <f t="shared" si="30"/>
        <v>https://oknesset.org/committee/meeting/14430/</v>
      </c>
    </row>
    <row r="171" ht="14.25" customHeight="1">
      <c r="A171" s="2" t="s">
        <v>5</v>
      </c>
      <c r="B171" s="1" t="s">
        <v>69</v>
      </c>
      <c r="C171" s="2" t="s">
        <v>7</v>
      </c>
      <c r="D171" s="2" t="s">
        <v>8</v>
      </c>
      <c r="E171" s="3" t="str">
        <f t="shared" ref="E171:E182" si="31">HYPERLINK("https://oknesset.org/committee/meeting/14431/","https://oknesset.org/committee/meeting/14431/")</f>
        <v>https://oknesset.org/committee/meeting/14431/</v>
      </c>
    </row>
    <row r="172" ht="14.25" customHeight="1">
      <c r="A172" s="2" t="s">
        <v>9</v>
      </c>
      <c r="B172" s="1" t="s">
        <v>69</v>
      </c>
      <c r="C172" s="2" t="s">
        <v>7</v>
      </c>
      <c r="D172" s="2" t="s">
        <v>8</v>
      </c>
      <c r="E172" s="3" t="str">
        <f t="shared" si="31"/>
        <v>https://oknesset.org/committee/meeting/14431/</v>
      </c>
    </row>
    <row r="173" ht="14.25" customHeight="1">
      <c r="A173" s="2" t="s">
        <v>41</v>
      </c>
      <c r="B173" s="1" t="s">
        <v>69</v>
      </c>
      <c r="C173" s="2" t="s">
        <v>7</v>
      </c>
      <c r="D173" s="2" t="s">
        <v>8</v>
      </c>
      <c r="E173" s="3" t="str">
        <f t="shared" si="31"/>
        <v>https://oknesset.org/committee/meeting/14431/</v>
      </c>
    </row>
    <row r="174" ht="14.25" customHeight="1">
      <c r="A174" s="2" t="s">
        <v>56</v>
      </c>
      <c r="B174" s="1" t="s">
        <v>69</v>
      </c>
      <c r="C174" s="2" t="s">
        <v>7</v>
      </c>
      <c r="D174" s="2" t="s">
        <v>8</v>
      </c>
      <c r="E174" s="3" t="str">
        <f t="shared" si="31"/>
        <v>https://oknesset.org/committee/meeting/14431/</v>
      </c>
    </row>
    <row r="175" ht="14.25" customHeight="1">
      <c r="A175" s="2" t="s">
        <v>11</v>
      </c>
      <c r="B175" s="1" t="s">
        <v>69</v>
      </c>
      <c r="C175" s="2" t="s">
        <v>7</v>
      </c>
      <c r="D175" s="2" t="s">
        <v>8</v>
      </c>
      <c r="E175" s="3" t="str">
        <f t="shared" si="31"/>
        <v>https://oknesset.org/committee/meeting/14431/</v>
      </c>
    </row>
    <row r="176" ht="14.25" customHeight="1">
      <c r="A176" s="2" t="s">
        <v>95</v>
      </c>
      <c r="B176" s="1" t="s">
        <v>69</v>
      </c>
      <c r="C176" s="2" t="s">
        <v>7</v>
      </c>
      <c r="D176" s="2" t="s">
        <v>8</v>
      </c>
      <c r="E176" s="3" t="str">
        <f t="shared" si="31"/>
        <v>https://oknesset.org/committee/meeting/14431/</v>
      </c>
    </row>
    <row r="177" ht="14.25" customHeight="1">
      <c r="A177" s="2" t="s">
        <v>13</v>
      </c>
      <c r="B177" s="1" t="s">
        <v>69</v>
      </c>
      <c r="C177" s="2" t="s">
        <v>7</v>
      </c>
      <c r="D177" s="2" t="s">
        <v>8</v>
      </c>
      <c r="E177" s="3" t="str">
        <f t="shared" si="31"/>
        <v>https://oknesset.org/committee/meeting/14431/</v>
      </c>
    </row>
    <row r="178" ht="14.25" customHeight="1">
      <c r="A178" s="2" t="s">
        <v>14</v>
      </c>
      <c r="B178" s="1" t="s">
        <v>69</v>
      </c>
      <c r="C178" s="2" t="s">
        <v>7</v>
      </c>
      <c r="D178" s="2" t="s">
        <v>8</v>
      </c>
      <c r="E178" s="3" t="str">
        <f t="shared" si="31"/>
        <v>https://oknesset.org/committee/meeting/14431/</v>
      </c>
    </row>
    <row r="179" ht="14.25" customHeight="1">
      <c r="A179" s="2" t="s">
        <v>15</v>
      </c>
      <c r="B179" s="1" t="s">
        <v>69</v>
      </c>
      <c r="C179" s="2" t="s">
        <v>7</v>
      </c>
      <c r="D179" s="2" t="s">
        <v>8</v>
      </c>
      <c r="E179" s="3" t="str">
        <f t="shared" si="31"/>
        <v>https://oknesset.org/committee/meeting/14431/</v>
      </c>
    </row>
    <row r="180" ht="14.25" customHeight="1">
      <c r="A180" s="2" t="s">
        <v>19</v>
      </c>
      <c r="B180" s="1" t="s">
        <v>69</v>
      </c>
      <c r="C180" s="2" t="s">
        <v>7</v>
      </c>
      <c r="D180" s="2" t="s">
        <v>8</v>
      </c>
      <c r="E180" s="3" t="str">
        <f t="shared" si="31"/>
        <v>https://oknesset.org/committee/meeting/14431/</v>
      </c>
    </row>
    <row r="181" ht="14.25" customHeight="1">
      <c r="A181" s="2" t="s">
        <v>20</v>
      </c>
      <c r="B181" s="1" t="s">
        <v>69</v>
      </c>
      <c r="C181" s="2" t="s">
        <v>7</v>
      </c>
      <c r="D181" s="2" t="s">
        <v>8</v>
      </c>
      <c r="E181" s="3" t="str">
        <f t="shared" si="31"/>
        <v>https://oknesset.org/committee/meeting/14431/</v>
      </c>
    </row>
    <row r="182" ht="14.25" customHeight="1">
      <c r="A182" s="2" t="s">
        <v>21</v>
      </c>
      <c r="B182" s="1" t="s">
        <v>69</v>
      </c>
      <c r="C182" s="2" t="s">
        <v>7</v>
      </c>
      <c r="D182" s="2" t="s">
        <v>8</v>
      </c>
      <c r="E182" s="3" t="str">
        <f t="shared" si="31"/>
        <v>https://oknesset.org/committee/meeting/14431/</v>
      </c>
    </row>
    <row r="183" ht="14.25" customHeight="1">
      <c r="A183" s="2" t="s">
        <v>64</v>
      </c>
      <c r="B183" s="1" t="s">
        <v>69</v>
      </c>
      <c r="C183" s="2" t="s">
        <v>37</v>
      </c>
      <c r="D183" s="2" t="s">
        <v>98</v>
      </c>
      <c r="E183" s="3" t="str">
        <f t="shared" ref="E183:E184" si="32">HYPERLINK("https://oknesset.org/committee/meeting/14416/","https://oknesset.org/committee/meeting/14416/")</f>
        <v>https://oknesset.org/committee/meeting/14416/</v>
      </c>
    </row>
    <row r="184" ht="14.25" customHeight="1">
      <c r="A184" s="2" t="s">
        <v>17</v>
      </c>
      <c r="B184" s="1" t="s">
        <v>69</v>
      </c>
      <c r="C184" s="2" t="s">
        <v>37</v>
      </c>
      <c r="D184" s="2" t="s">
        <v>98</v>
      </c>
      <c r="E184" s="3" t="str">
        <f t="shared" si="32"/>
        <v>https://oknesset.org/committee/meeting/14416/</v>
      </c>
    </row>
    <row r="185" ht="14.25" customHeight="1">
      <c r="A185" s="2" t="s">
        <v>54</v>
      </c>
      <c r="B185" s="1" t="s">
        <v>69</v>
      </c>
      <c r="C185" s="2" t="s">
        <v>99</v>
      </c>
      <c r="D185" s="2" t="s">
        <v>89</v>
      </c>
      <c r="E185" s="3" t="str">
        <f>HYPERLINK("https://oknesset.org/committee/meeting/14402/","https://oknesset.org/committee/meeting/14402/")</f>
        <v>https://oknesset.org/committee/meeting/14402/</v>
      </c>
    </row>
    <row r="186" ht="14.25" customHeight="1">
      <c r="A186" s="2" t="s">
        <v>41</v>
      </c>
      <c r="B186" s="1" t="s">
        <v>69</v>
      </c>
      <c r="C186" s="2" t="s">
        <v>42</v>
      </c>
      <c r="D186" s="2" t="s">
        <v>100</v>
      </c>
      <c r="E186" s="3" t="str">
        <f t="shared" ref="E186:E188" si="33">HYPERLINK("https://oknesset.org/committee/meeting/14372/","https://oknesset.org/committee/meeting/14372/")</f>
        <v>https://oknesset.org/committee/meeting/14372/</v>
      </c>
    </row>
    <row r="187" ht="14.25" customHeight="1">
      <c r="A187" s="2" t="s">
        <v>75</v>
      </c>
      <c r="B187" s="1" t="s">
        <v>69</v>
      </c>
      <c r="C187" s="2" t="s">
        <v>42</v>
      </c>
      <c r="D187" s="2" t="s">
        <v>100</v>
      </c>
      <c r="E187" s="3" t="str">
        <f t="shared" si="33"/>
        <v>https://oknesset.org/committee/meeting/14372/</v>
      </c>
    </row>
    <row r="188" ht="14.25" customHeight="1">
      <c r="A188" s="2" t="s">
        <v>17</v>
      </c>
      <c r="B188" s="1" t="s">
        <v>69</v>
      </c>
      <c r="C188" s="2" t="s">
        <v>42</v>
      </c>
      <c r="D188" s="2" t="s">
        <v>100</v>
      </c>
      <c r="E188" s="3" t="str">
        <f t="shared" si="33"/>
        <v>https://oknesset.org/committee/meeting/14372/</v>
      </c>
    </row>
    <row r="189" ht="14.25" customHeight="1">
      <c r="A189" s="2" t="s">
        <v>101</v>
      </c>
      <c r="B189" s="1" t="s">
        <v>69</v>
      </c>
      <c r="C189" s="2" t="s">
        <v>42</v>
      </c>
      <c r="D189" s="2" t="s">
        <v>102</v>
      </c>
      <c r="E189" s="3" t="str">
        <f t="shared" ref="E189:E193" si="34">HYPERLINK("https://oknesset.org/committee/meeting/14373/","https://oknesset.org/committee/meeting/14373/")</f>
        <v>https://oknesset.org/committee/meeting/14373/</v>
      </c>
    </row>
    <row r="190" ht="14.25" customHeight="1">
      <c r="A190" s="2" t="s">
        <v>64</v>
      </c>
      <c r="B190" s="1" t="s">
        <v>69</v>
      </c>
      <c r="C190" s="2" t="s">
        <v>42</v>
      </c>
      <c r="D190" s="2" t="s">
        <v>102</v>
      </c>
      <c r="E190" s="3" t="str">
        <f t="shared" si="34"/>
        <v>https://oknesset.org/committee/meeting/14373/</v>
      </c>
    </row>
    <row r="191" ht="14.25" customHeight="1">
      <c r="A191" s="2" t="s">
        <v>92</v>
      </c>
      <c r="B191" s="1" t="s">
        <v>69</v>
      </c>
      <c r="C191" s="2" t="s">
        <v>42</v>
      </c>
      <c r="D191" s="2" t="s">
        <v>102</v>
      </c>
      <c r="E191" s="3" t="str">
        <f t="shared" si="34"/>
        <v>https://oknesset.org/committee/meeting/14373/</v>
      </c>
    </row>
    <row r="192" ht="14.25" customHeight="1">
      <c r="A192" s="2" t="s">
        <v>54</v>
      </c>
      <c r="B192" s="1" t="s">
        <v>69</v>
      </c>
      <c r="C192" s="2" t="s">
        <v>42</v>
      </c>
      <c r="D192" s="2" t="s">
        <v>102</v>
      </c>
      <c r="E192" s="3" t="str">
        <f t="shared" si="34"/>
        <v>https://oknesset.org/committee/meeting/14373/</v>
      </c>
    </row>
    <row r="193" ht="14.25" customHeight="1">
      <c r="A193" s="2" t="s">
        <v>41</v>
      </c>
      <c r="B193" s="1" t="s">
        <v>69</v>
      </c>
      <c r="C193" s="2" t="s">
        <v>42</v>
      </c>
      <c r="D193" s="2" t="s">
        <v>102</v>
      </c>
      <c r="E193" s="3" t="str">
        <f t="shared" si="34"/>
        <v>https://oknesset.org/committee/meeting/14373/</v>
      </c>
    </row>
    <row r="194" ht="14.25" customHeight="1">
      <c r="A194" s="2" t="s">
        <v>66</v>
      </c>
      <c r="B194" s="1" t="s">
        <v>69</v>
      </c>
      <c r="C194" s="2" t="s">
        <v>70</v>
      </c>
      <c r="D194" s="2" t="s">
        <v>71</v>
      </c>
      <c r="E194" s="3" t="str">
        <f t="shared" ref="E194:E196" si="35">HYPERLINK("https://oknesset.org/committee/meeting/14102/","https://oknesset.org/committee/meeting/14102/")</f>
        <v>https://oknesset.org/committee/meeting/14102/</v>
      </c>
    </row>
    <row r="195" ht="14.25" customHeight="1">
      <c r="A195" s="2" t="s">
        <v>50</v>
      </c>
      <c r="B195" s="1" t="s">
        <v>69</v>
      </c>
      <c r="C195" s="2" t="s">
        <v>70</v>
      </c>
      <c r="D195" s="2" t="s">
        <v>71</v>
      </c>
      <c r="E195" s="3" t="str">
        <f t="shared" si="35"/>
        <v>https://oknesset.org/committee/meeting/14102/</v>
      </c>
    </row>
    <row r="196" ht="14.25" customHeight="1">
      <c r="A196" s="2" t="s">
        <v>103</v>
      </c>
      <c r="B196" s="1" t="s">
        <v>69</v>
      </c>
      <c r="C196" s="2" t="s">
        <v>70</v>
      </c>
      <c r="D196" s="2" t="s">
        <v>71</v>
      </c>
      <c r="E196" s="3" t="str">
        <f t="shared" si="35"/>
        <v>https://oknesset.org/committee/meeting/14102/</v>
      </c>
    </row>
    <row r="197" ht="14.25" customHeight="1">
      <c r="A197" s="2" t="s">
        <v>94</v>
      </c>
      <c r="B197" s="1" t="s">
        <v>69</v>
      </c>
      <c r="C197" s="2" t="s">
        <v>42</v>
      </c>
      <c r="D197" s="2" t="s">
        <v>102</v>
      </c>
      <c r="E197" s="3" t="str">
        <f t="shared" ref="E197:E203" si="36">HYPERLINK("https://oknesset.org/committee/meeting/14373/","https://oknesset.org/committee/meeting/14373/")</f>
        <v>https://oknesset.org/committee/meeting/14373/</v>
      </c>
    </row>
    <row r="198" ht="14.25" customHeight="1">
      <c r="A198" s="2" t="s">
        <v>83</v>
      </c>
      <c r="B198" s="1" t="s">
        <v>69</v>
      </c>
      <c r="C198" s="2" t="s">
        <v>42</v>
      </c>
      <c r="D198" s="2" t="s">
        <v>102</v>
      </c>
      <c r="E198" s="3" t="str">
        <f t="shared" si="36"/>
        <v>https://oknesset.org/committee/meeting/14373/</v>
      </c>
    </row>
    <row r="199" ht="14.25" customHeight="1">
      <c r="A199" s="2" t="s">
        <v>97</v>
      </c>
      <c r="B199" s="1" t="s">
        <v>69</v>
      </c>
      <c r="C199" s="2" t="s">
        <v>42</v>
      </c>
      <c r="D199" s="2" t="s">
        <v>102</v>
      </c>
      <c r="E199" s="3" t="str">
        <f t="shared" si="36"/>
        <v>https://oknesset.org/committee/meeting/14373/</v>
      </c>
    </row>
    <row r="200" ht="14.25" customHeight="1">
      <c r="A200" s="2" t="s">
        <v>17</v>
      </c>
      <c r="B200" s="1" t="s">
        <v>69</v>
      </c>
      <c r="C200" s="2" t="s">
        <v>42</v>
      </c>
      <c r="D200" s="2" t="s">
        <v>102</v>
      </c>
      <c r="E200" s="3" t="str">
        <f t="shared" si="36"/>
        <v>https://oknesset.org/committee/meeting/14373/</v>
      </c>
    </row>
    <row r="201" ht="14.25" customHeight="1">
      <c r="A201" s="2" t="s">
        <v>44</v>
      </c>
      <c r="B201" s="1" t="s">
        <v>69</v>
      </c>
      <c r="C201" s="2" t="s">
        <v>42</v>
      </c>
      <c r="D201" s="2" t="s">
        <v>102</v>
      </c>
      <c r="E201" s="3" t="str">
        <f t="shared" si="36"/>
        <v>https://oknesset.org/committee/meeting/14373/</v>
      </c>
    </row>
    <row r="202" ht="14.25" customHeight="1">
      <c r="A202" s="2" t="s">
        <v>20</v>
      </c>
      <c r="B202" s="1" t="s">
        <v>69</v>
      </c>
      <c r="C202" s="2" t="s">
        <v>42</v>
      </c>
      <c r="D202" s="2" t="s">
        <v>102</v>
      </c>
      <c r="E202" s="3" t="str">
        <f t="shared" si="36"/>
        <v>https://oknesset.org/committee/meeting/14373/</v>
      </c>
    </row>
    <row r="203" ht="14.25" customHeight="1">
      <c r="A203" s="2" t="s">
        <v>50</v>
      </c>
      <c r="B203" s="1" t="s">
        <v>69</v>
      </c>
      <c r="C203" s="2" t="s">
        <v>42</v>
      </c>
      <c r="D203" s="2" t="s">
        <v>102</v>
      </c>
      <c r="E203" s="3" t="str">
        <f t="shared" si="36"/>
        <v>https://oknesset.org/committee/meeting/14373/</v>
      </c>
    </row>
    <row r="204" ht="14.25" customHeight="1">
      <c r="A204" s="2" t="s">
        <v>20</v>
      </c>
      <c r="B204" s="1" t="s">
        <v>69</v>
      </c>
      <c r="C204" s="2" t="s">
        <v>29</v>
      </c>
      <c r="D204" s="2" t="s">
        <v>91</v>
      </c>
      <c r="E204" s="3" t="str">
        <f t="shared" ref="E204:E205" si="37">HYPERLINK("https://oknesset.org/committee/meeting/14039/","https://oknesset.org/committee/meeting/14039/")</f>
        <v>https://oknesset.org/committee/meeting/14039/</v>
      </c>
    </row>
    <row r="205" ht="14.25" customHeight="1">
      <c r="A205" s="2" t="s">
        <v>15</v>
      </c>
      <c r="B205" s="1" t="s">
        <v>69</v>
      </c>
      <c r="C205" s="2" t="s">
        <v>29</v>
      </c>
      <c r="D205" s="2" t="s">
        <v>91</v>
      </c>
      <c r="E205" s="3" t="str">
        <f t="shared" si="37"/>
        <v>https://oknesset.org/committee/meeting/14039/</v>
      </c>
    </row>
    <row r="206" ht="14.25" customHeight="1">
      <c r="A206" s="2" t="s">
        <v>20</v>
      </c>
      <c r="B206" s="1" t="s">
        <v>69</v>
      </c>
      <c r="C206" s="2" t="s">
        <v>70</v>
      </c>
      <c r="D206" s="2" t="s">
        <v>71</v>
      </c>
      <c r="E206" s="3" t="str">
        <f>HYPERLINK("https://oknesset.org/committee/meeting/14102/","https://oknesset.org/committee/meeting/14102/")</f>
        <v>https://oknesset.org/committee/meeting/14102/</v>
      </c>
    </row>
    <row r="207" ht="14.25" customHeight="1">
      <c r="A207" s="2" t="s">
        <v>14</v>
      </c>
      <c r="B207" s="1" t="s">
        <v>69</v>
      </c>
      <c r="C207" s="2" t="s">
        <v>29</v>
      </c>
      <c r="D207" s="2" t="s">
        <v>91</v>
      </c>
      <c r="E207" s="3" t="str">
        <f t="shared" ref="E207:E209" si="38">HYPERLINK("https://oknesset.org/committee/meeting/14039/","https://oknesset.org/committee/meeting/14039/")</f>
        <v>https://oknesset.org/committee/meeting/14039/</v>
      </c>
    </row>
    <row r="208" ht="14.25" customHeight="1">
      <c r="A208" s="2" t="s">
        <v>13</v>
      </c>
      <c r="B208" s="1" t="s">
        <v>69</v>
      </c>
      <c r="C208" s="2" t="s">
        <v>29</v>
      </c>
      <c r="D208" s="2" t="s">
        <v>91</v>
      </c>
      <c r="E208" s="3" t="str">
        <f t="shared" si="38"/>
        <v>https://oknesset.org/committee/meeting/14039/</v>
      </c>
    </row>
    <row r="209" ht="14.25" customHeight="1">
      <c r="A209" s="2" t="s">
        <v>95</v>
      </c>
      <c r="B209" s="1" t="s">
        <v>69</v>
      </c>
      <c r="C209" s="2" t="s">
        <v>29</v>
      </c>
      <c r="D209" s="2" t="s">
        <v>91</v>
      </c>
      <c r="E209" s="3" t="str">
        <f t="shared" si="38"/>
        <v>https://oknesset.org/committee/meeting/14039/</v>
      </c>
    </row>
    <row r="210" ht="14.25" customHeight="1">
      <c r="A210" s="2" t="s">
        <v>104</v>
      </c>
      <c r="B210" s="1" t="s">
        <v>69</v>
      </c>
      <c r="C210" s="2" t="s">
        <v>70</v>
      </c>
      <c r="D210" s="2" t="s">
        <v>105</v>
      </c>
      <c r="E210" s="3" t="str">
        <f t="shared" ref="E210:E212" si="39">HYPERLINK("https://oknesset.org/committee/meeting/14101/","https://oknesset.org/committee/meeting/14101/")</f>
        <v>https://oknesset.org/committee/meeting/14101/</v>
      </c>
    </row>
    <row r="211" ht="14.25" customHeight="1">
      <c r="A211" s="2" t="s">
        <v>106</v>
      </c>
      <c r="B211" s="1" t="s">
        <v>69</v>
      </c>
      <c r="C211" s="2" t="s">
        <v>70</v>
      </c>
      <c r="D211" s="2" t="s">
        <v>105</v>
      </c>
      <c r="E211" s="3" t="str">
        <f t="shared" si="39"/>
        <v>https://oknesset.org/committee/meeting/14101/</v>
      </c>
    </row>
    <row r="212" ht="14.25" customHeight="1">
      <c r="A212" s="2" t="s">
        <v>107</v>
      </c>
      <c r="B212" s="1" t="s">
        <v>69</v>
      </c>
      <c r="C212" s="2" t="s">
        <v>70</v>
      </c>
      <c r="D212" s="2" t="s">
        <v>105</v>
      </c>
      <c r="E212" s="3" t="str">
        <f t="shared" si="39"/>
        <v>https://oknesset.org/committee/meeting/14101/</v>
      </c>
    </row>
    <row r="213" ht="14.25" customHeight="1">
      <c r="A213" s="2" t="s">
        <v>28</v>
      </c>
      <c r="B213" s="1" t="s">
        <v>69</v>
      </c>
      <c r="C213" s="2" t="s">
        <v>70</v>
      </c>
      <c r="D213" s="2" t="s">
        <v>71</v>
      </c>
      <c r="E213" s="3" t="str">
        <f t="shared" ref="E213:E223" si="40">HYPERLINK("https://oknesset.org/committee/meeting/14102/","https://oknesset.org/committee/meeting/14102/")</f>
        <v>https://oknesset.org/committee/meeting/14102/</v>
      </c>
    </row>
    <row r="214" ht="14.25" customHeight="1">
      <c r="A214" s="2" t="s">
        <v>108</v>
      </c>
      <c r="B214" s="1" t="s">
        <v>69</v>
      </c>
      <c r="C214" s="2" t="s">
        <v>70</v>
      </c>
      <c r="D214" s="2" t="s">
        <v>71</v>
      </c>
      <c r="E214" s="3" t="str">
        <f t="shared" si="40"/>
        <v>https://oknesset.org/committee/meeting/14102/</v>
      </c>
    </row>
    <row r="215" ht="14.25" customHeight="1">
      <c r="A215" s="2" t="s">
        <v>109</v>
      </c>
      <c r="B215" s="1" t="s">
        <v>69</v>
      </c>
      <c r="C215" s="2" t="s">
        <v>70</v>
      </c>
      <c r="D215" s="2" t="s">
        <v>71</v>
      </c>
      <c r="E215" s="3" t="str">
        <f t="shared" si="40"/>
        <v>https://oknesset.org/committee/meeting/14102/</v>
      </c>
    </row>
    <row r="216" ht="14.25" customHeight="1">
      <c r="A216" s="2" t="s">
        <v>104</v>
      </c>
      <c r="B216" s="1" t="s">
        <v>69</v>
      </c>
      <c r="C216" s="2" t="s">
        <v>70</v>
      </c>
      <c r="D216" s="2" t="s">
        <v>71</v>
      </c>
      <c r="E216" s="3" t="str">
        <f t="shared" si="40"/>
        <v>https://oknesset.org/committee/meeting/14102/</v>
      </c>
    </row>
    <row r="217" ht="14.25" customHeight="1">
      <c r="A217" s="2" t="s">
        <v>88</v>
      </c>
      <c r="B217" s="1" t="s">
        <v>69</v>
      </c>
      <c r="C217" s="2" t="s">
        <v>70</v>
      </c>
      <c r="D217" s="2" t="s">
        <v>71</v>
      </c>
      <c r="E217" s="3" t="str">
        <f t="shared" si="40"/>
        <v>https://oknesset.org/committee/meeting/14102/</v>
      </c>
    </row>
    <row r="218" ht="14.25" customHeight="1">
      <c r="A218" s="2" t="s">
        <v>94</v>
      </c>
      <c r="B218" s="1" t="s">
        <v>69</v>
      </c>
      <c r="C218" s="2" t="s">
        <v>70</v>
      </c>
      <c r="D218" s="2" t="s">
        <v>71</v>
      </c>
      <c r="E218" s="3" t="str">
        <f t="shared" si="40"/>
        <v>https://oknesset.org/committee/meeting/14102/</v>
      </c>
    </row>
    <row r="219" ht="14.25" customHeight="1">
      <c r="A219" s="2" t="s">
        <v>40</v>
      </c>
      <c r="B219" s="1" t="s">
        <v>69</v>
      </c>
      <c r="C219" s="2" t="s">
        <v>70</v>
      </c>
      <c r="D219" s="2" t="s">
        <v>71</v>
      </c>
      <c r="E219" s="3" t="str">
        <f t="shared" si="40"/>
        <v>https://oknesset.org/committee/meeting/14102/</v>
      </c>
    </row>
    <row r="220" ht="14.25" customHeight="1">
      <c r="A220" s="2" t="s">
        <v>106</v>
      </c>
      <c r="B220" s="1" t="s">
        <v>69</v>
      </c>
      <c r="C220" s="2" t="s">
        <v>70</v>
      </c>
      <c r="D220" s="2" t="s">
        <v>71</v>
      </c>
      <c r="E220" s="3" t="str">
        <f t="shared" si="40"/>
        <v>https://oknesset.org/committee/meeting/14102/</v>
      </c>
    </row>
    <row r="221" ht="14.25" customHeight="1">
      <c r="A221" s="2" t="s">
        <v>107</v>
      </c>
      <c r="B221" s="1" t="s">
        <v>69</v>
      </c>
      <c r="C221" s="2" t="s">
        <v>70</v>
      </c>
      <c r="D221" s="2" t="s">
        <v>71</v>
      </c>
      <c r="E221" s="3" t="str">
        <f t="shared" si="40"/>
        <v>https://oknesset.org/committee/meeting/14102/</v>
      </c>
    </row>
    <row r="222" ht="14.25" customHeight="1">
      <c r="A222" s="2" t="s">
        <v>101</v>
      </c>
      <c r="B222" s="1" t="s">
        <v>69</v>
      </c>
      <c r="C222" s="2" t="s">
        <v>70</v>
      </c>
      <c r="D222" s="2" t="s">
        <v>71</v>
      </c>
      <c r="E222" s="3" t="str">
        <f t="shared" si="40"/>
        <v>https://oknesset.org/committee/meeting/14102/</v>
      </c>
    </row>
    <row r="223" ht="14.25" customHeight="1">
      <c r="A223" s="2" t="s">
        <v>84</v>
      </c>
      <c r="B223" s="1" t="s">
        <v>69</v>
      </c>
      <c r="C223" s="2" t="s">
        <v>70</v>
      </c>
      <c r="D223" s="2" t="s">
        <v>71</v>
      </c>
      <c r="E223" s="3" t="str">
        <f t="shared" si="40"/>
        <v>https://oknesset.org/committee/meeting/14102/</v>
      </c>
    </row>
    <row r="224" ht="14.25" customHeight="1">
      <c r="A224" s="2" t="s">
        <v>11</v>
      </c>
      <c r="B224" s="1" t="s">
        <v>110</v>
      </c>
      <c r="C224" s="2" t="s">
        <v>70</v>
      </c>
      <c r="D224" s="2" t="s">
        <v>111</v>
      </c>
      <c r="E224" s="3" t="str">
        <f>HYPERLINK("https://oknesset.org/committee/meeting/14100/","https://oknesset.org/committee/meeting/14100/")</f>
        <v>https://oknesset.org/committee/meeting/14100/</v>
      </c>
    </row>
    <row r="225" ht="14.25" customHeight="1">
      <c r="A225" s="2" t="s">
        <v>112</v>
      </c>
      <c r="B225" s="1" t="s">
        <v>110</v>
      </c>
      <c r="C225" s="2" t="s">
        <v>42</v>
      </c>
      <c r="D225" s="2" t="s">
        <v>113</v>
      </c>
      <c r="E225" s="3" t="str">
        <f t="shared" ref="E225:E230" si="41">HYPERLINK("https://oknesset.org/committee/meeting/14371/","https://oknesset.org/committee/meeting/14371/")</f>
        <v>https://oknesset.org/committee/meeting/14371/</v>
      </c>
    </row>
    <row r="226" ht="14.25" customHeight="1">
      <c r="A226" s="2" t="s">
        <v>41</v>
      </c>
      <c r="B226" s="1" t="s">
        <v>110</v>
      </c>
      <c r="C226" s="2" t="s">
        <v>42</v>
      </c>
      <c r="D226" s="2" t="s">
        <v>113</v>
      </c>
      <c r="E226" s="3" t="str">
        <f t="shared" si="41"/>
        <v>https://oknesset.org/committee/meeting/14371/</v>
      </c>
    </row>
    <row r="227" ht="14.25" customHeight="1">
      <c r="A227" s="2" t="s">
        <v>54</v>
      </c>
      <c r="B227" s="1" t="s">
        <v>110</v>
      </c>
      <c r="C227" s="2" t="s">
        <v>42</v>
      </c>
      <c r="D227" s="2" t="s">
        <v>113</v>
      </c>
      <c r="E227" s="3" t="str">
        <f t="shared" si="41"/>
        <v>https://oknesset.org/committee/meeting/14371/</v>
      </c>
    </row>
    <row r="228" ht="14.25" customHeight="1">
      <c r="A228" s="2" t="s">
        <v>114</v>
      </c>
      <c r="B228" s="1" t="s">
        <v>110</v>
      </c>
      <c r="C228" s="2" t="s">
        <v>42</v>
      </c>
      <c r="D228" s="2" t="s">
        <v>113</v>
      </c>
      <c r="E228" s="3" t="str">
        <f t="shared" si="41"/>
        <v>https://oknesset.org/committee/meeting/14371/</v>
      </c>
    </row>
    <row r="229" ht="14.25" customHeight="1">
      <c r="A229" s="2" t="s">
        <v>115</v>
      </c>
      <c r="B229" s="1" t="s">
        <v>110</v>
      </c>
      <c r="C229" s="2" t="s">
        <v>42</v>
      </c>
      <c r="D229" s="2" t="s">
        <v>113</v>
      </c>
      <c r="E229" s="3" t="str">
        <f t="shared" si="41"/>
        <v>https://oknesset.org/committee/meeting/14371/</v>
      </c>
    </row>
    <row r="230" ht="14.25" customHeight="1">
      <c r="A230" s="2" t="s">
        <v>44</v>
      </c>
      <c r="B230" s="1" t="s">
        <v>110</v>
      </c>
      <c r="C230" s="2" t="s">
        <v>42</v>
      </c>
      <c r="D230" s="2" t="s">
        <v>113</v>
      </c>
      <c r="E230" s="3" t="str">
        <f t="shared" si="41"/>
        <v>https://oknesset.org/committee/meeting/14371/</v>
      </c>
    </row>
    <row r="231" ht="14.25" customHeight="1">
      <c r="A231" s="2" t="s">
        <v>34</v>
      </c>
      <c r="B231" s="1" t="s">
        <v>110</v>
      </c>
      <c r="C231" s="2" t="s">
        <v>52</v>
      </c>
      <c r="D231" s="2" t="s">
        <v>116</v>
      </c>
      <c r="E231" s="3" t="str">
        <f t="shared" ref="E231:E240" si="42">HYPERLINK("https://oknesset.org/committee/meeting/14260/","https://oknesset.org/committee/meeting/14260/")</f>
        <v>https://oknesset.org/committee/meeting/14260/</v>
      </c>
    </row>
    <row r="232" ht="14.25" customHeight="1">
      <c r="A232" s="2" t="s">
        <v>56</v>
      </c>
      <c r="B232" s="1" t="s">
        <v>110</v>
      </c>
      <c r="C232" s="2" t="s">
        <v>52</v>
      </c>
      <c r="D232" s="2" t="s">
        <v>116</v>
      </c>
      <c r="E232" s="3" t="str">
        <f t="shared" si="42"/>
        <v>https://oknesset.org/committee/meeting/14260/</v>
      </c>
    </row>
    <row r="233" ht="14.25" customHeight="1">
      <c r="A233" s="2" t="s">
        <v>57</v>
      </c>
      <c r="B233" s="1" t="s">
        <v>110</v>
      </c>
      <c r="C233" s="2" t="s">
        <v>52</v>
      </c>
      <c r="D233" s="2" t="s">
        <v>116</v>
      </c>
      <c r="E233" s="3" t="str">
        <f t="shared" si="42"/>
        <v>https://oknesset.org/committee/meeting/14260/</v>
      </c>
    </row>
    <row r="234" ht="14.25" customHeight="1">
      <c r="A234" s="2" t="s">
        <v>64</v>
      </c>
      <c r="B234" s="1" t="s">
        <v>110</v>
      </c>
      <c r="C234" s="2" t="s">
        <v>52</v>
      </c>
      <c r="D234" s="2" t="s">
        <v>116</v>
      </c>
      <c r="E234" s="3" t="str">
        <f t="shared" si="42"/>
        <v>https://oknesset.org/committee/meeting/14260/</v>
      </c>
    </row>
    <row r="235" ht="14.25" customHeight="1">
      <c r="A235" s="2" t="s">
        <v>15</v>
      </c>
      <c r="B235" s="1" t="s">
        <v>110</v>
      </c>
      <c r="C235" s="2" t="s">
        <v>52</v>
      </c>
      <c r="D235" s="2" t="s">
        <v>116</v>
      </c>
      <c r="E235" s="3" t="str">
        <f t="shared" si="42"/>
        <v>https://oknesset.org/committee/meeting/14260/</v>
      </c>
    </row>
    <row r="236" ht="14.25" customHeight="1">
      <c r="A236" s="2" t="s">
        <v>16</v>
      </c>
      <c r="B236" s="1" t="s">
        <v>110</v>
      </c>
      <c r="C236" s="2" t="s">
        <v>52</v>
      </c>
      <c r="D236" s="2" t="s">
        <v>116</v>
      </c>
      <c r="E236" s="3" t="str">
        <f t="shared" si="42"/>
        <v>https://oknesset.org/committee/meeting/14260/</v>
      </c>
    </row>
    <row r="237" ht="14.25" customHeight="1">
      <c r="A237" s="2" t="s">
        <v>36</v>
      </c>
      <c r="B237" s="1" t="s">
        <v>110</v>
      </c>
      <c r="C237" s="2" t="s">
        <v>52</v>
      </c>
      <c r="D237" s="2" t="s">
        <v>116</v>
      </c>
      <c r="E237" s="3" t="str">
        <f t="shared" si="42"/>
        <v>https://oknesset.org/committee/meeting/14260/</v>
      </c>
    </row>
    <row r="238" ht="14.25" customHeight="1">
      <c r="A238" s="2" t="s">
        <v>97</v>
      </c>
      <c r="B238" s="1" t="s">
        <v>110</v>
      </c>
      <c r="C238" s="2" t="s">
        <v>52</v>
      </c>
      <c r="D238" s="2" t="s">
        <v>116</v>
      </c>
      <c r="E238" s="3" t="str">
        <f t="shared" si="42"/>
        <v>https://oknesset.org/committee/meeting/14260/</v>
      </c>
    </row>
    <row r="239" ht="14.25" customHeight="1">
      <c r="A239" s="2" t="s">
        <v>117</v>
      </c>
      <c r="B239" s="1" t="s">
        <v>110</v>
      </c>
      <c r="C239" s="2" t="s">
        <v>52</v>
      </c>
      <c r="D239" s="2" t="s">
        <v>116</v>
      </c>
      <c r="E239" s="3" t="str">
        <f t="shared" si="42"/>
        <v>https://oknesset.org/committee/meeting/14260/</v>
      </c>
    </row>
    <row r="240" ht="14.25" customHeight="1">
      <c r="A240" s="2" t="s">
        <v>85</v>
      </c>
      <c r="B240" s="1" t="s">
        <v>110</v>
      </c>
      <c r="C240" s="2" t="s">
        <v>52</v>
      </c>
      <c r="D240" s="2" t="s">
        <v>116</v>
      </c>
      <c r="E240" s="3" t="str">
        <f t="shared" si="42"/>
        <v>https://oknesset.org/committee/meeting/14260/</v>
      </c>
    </row>
    <row r="241" ht="14.25" customHeight="1">
      <c r="A241" s="2" t="s">
        <v>20</v>
      </c>
      <c r="B241" s="1" t="s">
        <v>110</v>
      </c>
      <c r="C241" s="2" t="s">
        <v>29</v>
      </c>
      <c r="D241" s="2" t="s">
        <v>30</v>
      </c>
      <c r="E241" s="3" t="str">
        <f t="shared" ref="E241:E244" si="43">HYPERLINK("https://oknesset.org/committee/meeting/14037/","https://oknesset.org/committee/meeting/14037/")</f>
        <v>https://oknesset.org/committee/meeting/14037/</v>
      </c>
    </row>
    <row r="242" ht="14.25" customHeight="1">
      <c r="A242" s="2" t="s">
        <v>104</v>
      </c>
      <c r="B242" s="1" t="s">
        <v>110</v>
      </c>
      <c r="C242" s="2" t="s">
        <v>29</v>
      </c>
      <c r="D242" s="2" t="s">
        <v>30</v>
      </c>
      <c r="E242" s="3" t="str">
        <f t="shared" si="43"/>
        <v>https://oknesset.org/committee/meeting/14037/</v>
      </c>
    </row>
    <row r="243" ht="14.25" customHeight="1">
      <c r="A243" s="2" t="s">
        <v>13</v>
      </c>
      <c r="B243" s="1" t="s">
        <v>110</v>
      </c>
      <c r="C243" s="2" t="s">
        <v>29</v>
      </c>
      <c r="D243" s="2" t="s">
        <v>30</v>
      </c>
      <c r="E243" s="3" t="str">
        <f t="shared" si="43"/>
        <v>https://oknesset.org/committee/meeting/14037/</v>
      </c>
    </row>
    <row r="244" ht="14.25" customHeight="1">
      <c r="A244" s="2" t="s">
        <v>11</v>
      </c>
      <c r="B244" s="1" t="s">
        <v>110</v>
      </c>
      <c r="C244" s="2" t="s">
        <v>29</v>
      </c>
      <c r="D244" s="2" t="s">
        <v>30</v>
      </c>
      <c r="E244" s="3" t="str">
        <f t="shared" si="43"/>
        <v>https://oknesset.org/committee/meeting/14037/</v>
      </c>
    </row>
    <row r="245" ht="14.25" customHeight="1">
      <c r="A245" s="2" t="s">
        <v>103</v>
      </c>
      <c r="B245" s="1" t="s">
        <v>110</v>
      </c>
      <c r="C245" s="2" t="s">
        <v>70</v>
      </c>
      <c r="D245" s="2" t="s">
        <v>111</v>
      </c>
      <c r="E245" s="3" t="str">
        <f t="shared" ref="E245:E255" si="44">HYPERLINK("https://oknesset.org/committee/meeting/14099/","https://oknesset.org/committee/meeting/14099/")</f>
        <v>https://oknesset.org/committee/meeting/14099/</v>
      </c>
    </row>
    <row r="246" ht="14.25" customHeight="1">
      <c r="A246" s="2" t="s">
        <v>20</v>
      </c>
      <c r="B246" s="1" t="s">
        <v>110</v>
      </c>
      <c r="C246" s="2" t="s">
        <v>70</v>
      </c>
      <c r="D246" s="2" t="s">
        <v>111</v>
      </c>
      <c r="E246" s="3" t="str">
        <f t="shared" si="44"/>
        <v>https://oknesset.org/committee/meeting/14099/</v>
      </c>
    </row>
    <row r="247" ht="14.25" customHeight="1">
      <c r="A247" s="2" t="s">
        <v>28</v>
      </c>
      <c r="B247" s="1" t="s">
        <v>110</v>
      </c>
      <c r="C247" s="2" t="s">
        <v>70</v>
      </c>
      <c r="D247" s="2" t="s">
        <v>111</v>
      </c>
      <c r="E247" s="3" t="str">
        <f t="shared" si="44"/>
        <v>https://oknesset.org/committee/meeting/14099/</v>
      </c>
    </row>
    <row r="248" ht="14.25" customHeight="1">
      <c r="A248" s="2" t="s">
        <v>109</v>
      </c>
      <c r="B248" s="1" t="s">
        <v>110</v>
      </c>
      <c r="C248" s="2" t="s">
        <v>70</v>
      </c>
      <c r="D248" s="2" t="s">
        <v>111</v>
      </c>
      <c r="E248" s="3" t="str">
        <f t="shared" si="44"/>
        <v>https://oknesset.org/committee/meeting/14099/</v>
      </c>
    </row>
    <row r="249" ht="14.25" customHeight="1">
      <c r="A249" s="2" t="s">
        <v>104</v>
      </c>
      <c r="B249" s="1" t="s">
        <v>110</v>
      </c>
      <c r="C249" s="2" t="s">
        <v>70</v>
      </c>
      <c r="D249" s="2" t="s">
        <v>111</v>
      </c>
      <c r="E249" s="3" t="str">
        <f t="shared" si="44"/>
        <v>https://oknesset.org/committee/meeting/14099/</v>
      </c>
    </row>
    <row r="250" ht="14.25" customHeight="1">
      <c r="A250" s="2" t="s">
        <v>106</v>
      </c>
      <c r="B250" s="1" t="s">
        <v>110</v>
      </c>
      <c r="C250" s="2" t="s">
        <v>70</v>
      </c>
      <c r="D250" s="2" t="s">
        <v>111</v>
      </c>
      <c r="E250" s="3" t="str">
        <f t="shared" si="44"/>
        <v>https://oknesset.org/committee/meeting/14099/</v>
      </c>
    </row>
    <row r="251" ht="14.25" customHeight="1">
      <c r="A251" s="2" t="s">
        <v>107</v>
      </c>
      <c r="B251" s="1" t="s">
        <v>110</v>
      </c>
      <c r="C251" s="2" t="s">
        <v>70</v>
      </c>
      <c r="D251" s="2" t="s">
        <v>111</v>
      </c>
      <c r="E251" s="3" t="str">
        <f t="shared" si="44"/>
        <v>https://oknesset.org/committee/meeting/14099/</v>
      </c>
    </row>
    <row r="252" ht="14.25" customHeight="1">
      <c r="A252" s="2" t="s">
        <v>101</v>
      </c>
      <c r="B252" s="1" t="s">
        <v>110</v>
      </c>
      <c r="C252" s="2" t="s">
        <v>70</v>
      </c>
      <c r="D252" s="2" t="s">
        <v>111</v>
      </c>
      <c r="E252" s="3" t="str">
        <f t="shared" si="44"/>
        <v>https://oknesset.org/committee/meeting/14099/</v>
      </c>
    </row>
    <row r="253" ht="14.25" customHeight="1">
      <c r="A253" s="2" t="s">
        <v>84</v>
      </c>
      <c r="B253" s="1" t="s">
        <v>110</v>
      </c>
      <c r="C253" s="2" t="s">
        <v>70</v>
      </c>
      <c r="D253" s="2" t="s">
        <v>111</v>
      </c>
      <c r="E253" s="3" t="str">
        <f t="shared" si="44"/>
        <v>https://oknesset.org/committee/meeting/14099/</v>
      </c>
    </row>
    <row r="254" ht="14.25" customHeight="1">
      <c r="A254" s="2" t="s">
        <v>11</v>
      </c>
      <c r="B254" s="1" t="s">
        <v>110</v>
      </c>
      <c r="C254" s="2" t="s">
        <v>70</v>
      </c>
      <c r="D254" s="2" t="s">
        <v>111</v>
      </c>
      <c r="E254" s="3" t="str">
        <f t="shared" si="44"/>
        <v>https://oknesset.org/committee/meeting/14099/</v>
      </c>
    </row>
    <row r="255" ht="14.25" customHeight="1">
      <c r="A255" s="2" t="s">
        <v>61</v>
      </c>
      <c r="B255" s="1" t="s">
        <v>110</v>
      </c>
      <c r="C255" s="2" t="s">
        <v>70</v>
      </c>
      <c r="D255" s="2" t="s">
        <v>111</v>
      </c>
      <c r="E255" s="3" t="str">
        <f t="shared" si="44"/>
        <v>https://oknesset.org/committee/meeting/14099/</v>
      </c>
    </row>
    <row r="256" ht="14.25" customHeight="1">
      <c r="A256" s="2" t="s">
        <v>21</v>
      </c>
      <c r="B256" s="1" t="s">
        <v>110</v>
      </c>
      <c r="C256" s="2" t="s">
        <v>70</v>
      </c>
      <c r="D256" s="2" t="s">
        <v>111</v>
      </c>
      <c r="E256" s="3" t="str">
        <f t="shared" ref="E256:E273" si="45">HYPERLINK("https://oknesset.org/committee/meeting/14100/","https://oknesset.org/committee/meeting/14100/")</f>
        <v>https://oknesset.org/committee/meeting/14100/</v>
      </c>
    </row>
    <row r="257" ht="14.25" customHeight="1">
      <c r="A257" s="2" t="s">
        <v>118</v>
      </c>
      <c r="B257" s="1" t="s">
        <v>110</v>
      </c>
      <c r="C257" s="2" t="s">
        <v>70</v>
      </c>
      <c r="D257" s="2" t="s">
        <v>111</v>
      </c>
      <c r="E257" s="3" t="str">
        <f t="shared" si="45"/>
        <v>https://oknesset.org/committee/meeting/14100/</v>
      </c>
    </row>
    <row r="258" ht="14.25" customHeight="1">
      <c r="A258" s="2" t="s">
        <v>103</v>
      </c>
      <c r="B258" s="1" t="s">
        <v>110</v>
      </c>
      <c r="C258" s="2" t="s">
        <v>70</v>
      </c>
      <c r="D258" s="2" t="s">
        <v>111</v>
      </c>
      <c r="E258" s="3" t="str">
        <f t="shared" si="45"/>
        <v>https://oknesset.org/committee/meeting/14100/</v>
      </c>
    </row>
    <row r="259" ht="14.25" customHeight="1">
      <c r="A259" s="2" t="s">
        <v>20</v>
      </c>
      <c r="B259" s="1" t="s">
        <v>110</v>
      </c>
      <c r="C259" s="2" t="s">
        <v>70</v>
      </c>
      <c r="D259" s="2" t="s">
        <v>111</v>
      </c>
      <c r="E259" s="3" t="str">
        <f t="shared" si="45"/>
        <v>https://oknesset.org/committee/meeting/14100/</v>
      </c>
    </row>
    <row r="260" ht="14.25" customHeight="1">
      <c r="A260" s="2" t="s">
        <v>28</v>
      </c>
      <c r="B260" s="1" t="s">
        <v>110</v>
      </c>
      <c r="C260" s="2" t="s">
        <v>70</v>
      </c>
      <c r="D260" s="2" t="s">
        <v>111</v>
      </c>
      <c r="E260" s="3" t="str">
        <f t="shared" si="45"/>
        <v>https://oknesset.org/committee/meeting/14100/</v>
      </c>
    </row>
    <row r="261" ht="14.25" customHeight="1">
      <c r="A261" s="2" t="s">
        <v>44</v>
      </c>
      <c r="B261" s="1" t="s">
        <v>110</v>
      </c>
      <c r="C261" s="2" t="s">
        <v>70</v>
      </c>
      <c r="D261" s="2" t="s">
        <v>111</v>
      </c>
      <c r="E261" s="3" t="str">
        <f t="shared" si="45"/>
        <v>https://oknesset.org/committee/meeting/14100/</v>
      </c>
    </row>
    <row r="262" ht="14.25" customHeight="1">
      <c r="A262" s="2" t="s">
        <v>17</v>
      </c>
      <c r="B262" s="1" t="s">
        <v>110</v>
      </c>
      <c r="C262" s="2" t="s">
        <v>70</v>
      </c>
      <c r="D262" s="2" t="s">
        <v>111</v>
      </c>
      <c r="E262" s="3" t="str">
        <f t="shared" si="45"/>
        <v>https://oknesset.org/committee/meeting/14100/</v>
      </c>
    </row>
    <row r="263" ht="14.25" customHeight="1">
      <c r="A263" s="2" t="s">
        <v>109</v>
      </c>
      <c r="B263" s="1" t="s">
        <v>110</v>
      </c>
      <c r="C263" s="2" t="s">
        <v>70</v>
      </c>
      <c r="D263" s="2" t="s">
        <v>111</v>
      </c>
      <c r="E263" s="3" t="str">
        <f t="shared" si="45"/>
        <v>https://oknesset.org/committee/meeting/14100/</v>
      </c>
    </row>
    <row r="264" ht="14.25" customHeight="1">
      <c r="A264" s="2" t="s">
        <v>104</v>
      </c>
      <c r="B264" s="1" t="s">
        <v>110</v>
      </c>
      <c r="C264" s="2" t="s">
        <v>70</v>
      </c>
      <c r="D264" s="2" t="s">
        <v>111</v>
      </c>
      <c r="E264" s="3" t="str">
        <f t="shared" si="45"/>
        <v>https://oknesset.org/committee/meeting/14100/</v>
      </c>
    </row>
    <row r="265" ht="14.25" customHeight="1">
      <c r="A265" s="2" t="s">
        <v>106</v>
      </c>
      <c r="B265" s="1" t="s">
        <v>110</v>
      </c>
      <c r="C265" s="2" t="s">
        <v>70</v>
      </c>
      <c r="D265" s="2" t="s">
        <v>111</v>
      </c>
      <c r="E265" s="3" t="str">
        <f t="shared" si="45"/>
        <v>https://oknesset.org/committee/meeting/14100/</v>
      </c>
    </row>
    <row r="266" ht="14.25" customHeight="1">
      <c r="A266" s="2" t="s">
        <v>107</v>
      </c>
      <c r="B266" s="1" t="s">
        <v>110</v>
      </c>
      <c r="C266" s="2" t="s">
        <v>70</v>
      </c>
      <c r="D266" s="2" t="s">
        <v>111</v>
      </c>
      <c r="E266" s="3" t="str">
        <f t="shared" si="45"/>
        <v>https://oknesset.org/committee/meeting/14100/</v>
      </c>
    </row>
    <row r="267" ht="14.25" customHeight="1">
      <c r="A267" s="2" t="s">
        <v>101</v>
      </c>
      <c r="B267" s="1" t="s">
        <v>110</v>
      </c>
      <c r="C267" s="2" t="s">
        <v>70</v>
      </c>
      <c r="D267" s="2" t="s">
        <v>111</v>
      </c>
      <c r="E267" s="3" t="str">
        <f t="shared" si="45"/>
        <v>https://oknesset.org/committee/meeting/14100/</v>
      </c>
    </row>
    <row r="268" ht="14.25" customHeight="1">
      <c r="A268" s="2" t="s">
        <v>16</v>
      </c>
      <c r="B268" s="1" t="s">
        <v>110</v>
      </c>
      <c r="C268" s="2" t="s">
        <v>70</v>
      </c>
      <c r="D268" s="2" t="s">
        <v>111</v>
      </c>
      <c r="E268" s="3" t="str">
        <f t="shared" si="45"/>
        <v>https://oknesset.org/committee/meeting/14100/</v>
      </c>
    </row>
    <row r="269" ht="14.25" customHeight="1">
      <c r="A269" s="2" t="s">
        <v>62</v>
      </c>
      <c r="B269" s="1" t="s">
        <v>110</v>
      </c>
      <c r="C269" s="2" t="s">
        <v>70</v>
      </c>
      <c r="D269" s="2" t="s">
        <v>111</v>
      </c>
      <c r="E269" s="3" t="str">
        <f t="shared" si="45"/>
        <v>https://oknesset.org/committee/meeting/14100/</v>
      </c>
    </row>
    <row r="270" ht="14.25" customHeight="1">
      <c r="A270" s="2" t="s">
        <v>13</v>
      </c>
      <c r="B270" s="1" t="s">
        <v>110</v>
      </c>
      <c r="C270" s="2" t="s">
        <v>70</v>
      </c>
      <c r="D270" s="2" t="s">
        <v>111</v>
      </c>
      <c r="E270" s="3" t="str">
        <f t="shared" si="45"/>
        <v>https://oknesset.org/committee/meeting/14100/</v>
      </c>
    </row>
    <row r="271" ht="14.25" customHeight="1">
      <c r="A271" s="2" t="s">
        <v>76</v>
      </c>
      <c r="B271" s="1" t="s">
        <v>110</v>
      </c>
      <c r="C271" s="2" t="s">
        <v>70</v>
      </c>
      <c r="D271" s="2" t="s">
        <v>111</v>
      </c>
      <c r="E271" s="3" t="str">
        <f t="shared" si="45"/>
        <v>https://oknesset.org/committee/meeting/14100/</v>
      </c>
    </row>
    <row r="272" ht="14.25" customHeight="1">
      <c r="A272" s="2" t="s">
        <v>61</v>
      </c>
      <c r="B272" s="1" t="s">
        <v>110</v>
      </c>
      <c r="C272" s="2" t="s">
        <v>70</v>
      </c>
      <c r="D272" s="2" t="s">
        <v>111</v>
      </c>
      <c r="E272" s="3" t="str">
        <f t="shared" si="45"/>
        <v>https://oknesset.org/committee/meeting/14100/</v>
      </c>
    </row>
    <row r="273" ht="14.25" customHeight="1">
      <c r="A273" s="2" t="s">
        <v>35</v>
      </c>
      <c r="B273" s="1" t="s">
        <v>110</v>
      </c>
      <c r="C273" s="2" t="s">
        <v>70</v>
      </c>
      <c r="D273" s="2" t="s">
        <v>111</v>
      </c>
      <c r="E273" s="3" t="str">
        <f t="shared" si="45"/>
        <v>https://oknesset.org/committee/meeting/14100/</v>
      </c>
    </row>
    <row r="274" ht="14.25" customHeight="1">
      <c r="A274" s="2" t="s">
        <v>66</v>
      </c>
      <c r="B274" s="1" t="s">
        <v>110</v>
      </c>
      <c r="C274" s="2" t="s">
        <v>45</v>
      </c>
      <c r="D274" s="2" t="s">
        <v>119</v>
      </c>
      <c r="E274" s="3" t="str">
        <f t="shared" ref="E274:E279" si="46">HYPERLINK("https://oknesset.org/committee/meeting/14152/","https://oknesset.org/committee/meeting/14152/")</f>
        <v>https://oknesset.org/committee/meeting/14152/</v>
      </c>
    </row>
    <row r="275" ht="14.25" customHeight="1">
      <c r="A275" s="2" t="s">
        <v>118</v>
      </c>
      <c r="B275" s="1" t="s">
        <v>110</v>
      </c>
      <c r="C275" s="2" t="s">
        <v>45</v>
      </c>
      <c r="D275" s="2" t="s">
        <v>119</v>
      </c>
      <c r="E275" s="3" t="str">
        <f t="shared" si="46"/>
        <v>https://oknesset.org/committee/meeting/14152/</v>
      </c>
    </row>
    <row r="276" ht="14.25" customHeight="1">
      <c r="A276" s="2" t="s">
        <v>44</v>
      </c>
      <c r="B276" s="1" t="s">
        <v>110</v>
      </c>
      <c r="C276" s="2" t="s">
        <v>45</v>
      </c>
      <c r="D276" s="2" t="s">
        <v>119</v>
      </c>
      <c r="E276" s="3" t="str">
        <f t="shared" si="46"/>
        <v>https://oknesset.org/committee/meeting/14152/</v>
      </c>
    </row>
    <row r="277" ht="14.25" customHeight="1">
      <c r="A277" s="2" t="s">
        <v>62</v>
      </c>
      <c r="B277" s="1" t="s">
        <v>110</v>
      </c>
      <c r="C277" s="2" t="s">
        <v>45</v>
      </c>
      <c r="D277" s="2" t="s">
        <v>119</v>
      </c>
      <c r="E277" s="3" t="str">
        <f t="shared" si="46"/>
        <v>https://oknesset.org/committee/meeting/14152/</v>
      </c>
    </row>
    <row r="278" ht="14.25" customHeight="1">
      <c r="A278" s="2" t="s">
        <v>73</v>
      </c>
      <c r="B278" s="1" t="s">
        <v>110</v>
      </c>
      <c r="C278" s="2" t="s">
        <v>45</v>
      </c>
      <c r="D278" s="2" t="s">
        <v>119</v>
      </c>
      <c r="E278" s="3" t="str">
        <f t="shared" si="46"/>
        <v>https://oknesset.org/committee/meeting/14152/</v>
      </c>
    </row>
    <row r="279" ht="14.25" customHeight="1">
      <c r="A279" s="2" t="s">
        <v>9</v>
      </c>
      <c r="B279" s="1" t="s">
        <v>110</v>
      </c>
      <c r="C279" s="2" t="s">
        <v>45</v>
      </c>
      <c r="D279" s="2" t="s">
        <v>119</v>
      </c>
      <c r="E279" s="3" t="str">
        <f t="shared" si="46"/>
        <v>https://oknesset.org/committee/meeting/14152/</v>
      </c>
    </row>
    <row r="280" ht="14.25" customHeight="1">
      <c r="A280" s="2" t="s">
        <v>21</v>
      </c>
      <c r="B280" s="1" t="s">
        <v>110</v>
      </c>
      <c r="C280" s="2" t="s">
        <v>48</v>
      </c>
      <c r="D280" s="2" t="s">
        <v>120</v>
      </c>
      <c r="E280" s="3" t="str">
        <f t="shared" ref="E280:E285" si="47">HYPERLINK("https://oknesset.org/committee/meeting/14198/","https://oknesset.org/committee/meeting/14198/")</f>
        <v>https://oknesset.org/committee/meeting/14198/</v>
      </c>
    </row>
    <row r="281" ht="14.25" customHeight="1">
      <c r="A281" s="2" t="s">
        <v>44</v>
      </c>
      <c r="B281" s="1" t="s">
        <v>110</v>
      </c>
      <c r="C281" s="2" t="s">
        <v>48</v>
      </c>
      <c r="D281" s="2" t="s">
        <v>120</v>
      </c>
      <c r="E281" s="3" t="str">
        <f t="shared" si="47"/>
        <v>https://oknesset.org/committee/meeting/14198/</v>
      </c>
    </row>
    <row r="282" ht="14.25" customHeight="1">
      <c r="A282" s="2" t="s">
        <v>73</v>
      </c>
      <c r="B282" s="1" t="s">
        <v>110</v>
      </c>
      <c r="C282" s="2" t="s">
        <v>48</v>
      </c>
      <c r="D282" s="2" t="s">
        <v>120</v>
      </c>
      <c r="E282" s="3" t="str">
        <f t="shared" si="47"/>
        <v>https://oknesset.org/committee/meeting/14198/</v>
      </c>
    </row>
    <row r="283" ht="14.25" customHeight="1">
      <c r="A283" s="2" t="s">
        <v>11</v>
      </c>
      <c r="B283" s="1" t="s">
        <v>110</v>
      </c>
      <c r="C283" s="2" t="s">
        <v>48</v>
      </c>
      <c r="D283" s="2" t="s">
        <v>120</v>
      </c>
      <c r="E283" s="3" t="str">
        <f t="shared" si="47"/>
        <v>https://oknesset.org/committee/meeting/14198/</v>
      </c>
    </row>
    <row r="284" ht="14.25" customHeight="1">
      <c r="A284" s="2" t="s">
        <v>32</v>
      </c>
      <c r="B284" s="1" t="s">
        <v>110</v>
      </c>
      <c r="C284" s="2" t="s">
        <v>48</v>
      </c>
      <c r="D284" s="2" t="s">
        <v>120</v>
      </c>
      <c r="E284" s="3" t="str">
        <f t="shared" si="47"/>
        <v>https://oknesset.org/committee/meeting/14198/</v>
      </c>
    </row>
    <row r="285" ht="14.25" customHeight="1">
      <c r="A285" s="2" t="s">
        <v>121</v>
      </c>
      <c r="B285" s="1" t="s">
        <v>110</v>
      </c>
      <c r="C285" s="2" t="s">
        <v>48</v>
      </c>
      <c r="D285" s="2" t="s">
        <v>120</v>
      </c>
      <c r="E285" s="3" t="str">
        <f t="shared" si="47"/>
        <v>https://oknesset.org/committee/meeting/14198/</v>
      </c>
    </row>
    <row r="286" ht="14.25" customHeight="1">
      <c r="A286" s="2" t="s">
        <v>85</v>
      </c>
      <c r="B286" s="1" t="s">
        <v>110</v>
      </c>
      <c r="C286" s="2" t="s">
        <v>48</v>
      </c>
      <c r="D286" s="2" t="s">
        <v>122</v>
      </c>
      <c r="E286" s="3" t="str">
        <f t="shared" ref="E286:E288" si="48">HYPERLINK("https://oknesset.org/committee/meeting/14199/","https://oknesset.org/committee/meeting/14199/")</f>
        <v>https://oknesset.org/committee/meeting/14199/</v>
      </c>
    </row>
    <row r="287" ht="14.25" customHeight="1">
      <c r="A287" s="2" t="s">
        <v>44</v>
      </c>
      <c r="B287" s="1" t="s">
        <v>110</v>
      </c>
      <c r="C287" s="2" t="s">
        <v>48</v>
      </c>
      <c r="D287" s="2" t="s">
        <v>122</v>
      </c>
      <c r="E287" s="3" t="str">
        <f t="shared" si="48"/>
        <v>https://oknesset.org/committee/meeting/14199/</v>
      </c>
    </row>
    <row r="288" ht="14.25" customHeight="1">
      <c r="A288" s="2" t="s">
        <v>32</v>
      </c>
      <c r="B288" s="1" t="s">
        <v>110</v>
      </c>
      <c r="C288" s="2" t="s">
        <v>48</v>
      </c>
      <c r="D288" s="2" t="s">
        <v>122</v>
      </c>
      <c r="E288" s="3" t="str">
        <f t="shared" si="48"/>
        <v>https://oknesset.org/committee/meeting/14199/</v>
      </c>
    </row>
    <row r="289" ht="14.25" customHeight="1">
      <c r="A289" s="2" t="s">
        <v>32</v>
      </c>
      <c r="B289" s="1" t="s">
        <v>123</v>
      </c>
      <c r="C289" s="2" t="s">
        <v>48</v>
      </c>
      <c r="D289" s="2" t="s">
        <v>124</v>
      </c>
      <c r="E289" s="3" t="str">
        <f>HYPERLINK("https://oknesset.org/committee/meeting/14197/","https://oknesset.org/committee/meeting/14197/")</f>
        <v>https://oknesset.org/committee/meeting/14197/</v>
      </c>
    </row>
    <row r="290" ht="14.25" customHeight="1">
      <c r="A290" s="2" t="s">
        <v>97</v>
      </c>
      <c r="B290" s="1" t="s">
        <v>123</v>
      </c>
      <c r="C290" s="2" t="s">
        <v>29</v>
      </c>
      <c r="D290" s="2" t="s">
        <v>125</v>
      </c>
      <c r="E290" s="3" t="str">
        <f t="shared" ref="E290:E297" si="49">HYPERLINK("https://oknesset.org/committee/meeting/14036/","https://oknesset.org/committee/meeting/14036/")</f>
        <v>https://oknesset.org/committee/meeting/14036/</v>
      </c>
    </row>
    <row r="291" ht="14.25" customHeight="1">
      <c r="A291" s="2" t="s">
        <v>94</v>
      </c>
      <c r="B291" s="1" t="s">
        <v>123</v>
      </c>
      <c r="C291" s="2" t="s">
        <v>29</v>
      </c>
      <c r="D291" s="2" t="s">
        <v>125</v>
      </c>
      <c r="E291" s="3" t="str">
        <f t="shared" si="49"/>
        <v>https://oknesset.org/committee/meeting/14036/</v>
      </c>
    </row>
    <row r="292" ht="14.25" customHeight="1">
      <c r="A292" s="2" t="s">
        <v>101</v>
      </c>
      <c r="B292" s="1" t="s">
        <v>123</v>
      </c>
      <c r="C292" s="2" t="s">
        <v>29</v>
      </c>
      <c r="D292" s="2" t="s">
        <v>125</v>
      </c>
      <c r="E292" s="3" t="str">
        <f t="shared" si="49"/>
        <v>https://oknesset.org/committee/meeting/14036/</v>
      </c>
    </row>
    <row r="293" ht="14.25" customHeight="1">
      <c r="A293" s="2" t="s">
        <v>115</v>
      </c>
      <c r="B293" s="1" t="s">
        <v>123</v>
      </c>
      <c r="C293" s="2" t="s">
        <v>29</v>
      </c>
      <c r="D293" s="2" t="s">
        <v>125</v>
      </c>
      <c r="E293" s="3" t="str">
        <f t="shared" si="49"/>
        <v>https://oknesset.org/committee/meeting/14036/</v>
      </c>
    </row>
    <row r="294" ht="14.25" customHeight="1">
      <c r="A294" s="2" t="s">
        <v>62</v>
      </c>
      <c r="B294" s="1" t="s">
        <v>123</v>
      </c>
      <c r="C294" s="2" t="s">
        <v>29</v>
      </c>
      <c r="D294" s="2" t="s">
        <v>125</v>
      </c>
      <c r="E294" s="3" t="str">
        <f t="shared" si="49"/>
        <v>https://oknesset.org/committee/meeting/14036/</v>
      </c>
    </row>
    <row r="295" ht="14.25" customHeight="1">
      <c r="A295" s="2" t="s">
        <v>64</v>
      </c>
      <c r="B295" s="1" t="s">
        <v>123</v>
      </c>
      <c r="C295" s="2" t="s">
        <v>29</v>
      </c>
      <c r="D295" s="2" t="s">
        <v>125</v>
      </c>
      <c r="E295" s="3" t="str">
        <f t="shared" si="49"/>
        <v>https://oknesset.org/committee/meeting/14036/</v>
      </c>
    </row>
    <row r="296" ht="14.25" customHeight="1">
      <c r="A296" s="2" t="s">
        <v>13</v>
      </c>
      <c r="B296" s="1" t="s">
        <v>123</v>
      </c>
      <c r="C296" s="2" t="s">
        <v>29</v>
      </c>
      <c r="D296" s="2" t="s">
        <v>125</v>
      </c>
      <c r="E296" s="3" t="str">
        <f t="shared" si="49"/>
        <v>https://oknesset.org/committee/meeting/14036/</v>
      </c>
    </row>
    <row r="297" ht="14.25" customHeight="1">
      <c r="A297" s="2" t="s">
        <v>11</v>
      </c>
      <c r="B297" s="1" t="s">
        <v>123</v>
      </c>
      <c r="C297" s="2" t="s">
        <v>29</v>
      </c>
      <c r="D297" s="2" t="s">
        <v>125</v>
      </c>
      <c r="E297" s="3" t="str">
        <f t="shared" si="49"/>
        <v>https://oknesset.org/committee/meeting/14036/</v>
      </c>
    </row>
    <row r="298" ht="14.25" customHeight="1">
      <c r="A298" s="2" t="s">
        <v>126</v>
      </c>
      <c r="B298" s="1" t="s">
        <v>123</v>
      </c>
      <c r="C298" s="2" t="s">
        <v>48</v>
      </c>
      <c r="D298" s="2" t="s">
        <v>120</v>
      </c>
      <c r="E298" s="3" t="str">
        <f t="shared" ref="E298:E305" si="50">HYPERLINK("https://oknesset.org/committee/meeting/14195/","https://oknesset.org/committee/meeting/14195/")</f>
        <v>https://oknesset.org/committee/meeting/14195/</v>
      </c>
    </row>
    <row r="299" ht="14.25" customHeight="1">
      <c r="A299" s="2" t="s">
        <v>32</v>
      </c>
      <c r="B299" s="1" t="s">
        <v>123</v>
      </c>
      <c r="C299" s="2" t="s">
        <v>48</v>
      </c>
      <c r="D299" s="2" t="s">
        <v>120</v>
      </c>
      <c r="E299" s="3" t="str">
        <f t="shared" si="50"/>
        <v>https://oknesset.org/committee/meeting/14195/</v>
      </c>
    </row>
    <row r="300" ht="14.25" customHeight="1">
      <c r="A300" s="2" t="s">
        <v>11</v>
      </c>
      <c r="B300" s="1" t="s">
        <v>123</v>
      </c>
      <c r="C300" s="2" t="s">
        <v>48</v>
      </c>
      <c r="D300" s="2" t="s">
        <v>120</v>
      </c>
      <c r="E300" s="3" t="str">
        <f t="shared" si="50"/>
        <v>https://oknesset.org/committee/meeting/14195/</v>
      </c>
    </row>
    <row r="301" ht="14.25" customHeight="1">
      <c r="A301" s="2" t="s">
        <v>95</v>
      </c>
      <c r="B301" s="1" t="s">
        <v>123</v>
      </c>
      <c r="C301" s="2" t="s">
        <v>48</v>
      </c>
      <c r="D301" s="2" t="s">
        <v>120</v>
      </c>
      <c r="E301" s="3" t="str">
        <f t="shared" si="50"/>
        <v>https://oknesset.org/committee/meeting/14195/</v>
      </c>
    </row>
    <row r="302" ht="14.25" customHeight="1">
      <c r="A302" s="2" t="s">
        <v>114</v>
      </c>
      <c r="B302" s="1" t="s">
        <v>123</v>
      </c>
      <c r="C302" s="2" t="s">
        <v>48</v>
      </c>
      <c r="D302" s="2" t="s">
        <v>120</v>
      </c>
      <c r="E302" s="3" t="str">
        <f t="shared" si="50"/>
        <v>https://oknesset.org/committee/meeting/14195/</v>
      </c>
    </row>
    <row r="303" ht="14.25" customHeight="1">
      <c r="A303" s="2" t="s">
        <v>127</v>
      </c>
      <c r="B303" s="1" t="s">
        <v>123</v>
      </c>
      <c r="C303" s="2" t="s">
        <v>48</v>
      </c>
      <c r="D303" s="2" t="s">
        <v>120</v>
      </c>
      <c r="E303" s="3" t="str">
        <f t="shared" si="50"/>
        <v>https://oknesset.org/committee/meeting/14195/</v>
      </c>
    </row>
    <row r="304" ht="14.25" customHeight="1">
      <c r="A304" s="2" t="s">
        <v>16</v>
      </c>
      <c r="B304" s="1" t="s">
        <v>123</v>
      </c>
      <c r="C304" s="2" t="s">
        <v>48</v>
      </c>
      <c r="D304" s="2" t="s">
        <v>120</v>
      </c>
      <c r="E304" s="3" t="str">
        <f t="shared" si="50"/>
        <v>https://oknesset.org/committee/meeting/14195/</v>
      </c>
    </row>
    <row r="305" ht="14.25" customHeight="1">
      <c r="A305" s="2" t="s">
        <v>117</v>
      </c>
      <c r="B305" s="1" t="s">
        <v>123</v>
      </c>
      <c r="C305" s="2" t="s">
        <v>48</v>
      </c>
      <c r="D305" s="2" t="s">
        <v>120</v>
      </c>
      <c r="E305" s="3" t="str">
        <f t="shared" si="50"/>
        <v>https://oknesset.org/committee/meeting/14195/</v>
      </c>
    </row>
    <row r="306" ht="14.25" customHeight="1">
      <c r="A306" s="2" t="s">
        <v>47</v>
      </c>
      <c r="B306" s="1" t="s">
        <v>123</v>
      </c>
      <c r="C306" s="2" t="s">
        <v>45</v>
      </c>
      <c r="D306" s="2" t="s">
        <v>128</v>
      </c>
      <c r="E306" s="3" t="str">
        <f t="shared" ref="E306:E307" si="51">HYPERLINK("https://oknesset.org/committee/meeting/14149/","https://oknesset.org/committee/meeting/14149/")</f>
        <v>https://oknesset.org/committee/meeting/14149/</v>
      </c>
    </row>
    <row r="307" ht="14.25" customHeight="1">
      <c r="A307" s="2" t="s">
        <v>9</v>
      </c>
      <c r="B307" s="1" t="s">
        <v>123</v>
      </c>
      <c r="C307" s="2" t="s">
        <v>45</v>
      </c>
      <c r="D307" s="2" t="s">
        <v>128</v>
      </c>
      <c r="E307" s="3" t="str">
        <f t="shared" si="51"/>
        <v>https://oknesset.org/committee/meeting/14149/</v>
      </c>
    </row>
    <row r="308" ht="14.25" customHeight="1">
      <c r="A308" s="2" t="s">
        <v>82</v>
      </c>
      <c r="B308" s="1" t="s">
        <v>123</v>
      </c>
      <c r="C308" s="2" t="s">
        <v>45</v>
      </c>
      <c r="D308" s="2" t="s">
        <v>129</v>
      </c>
      <c r="E308" s="3" t="str">
        <f t="shared" ref="E308:E311" si="52">HYPERLINK("https://oknesset.org/committee/meeting/14150/","https://oknesset.org/committee/meeting/14150/")</f>
        <v>https://oknesset.org/committee/meeting/14150/</v>
      </c>
    </row>
    <row r="309" ht="14.25" customHeight="1">
      <c r="A309" s="2" t="s">
        <v>20</v>
      </c>
      <c r="B309" s="1" t="s">
        <v>123</v>
      </c>
      <c r="C309" s="2" t="s">
        <v>45</v>
      </c>
      <c r="D309" s="2" t="s">
        <v>129</v>
      </c>
      <c r="E309" s="3" t="str">
        <f t="shared" si="52"/>
        <v>https://oknesset.org/committee/meeting/14150/</v>
      </c>
    </row>
    <row r="310" ht="14.25" customHeight="1">
      <c r="A310" s="2" t="s">
        <v>130</v>
      </c>
      <c r="B310" s="1" t="s">
        <v>123</v>
      </c>
      <c r="C310" s="2" t="s">
        <v>45</v>
      </c>
      <c r="D310" s="2" t="s">
        <v>129</v>
      </c>
      <c r="E310" s="3" t="str">
        <f t="shared" si="52"/>
        <v>https://oknesset.org/committee/meeting/14150/</v>
      </c>
    </row>
    <row r="311" ht="14.25" customHeight="1">
      <c r="A311" s="2" t="s">
        <v>9</v>
      </c>
      <c r="B311" s="1" t="s">
        <v>123</v>
      </c>
      <c r="C311" s="2" t="s">
        <v>45</v>
      </c>
      <c r="D311" s="2" t="s">
        <v>129</v>
      </c>
      <c r="E311" s="3" t="str">
        <f t="shared" si="52"/>
        <v>https://oknesset.org/committee/meeting/14150/</v>
      </c>
    </row>
    <row r="312" ht="14.25" customHeight="1">
      <c r="A312" s="2" t="s">
        <v>66</v>
      </c>
      <c r="B312" s="1" t="s">
        <v>123</v>
      </c>
      <c r="C312" s="2" t="s">
        <v>45</v>
      </c>
      <c r="D312" s="2" t="s">
        <v>131</v>
      </c>
      <c r="E312" s="3" t="str">
        <f t="shared" ref="E312:E321" si="53">HYPERLINK("https://oknesset.org/committee/meeting/14151/","https://oknesset.org/committee/meeting/14151/")</f>
        <v>https://oknesset.org/committee/meeting/14151/</v>
      </c>
    </row>
    <row r="313" ht="14.25" customHeight="1">
      <c r="A313" s="2" t="s">
        <v>22</v>
      </c>
      <c r="B313" s="1" t="s">
        <v>123</v>
      </c>
      <c r="C313" s="2" t="s">
        <v>45</v>
      </c>
      <c r="D313" s="2" t="s">
        <v>131</v>
      </c>
      <c r="E313" s="3" t="str">
        <f t="shared" si="53"/>
        <v>https://oknesset.org/committee/meeting/14151/</v>
      </c>
    </row>
    <row r="314" ht="14.25" customHeight="1">
      <c r="A314" s="2" t="s">
        <v>85</v>
      </c>
      <c r="B314" s="1" t="s">
        <v>123</v>
      </c>
      <c r="C314" s="2" t="s">
        <v>45</v>
      </c>
      <c r="D314" s="2" t="s">
        <v>131</v>
      </c>
      <c r="E314" s="3" t="str">
        <f t="shared" si="53"/>
        <v>https://oknesset.org/committee/meeting/14151/</v>
      </c>
    </row>
    <row r="315" ht="14.25" customHeight="1">
      <c r="A315" s="2" t="s">
        <v>132</v>
      </c>
      <c r="B315" s="1" t="s">
        <v>123</v>
      </c>
      <c r="C315" s="2" t="s">
        <v>45</v>
      </c>
      <c r="D315" s="2" t="s">
        <v>131</v>
      </c>
      <c r="E315" s="3" t="str">
        <f t="shared" si="53"/>
        <v>https://oknesset.org/committee/meeting/14151/</v>
      </c>
    </row>
    <row r="316" ht="14.25" customHeight="1">
      <c r="A316" s="2" t="s">
        <v>133</v>
      </c>
      <c r="B316" s="1" t="s">
        <v>123</v>
      </c>
      <c r="C316" s="2" t="s">
        <v>45</v>
      </c>
      <c r="D316" s="2" t="s">
        <v>131</v>
      </c>
      <c r="E316" s="3" t="str">
        <f t="shared" si="53"/>
        <v>https://oknesset.org/committee/meeting/14151/</v>
      </c>
    </row>
    <row r="317" ht="14.25" customHeight="1">
      <c r="A317" s="2" t="s">
        <v>40</v>
      </c>
      <c r="B317" s="1" t="s">
        <v>123</v>
      </c>
      <c r="C317" s="2" t="s">
        <v>45</v>
      </c>
      <c r="D317" s="2" t="s">
        <v>131</v>
      </c>
      <c r="E317" s="3" t="str">
        <f t="shared" si="53"/>
        <v>https://oknesset.org/committee/meeting/14151/</v>
      </c>
    </row>
    <row r="318" ht="14.25" customHeight="1">
      <c r="A318" s="2" t="s">
        <v>15</v>
      </c>
      <c r="B318" s="1" t="s">
        <v>123</v>
      </c>
      <c r="C318" s="2" t="s">
        <v>45</v>
      </c>
      <c r="D318" s="2" t="s">
        <v>131</v>
      </c>
      <c r="E318" s="3" t="str">
        <f t="shared" si="53"/>
        <v>https://oknesset.org/committee/meeting/14151/</v>
      </c>
    </row>
    <row r="319" ht="14.25" customHeight="1">
      <c r="A319" s="2" t="s">
        <v>114</v>
      </c>
      <c r="B319" s="1" t="s">
        <v>123</v>
      </c>
      <c r="C319" s="2" t="s">
        <v>45</v>
      </c>
      <c r="D319" s="2" t="s">
        <v>131</v>
      </c>
      <c r="E319" s="3" t="str">
        <f t="shared" si="53"/>
        <v>https://oknesset.org/committee/meeting/14151/</v>
      </c>
    </row>
    <row r="320" ht="14.25" customHeight="1">
      <c r="A320" s="2" t="s">
        <v>9</v>
      </c>
      <c r="B320" s="1" t="s">
        <v>123</v>
      </c>
      <c r="C320" s="2" t="s">
        <v>45</v>
      </c>
      <c r="D320" s="2" t="s">
        <v>131</v>
      </c>
      <c r="E320" s="3" t="str">
        <f t="shared" si="53"/>
        <v>https://oknesset.org/committee/meeting/14151/</v>
      </c>
    </row>
    <row r="321" ht="14.25" customHeight="1">
      <c r="A321" s="2" t="s">
        <v>61</v>
      </c>
      <c r="B321" s="1" t="s">
        <v>123</v>
      </c>
      <c r="C321" s="2" t="s">
        <v>45</v>
      </c>
      <c r="D321" s="2" t="s">
        <v>131</v>
      </c>
      <c r="E321" s="3" t="str">
        <f t="shared" si="53"/>
        <v>https://oknesset.org/committee/meeting/14151/</v>
      </c>
    </row>
    <row r="322" ht="14.25" customHeight="1">
      <c r="A322" s="2" t="s">
        <v>126</v>
      </c>
      <c r="B322" s="1" t="s">
        <v>123</v>
      </c>
      <c r="C322" s="2" t="s">
        <v>29</v>
      </c>
      <c r="D322" s="2" t="s">
        <v>125</v>
      </c>
      <c r="E322" s="3" t="str">
        <f t="shared" ref="E322:E331" si="54">HYPERLINK("https://oknesset.org/committee/meeting/14036/","https://oknesset.org/committee/meeting/14036/")</f>
        <v>https://oknesset.org/committee/meeting/14036/</v>
      </c>
    </row>
    <row r="323" ht="14.25" customHeight="1">
      <c r="A323" s="2" t="s">
        <v>21</v>
      </c>
      <c r="B323" s="1" t="s">
        <v>123</v>
      </c>
      <c r="C323" s="2" t="s">
        <v>29</v>
      </c>
      <c r="D323" s="2" t="s">
        <v>125</v>
      </c>
      <c r="E323" s="3" t="str">
        <f t="shared" si="54"/>
        <v>https://oknesset.org/committee/meeting/14036/</v>
      </c>
    </row>
    <row r="324" ht="14.25" customHeight="1">
      <c r="A324" s="2" t="s">
        <v>34</v>
      </c>
      <c r="B324" s="1" t="s">
        <v>123</v>
      </c>
      <c r="C324" s="2" t="s">
        <v>29</v>
      </c>
      <c r="D324" s="2" t="s">
        <v>125</v>
      </c>
      <c r="E324" s="3" t="str">
        <f t="shared" si="54"/>
        <v>https://oknesset.org/committee/meeting/14036/</v>
      </c>
    </row>
    <row r="325" ht="14.25" customHeight="1">
      <c r="A325" s="2" t="s">
        <v>79</v>
      </c>
      <c r="B325" s="1" t="s">
        <v>123</v>
      </c>
      <c r="C325" s="2" t="s">
        <v>29</v>
      </c>
      <c r="D325" s="2" t="s">
        <v>125</v>
      </c>
      <c r="E325" s="3" t="str">
        <f t="shared" si="54"/>
        <v>https://oknesset.org/committee/meeting/14036/</v>
      </c>
    </row>
    <row r="326" ht="14.25" customHeight="1">
      <c r="A326" s="2" t="s">
        <v>5</v>
      </c>
      <c r="B326" s="1" t="s">
        <v>123</v>
      </c>
      <c r="C326" s="2" t="s">
        <v>29</v>
      </c>
      <c r="D326" s="2" t="s">
        <v>125</v>
      </c>
      <c r="E326" s="3" t="str">
        <f t="shared" si="54"/>
        <v>https://oknesset.org/committee/meeting/14036/</v>
      </c>
    </row>
    <row r="327" ht="14.25" customHeight="1">
      <c r="A327" s="2" t="s">
        <v>76</v>
      </c>
      <c r="B327" s="1" t="s">
        <v>123</v>
      </c>
      <c r="C327" s="2" t="s">
        <v>29</v>
      </c>
      <c r="D327" s="2" t="s">
        <v>125</v>
      </c>
      <c r="E327" s="3" t="str">
        <f t="shared" si="54"/>
        <v>https://oknesset.org/committee/meeting/14036/</v>
      </c>
    </row>
    <row r="328" ht="14.25" customHeight="1">
      <c r="A328" s="2" t="s">
        <v>20</v>
      </c>
      <c r="B328" s="1" t="s">
        <v>123</v>
      </c>
      <c r="C328" s="2" t="s">
        <v>29</v>
      </c>
      <c r="D328" s="2" t="s">
        <v>125</v>
      </c>
      <c r="E328" s="3" t="str">
        <f t="shared" si="54"/>
        <v>https://oknesset.org/committee/meeting/14036/</v>
      </c>
    </row>
    <row r="329" ht="14.25" customHeight="1">
      <c r="A329" s="2" t="s">
        <v>19</v>
      </c>
      <c r="B329" s="1" t="s">
        <v>123</v>
      </c>
      <c r="C329" s="2" t="s">
        <v>29</v>
      </c>
      <c r="D329" s="2" t="s">
        <v>125</v>
      </c>
      <c r="E329" s="3" t="str">
        <f t="shared" si="54"/>
        <v>https://oknesset.org/committee/meeting/14036/</v>
      </c>
    </row>
    <row r="330" ht="14.25" customHeight="1">
      <c r="A330" s="2" t="s">
        <v>68</v>
      </c>
      <c r="B330" s="1" t="s">
        <v>123</v>
      </c>
      <c r="C330" s="2" t="s">
        <v>29</v>
      </c>
      <c r="D330" s="2" t="s">
        <v>125</v>
      </c>
      <c r="E330" s="3" t="str">
        <f t="shared" si="54"/>
        <v>https://oknesset.org/committee/meeting/14036/</v>
      </c>
    </row>
    <row r="331" ht="14.25" customHeight="1">
      <c r="A331" s="2" t="s">
        <v>104</v>
      </c>
      <c r="B331" s="1" t="s">
        <v>123</v>
      </c>
      <c r="C331" s="2" t="s">
        <v>29</v>
      </c>
      <c r="D331" s="2" t="s">
        <v>125</v>
      </c>
      <c r="E331" s="3" t="str">
        <f t="shared" si="54"/>
        <v>https://oknesset.org/committee/meeting/14036/</v>
      </c>
    </row>
    <row r="332" ht="14.25" customHeight="1">
      <c r="A332" s="2" t="s">
        <v>134</v>
      </c>
      <c r="B332" s="1" t="s">
        <v>123</v>
      </c>
      <c r="C332" s="2" t="s">
        <v>25</v>
      </c>
      <c r="D332" s="2" t="s">
        <v>135</v>
      </c>
      <c r="E332" s="3" t="str">
        <f t="shared" ref="E332:E334" si="55">HYPERLINK("https://oknesset.org/committee/meeting/14286/","https://oknesset.org/committee/meeting/14286/")</f>
        <v>https://oknesset.org/committee/meeting/14286/</v>
      </c>
    </row>
    <row r="333" ht="14.25" customHeight="1">
      <c r="A333" s="2" t="s">
        <v>14</v>
      </c>
      <c r="B333" s="1" t="s">
        <v>123</v>
      </c>
      <c r="C333" s="2" t="s">
        <v>25</v>
      </c>
      <c r="D333" s="2" t="s">
        <v>135</v>
      </c>
      <c r="E333" s="3" t="str">
        <f t="shared" si="55"/>
        <v>https://oknesset.org/committee/meeting/14286/</v>
      </c>
    </row>
    <row r="334" ht="14.25" customHeight="1">
      <c r="A334" s="2" t="s">
        <v>27</v>
      </c>
      <c r="B334" s="1" t="s">
        <v>123</v>
      </c>
      <c r="C334" s="2" t="s">
        <v>25</v>
      </c>
      <c r="D334" s="2" t="s">
        <v>135</v>
      </c>
      <c r="E334" s="3" t="str">
        <f t="shared" si="55"/>
        <v>https://oknesset.org/committee/meeting/14286/</v>
      </c>
    </row>
    <row r="335" ht="14.25" customHeight="1">
      <c r="A335" s="2" t="s">
        <v>126</v>
      </c>
      <c r="B335" s="1" t="s">
        <v>123</v>
      </c>
      <c r="C335" s="2" t="s">
        <v>52</v>
      </c>
      <c r="D335" s="2" t="s">
        <v>136</v>
      </c>
      <c r="E335" s="3" t="str">
        <f t="shared" ref="E335:E339" si="56">HYPERLINK("https://oknesset.org/committee/meeting/14259/","https://oknesset.org/committee/meeting/14259/")</f>
        <v>https://oknesset.org/committee/meeting/14259/</v>
      </c>
    </row>
    <row r="336" ht="14.25" customHeight="1">
      <c r="A336" s="2" t="s">
        <v>34</v>
      </c>
      <c r="B336" s="1" t="s">
        <v>123</v>
      </c>
      <c r="C336" s="2" t="s">
        <v>52</v>
      </c>
      <c r="D336" s="2" t="s">
        <v>136</v>
      </c>
      <c r="E336" s="3" t="str">
        <f t="shared" si="56"/>
        <v>https://oknesset.org/committee/meeting/14259/</v>
      </c>
    </row>
    <row r="337" ht="14.25" customHeight="1">
      <c r="A337" s="2" t="s">
        <v>64</v>
      </c>
      <c r="B337" s="1" t="s">
        <v>123</v>
      </c>
      <c r="C337" s="2" t="s">
        <v>52</v>
      </c>
      <c r="D337" s="2" t="s">
        <v>136</v>
      </c>
      <c r="E337" s="3" t="str">
        <f t="shared" si="56"/>
        <v>https://oknesset.org/committee/meeting/14259/</v>
      </c>
    </row>
    <row r="338" ht="14.25" customHeight="1">
      <c r="A338" s="2" t="s">
        <v>97</v>
      </c>
      <c r="B338" s="1" t="s">
        <v>123</v>
      </c>
      <c r="C338" s="2" t="s">
        <v>52</v>
      </c>
      <c r="D338" s="2" t="s">
        <v>136</v>
      </c>
      <c r="E338" s="3" t="str">
        <f t="shared" si="56"/>
        <v>https://oknesset.org/committee/meeting/14259/</v>
      </c>
    </row>
    <row r="339" ht="14.25" customHeight="1">
      <c r="A339" s="2" t="s">
        <v>117</v>
      </c>
      <c r="B339" s="1" t="s">
        <v>123</v>
      </c>
      <c r="C339" s="2" t="s">
        <v>52</v>
      </c>
      <c r="D339" s="2" t="s">
        <v>136</v>
      </c>
      <c r="E339" s="3" t="str">
        <f t="shared" si="56"/>
        <v>https://oknesset.org/committee/meeting/14259/</v>
      </c>
    </row>
    <row r="340" ht="14.25" customHeight="1">
      <c r="A340" s="2" t="s">
        <v>34</v>
      </c>
      <c r="B340" s="1" t="s">
        <v>123</v>
      </c>
      <c r="C340" s="2" t="s">
        <v>52</v>
      </c>
      <c r="D340" s="2" t="s">
        <v>137</v>
      </c>
      <c r="E340" s="3" t="str">
        <f>HYPERLINK("https://oknesset.org/committee/meeting/14258/","https://oknesset.org/committee/meeting/14258/")</f>
        <v>https://oknesset.org/committee/meeting/14258/</v>
      </c>
    </row>
    <row r="341" ht="14.25" customHeight="1">
      <c r="A341" s="2" t="s">
        <v>36</v>
      </c>
      <c r="B341" s="1" t="s">
        <v>123</v>
      </c>
      <c r="C341" s="2" t="s">
        <v>37</v>
      </c>
      <c r="D341" s="2" t="s">
        <v>138</v>
      </c>
      <c r="E341" s="3" t="str">
        <f t="shared" ref="E341:E342" si="57">HYPERLINK("https://oknesset.org/committee/meeting/14415/","https://oknesset.org/committee/meeting/14415/")</f>
        <v>https://oknesset.org/committee/meeting/14415/</v>
      </c>
    </row>
    <row r="342" ht="14.25" customHeight="1">
      <c r="A342" s="2" t="s">
        <v>17</v>
      </c>
      <c r="B342" s="1" t="s">
        <v>123</v>
      </c>
      <c r="C342" s="2" t="s">
        <v>37</v>
      </c>
      <c r="D342" s="2" t="s">
        <v>138</v>
      </c>
      <c r="E342" s="3" t="str">
        <f t="shared" si="57"/>
        <v>https://oknesset.org/committee/meeting/14415/</v>
      </c>
    </row>
    <row r="343" ht="14.25" customHeight="1">
      <c r="A343" s="2" t="s">
        <v>28</v>
      </c>
      <c r="B343" s="1" t="s">
        <v>123</v>
      </c>
      <c r="C343" s="2" t="s">
        <v>70</v>
      </c>
      <c r="D343" s="2" t="s">
        <v>139</v>
      </c>
      <c r="E343" s="3" t="str">
        <f t="shared" ref="E343:E344" si="58">HYPERLINK("https://oknesset.org/committee/meeting/14098/","https://oknesset.org/committee/meeting/14098/")</f>
        <v>https://oknesset.org/committee/meeting/14098/</v>
      </c>
    </row>
    <row r="344" ht="14.25" customHeight="1">
      <c r="A344" s="2" t="s">
        <v>104</v>
      </c>
      <c r="B344" s="1" t="s">
        <v>123</v>
      </c>
      <c r="C344" s="2" t="s">
        <v>70</v>
      </c>
      <c r="D344" s="2" t="s">
        <v>139</v>
      </c>
      <c r="E344" s="3" t="str">
        <f t="shared" si="58"/>
        <v>https://oknesset.org/committee/meeting/14098/</v>
      </c>
    </row>
    <row r="345" ht="14.25" customHeight="1">
      <c r="A345" s="2" t="s">
        <v>41</v>
      </c>
      <c r="B345" s="1" t="s">
        <v>123</v>
      </c>
      <c r="C345" s="2" t="s">
        <v>42</v>
      </c>
      <c r="D345" s="2" t="s">
        <v>140</v>
      </c>
      <c r="E345" s="3" t="str">
        <f t="shared" ref="E345:E347" si="59">HYPERLINK("https://oknesset.org/committee/meeting/14370/","https://oknesset.org/committee/meeting/14370/")</f>
        <v>https://oknesset.org/committee/meeting/14370/</v>
      </c>
    </row>
    <row r="346" ht="14.25" customHeight="1">
      <c r="A346" s="2" t="s">
        <v>115</v>
      </c>
      <c r="B346" s="1" t="s">
        <v>123</v>
      </c>
      <c r="C346" s="2" t="s">
        <v>42</v>
      </c>
      <c r="D346" s="2" t="s">
        <v>140</v>
      </c>
      <c r="E346" s="3" t="str">
        <f t="shared" si="59"/>
        <v>https://oknesset.org/committee/meeting/14370/</v>
      </c>
    </row>
    <row r="347" ht="14.25" customHeight="1">
      <c r="A347" s="2" t="s">
        <v>97</v>
      </c>
      <c r="B347" s="1" t="s">
        <v>123</v>
      </c>
      <c r="C347" s="2" t="s">
        <v>42</v>
      </c>
      <c r="D347" s="2" t="s">
        <v>140</v>
      </c>
      <c r="E347" s="3" t="str">
        <f t="shared" si="59"/>
        <v>https://oknesset.org/committee/meeting/14370/</v>
      </c>
    </row>
    <row r="348" ht="14.25" customHeight="1">
      <c r="A348" s="2" t="s">
        <v>34</v>
      </c>
      <c r="B348" s="1" t="s">
        <v>123</v>
      </c>
      <c r="C348" s="2" t="s">
        <v>42</v>
      </c>
      <c r="D348" s="2" t="s">
        <v>141</v>
      </c>
      <c r="E348" s="3" t="str">
        <f t="shared" ref="E348:E349" si="60">HYPERLINK("https://oknesset.org/committee/meeting/14369/","https://oknesset.org/committee/meeting/14369/")</f>
        <v>https://oknesset.org/committee/meeting/14369/</v>
      </c>
    </row>
    <row r="349" ht="14.25" customHeight="1">
      <c r="A349" s="2" t="s">
        <v>41</v>
      </c>
      <c r="B349" s="1" t="s">
        <v>123</v>
      </c>
      <c r="C349" s="2" t="s">
        <v>42</v>
      </c>
      <c r="D349" s="2" t="s">
        <v>141</v>
      </c>
      <c r="E349" s="3" t="str">
        <f t="shared" si="60"/>
        <v>https://oknesset.org/committee/meeting/14369/</v>
      </c>
    </row>
    <row r="350" ht="14.25" customHeight="1">
      <c r="A350" s="2" t="s">
        <v>41</v>
      </c>
      <c r="B350" s="1" t="s">
        <v>123</v>
      </c>
      <c r="C350" s="2" t="s">
        <v>42</v>
      </c>
      <c r="D350" s="2" t="s">
        <v>142</v>
      </c>
      <c r="E350" s="3" t="str">
        <f>HYPERLINK("https://oknesset.org/committee/meeting/14368/","https://oknesset.org/committee/meeting/14368/")</f>
        <v>https://oknesset.org/committee/meeting/14368/</v>
      </c>
    </row>
    <row r="351" ht="14.25" customHeight="1">
      <c r="A351" s="2" t="s">
        <v>94</v>
      </c>
      <c r="B351" s="1" t="s">
        <v>123</v>
      </c>
      <c r="C351" s="2" t="s">
        <v>70</v>
      </c>
      <c r="D351" s="2" t="s">
        <v>139</v>
      </c>
      <c r="E351" s="3" t="str">
        <f t="shared" ref="E351:E357" si="61">HYPERLINK("https://oknesset.org/committee/meeting/14098/","https://oknesset.org/committee/meeting/14098/")</f>
        <v>https://oknesset.org/committee/meeting/14098/</v>
      </c>
    </row>
    <row r="352" ht="14.25" customHeight="1">
      <c r="A352" s="2" t="s">
        <v>40</v>
      </c>
      <c r="B352" s="1" t="s">
        <v>123</v>
      </c>
      <c r="C352" s="2" t="s">
        <v>70</v>
      </c>
      <c r="D352" s="2" t="s">
        <v>139</v>
      </c>
      <c r="E352" s="3" t="str">
        <f t="shared" si="61"/>
        <v>https://oknesset.org/committee/meeting/14098/</v>
      </c>
    </row>
    <row r="353" ht="14.25" customHeight="1">
      <c r="A353" s="2" t="s">
        <v>106</v>
      </c>
      <c r="B353" s="1" t="s">
        <v>123</v>
      </c>
      <c r="C353" s="2" t="s">
        <v>70</v>
      </c>
      <c r="D353" s="2" t="s">
        <v>139</v>
      </c>
      <c r="E353" s="3" t="str">
        <f t="shared" si="61"/>
        <v>https://oknesset.org/committee/meeting/14098/</v>
      </c>
    </row>
    <row r="354" ht="14.25" customHeight="1">
      <c r="A354" s="2" t="s">
        <v>107</v>
      </c>
      <c r="B354" s="1" t="s">
        <v>123</v>
      </c>
      <c r="C354" s="2" t="s">
        <v>70</v>
      </c>
      <c r="D354" s="2" t="s">
        <v>139</v>
      </c>
      <c r="E354" s="3" t="str">
        <f t="shared" si="61"/>
        <v>https://oknesset.org/committee/meeting/14098/</v>
      </c>
    </row>
    <row r="355" ht="14.25" customHeight="1">
      <c r="A355" s="2" t="s">
        <v>101</v>
      </c>
      <c r="B355" s="1" t="s">
        <v>123</v>
      </c>
      <c r="C355" s="2" t="s">
        <v>70</v>
      </c>
      <c r="D355" s="2" t="s">
        <v>139</v>
      </c>
      <c r="E355" s="3" t="str">
        <f t="shared" si="61"/>
        <v>https://oknesset.org/committee/meeting/14098/</v>
      </c>
    </row>
    <row r="356" ht="14.25" customHeight="1">
      <c r="A356" s="2" t="s">
        <v>85</v>
      </c>
      <c r="B356" s="1" t="s">
        <v>123</v>
      </c>
      <c r="C356" s="2" t="s">
        <v>70</v>
      </c>
      <c r="D356" s="2" t="s">
        <v>139</v>
      </c>
      <c r="E356" s="3" t="str">
        <f t="shared" si="61"/>
        <v>https://oknesset.org/committee/meeting/14098/</v>
      </c>
    </row>
    <row r="357" ht="14.25" customHeight="1">
      <c r="A357" s="2" t="s">
        <v>75</v>
      </c>
      <c r="B357" s="1" t="s">
        <v>123</v>
      </c>
      <c r="C357" s="2" t="s">
        <v>70</v>
      </c>
      <c r="D357" s="2" t="s">
        <v>139</v>
      </c>
      <c r="E357" s="3" t="str">
        <f t="shared" si="61"/>
        <v>https://oknesset.org/committee/meeting/14098/</v>
      </c>
    </row>
    <row r="358" ht="14.25" customHeight="1">
      <c r="A358" s="2" t="s">
        <v>59</v>
      </c>
      <c r="B358" s="1" t="s">
        <v>123</v>
      </c>
      <c r="C358" s="2" t="s">
        <v>65</v>
      </c>
      <c r="D358" s="2" t="s">
        <v>143</v>
      </c>
      <c r="E358" s="3" t="str">
        <f t="shared" ref="E358:E361" si="62">HYPERLINK("https://oknesset.org/committee/meeting/14174/","https://oknesset.org/committee/meeting/14174/")</f>
        <v>https://oknesset.org/committee/meeting/14174/</v>
      </c>
    </row>
    <row r="359" ht="14.25" customHeight="1">
      <c r="A359" s="2" t="s">
        <v>82</v>
      </c>
      <c r="B359" s="1" t="s">
        <v>123</v>
      </c>
      <c r="C359" s="2" t="s">
        <v>65</v>
      </c>
      <c r="D359" s="2" t="s">
        <v>143</v>
      </c>
      <c r="E359" s="3" t="str">
        <f t="shared" si="62"/>
        <v>https://oknesset.org/committee/meeting/14174/</v>
      </c>
    </row>
    <row r="360" ht="14.25" customHeight="1">
      <c r="A360" s="2" t="s">
        <v>58</v>
      </c>
      <c r="B360" s="1" t="s">
        <v>123</v>
      </c>
      <c r="C360" s="2" t="s">
        <v>65</v>
      </c>
      <c r="D360" s="2" t="s">
        <v>143</v>
      </c>
      <c r="E360" s="3" t="str">
        <f t="shared" si="62"/>
        <v>https://oknesset.org/committee/meeting/14174/</v>
      </c>
    </row>
    <row r="361" ht="14.25" customHeight="1">
      <c r="A361" s="2" t="s">
        <v>10</v>
      </c>
      <c r="B361" s="1" t="s">
        <v>123</v>
      </c>
      <c r="C361" s="2" t="s">
        <v>65</v>
      </c>
      <c r="D361" s="2" t="s">
        <v>143</v>
      </c>
      <c r="E361" s="3" t="str">
        <f t="shared" si="62"/>
        <v>https://oknesset.org/committee/meeting/14174/</v>
      </c>
    </row>
    <row r="362" ht="14.25" customHeight="1">
      <c r="A362" s="2" t="s">
        <v>76</v>
      </c>
      <c r="B362" s="1" t="s">
        <v>123</v>
      </c>
      <c r="C362" s="2" t="s">
        <v>70</v>
      </c>
      <c r="D362" s="2" t="s">
        <v>139</v>
      </c>
      <c r="E362" s="3" t="str">
        <f t="shared" ref="E362:E366" si="63">HYPERLINK("https://oknesset.org/committee/meeting/14098/","https://oknesset.org/committee/meeting/14098/")</f>
        <v>https://oknesset.org/committee/meeting/14098/</v>
      </c>
    </row>
    <row r="363" ht="14.25" customHeight="1">
      <c r="A363" s="2" t="s">
        <v>61</v>
      </c>
      <c r="B363" s="1" t="s">
        <v>123</v>
      </c>
      <c r="C363" s="2" t="s">
        <v>70</v>
      </c>
      <c r="D363" s="2" t="s">
        <v>139</v>
      </c>
      <c r="E363" s="3" t="str">
        <f t="shared" si="63"/>
        <v>https://oknesset.org/committee/meeting/14098/</v>
      </c>
    </row>
    <row r="364" ht="14.25" customHeight="1">
      <c r="A364" s="2" t="s">
        <v>5</v>
      </c>
      <c r="B364" s="1" t="s">
        <v>123</v>
      </c>
      <c r="C364" s="2" t="s">
        <v>70</v>
      </c>
      <c r="D364" s="2" t="s">
        <v>139</v>
      </c>
      <c r="E364" s="3" t="str">
        <f t="shared" si="63"/>
        <v>https://oknesset.org/committee/meeting/14098/</v>
      </c>
    </row>
    <row r="365" ht="14.25" customHeight="1">
      <c r="A365" s="2" t="s">
        <v>79</v>
      </c>
      <c r="B365" s="1" t="s">
        <v>123</v>
      </c>
      <c r="C365" s="2" t="s">
        <v>70</v>
      </c>
      <c r="D365" s="2" t="s">
        <v>139</v>
      </c>
      <c r="E365" s="3" t="str">
        <f t="shared" si="63"/>
        <v>https://oknesset.org/committee/meeting/14098/</v>
      </c>
    </row>
    <row r="366" ht="14.25" customHeight="1">
      <c r="A366" s="2" t="s">
        <v>126</v>
      </c>
      <c r="B366" s="1" t="s">
        <v>123</v>
      </c>
      <c r="C366" s="2" t="s">
        <v>70</v>
      </c>
      <c r="D366" s="2" t="s">
        <v>139</v>
      </c>
      <c r="E366" s="3" t="str">
        <f t="shared" si="63"/>
        <v>https://oknesset.org/committee/meeting/14098/</v>
      </c>
    </row>
    <row r="367" ht="14.25" customHeight="1">
      <c r="A367" s="2" t="s">
        <v>118</v>
      </c>
      <c r="B367" s="1" t="s">
        <v>123</v>
      </c>
      <c r="C367" s="2" t="s">
        <v>144</v>
      </c>
      <c r="D367" s="2" t="s">
        <v>145</v>
      </c>
      <c r="E367" s="3" t="str">
        <f>HYPERLINK("https://oknesset.org/committee/meeting/14316/","https://oknesset.org/committee/meeting/14316/")</f>
        <v>https://oknesset.org/committee/meeting/14316/</v>
      </c>
    </row>
    <row r="368" ht="14.25" customHeight="1">
      <c r="A368" s="2" t="s">
        <v>32</v>
      </c>
      <c r="B368" s="1" t="s">
        <v>123</v>
      </c>
      <c r="C368" s="2" t="s">
        <v>48</v>
      </c>
      <c r="D368" s="2" t="s">
        <v>146</v>
      </c>
      <c r="E368" s="3" t="str">
        <f t="shared" ref="E368:E377" si="64">HYPERLINK("https://oknesset.org/committee/meeting/14196/","https://oknesset.org/committee/meeting/14196/")</f>
        <v>https://oknesset.org/committee/meeting/14196/</v>
      </c>
    </row>
    <row r="369" ht="14.25" customHeight="1">
      <c r="A369" s="2" t="s">
        <v>11</v>
      </c>
      <c r="B369" s="1" t="s">
        <v>123</v>
      </c>
      <c r="C369" s="2" t="s">
        <v>48</v>
      </c>
      <c r="D369" s="2" t="s">
        <v>146</v>
      </c>
      <c r="E369" s="3" t="str">
        <f t="shared" si="64"/>
        <v>https://oknesset.org/committee/meeting/14196/</v>
      </c>
    </row>
    <row r="370" ht="14.25" customHeight="1">
      <c r="A370" s="2" t="s">
        <v>57</v>
      </c>
      <c r="B370" s="1" t="s">
        <v>123</v>
      </c>
      <c r="C370" s="2" t="s">
        <v>48</v>
      </c>
      <c r="D370" s="2" t="s">
        <v>146</v>
      </c>
      <c r="E370" s="3" t="str">
        <f t="shared" si="64"/>
        <v>https://oknesset.org/committee/meeting/14196/</v>
      </c>
    </row>
    <row r="371" ht="14.25" customHeight="1">
      <c r="A371" s="2" t="s">
        <v>73</v>
      </c>
      <c r="B371" s="1" t="s">
        <v>123</v>
      </c>
      <c r="C371" s="2" t="s">
        <v>48</v>
      </c>
      <c r="D371" s="2" t="s">
        <v>146</v>
      </c>
      <c r="E371" s="3" t="str">
        <f t="shared" si="64"/>
        <v>https://oknesset.org/committee/meeting/14196/</v>
      </c>
    </row>
    <row r="372" ht="14.25" customHeight="1">
      <c r="A372" s="2" t="s">
        <v>95</v>
      </c>
      <c r="B372" s="1" t="s">
        <v>123</v>
      </c>
      <c r="C372" s="2" t="s">
        <v>48</v>
      </c>
      <c r="D372" s="2" t="s">
        <v>146</v>
      </c>
      <c r="E372" s="3" t="str">
        <f t="shared" si="64"/>
        <v>https://oknesset.org/committee/meeting/14196/</v>
      </c>
    </row>
    <row r="373" ht="14.25" customHeight="1">
      <c r="A373" s="2" t="s">
        <v>62</v>
      </c>
      <c r="B373" s="1" t="s">
        <v>123</v>
      </c>
      <c r="C373" s="2" t="s">
        <v>48</v>
      </c>
      <c r="D373" s="2" t="s">
        <v>146</v>
      </c>
      <c r="E373" s="3" t="str">
        <f t="shared" si="64"/>
        <v>https://oknesset.org/committee/meeting/14196/</v>
      </c>
    </row>
    <row r="374" ht="14.25" customHeight="1">
      <c r="A374" s="2" t="s">
        <v>107</v>
      </c>
      <c r="B374" s="1" t="s">
        <v>123</v>
      </c>
      <c r="C374" s="2" t="s">
        <v>48</v>
      </c>
      <c r="D374" s="2" t="s">
        <v>146</v>
      </c>
      <c r="E374" s="3" t="str">
        <f t="shared" si="64"/>
        <v>https://oknesset.org/committee/meeting/14196/</v>
      </c>
    </row>
    <row r="375" ht="14.25" customHeight="1">
      <c r="A375" s="2" t="s">
        <v>109</v>
      </c>
      <c r="B375" s="1" t="s">
        <v>123</v>
      </c>
      <c r="C375" s="2" t="s">
        <v>48</v>
      </c>
      <c r="D375" s="2" t="s">
        <v>146</v>
      </c>
      <c r="E375" s="3" t="str">
        <f t="shared" si="64"/>
        <v>https://oknesset.org/committee/meeting/14196/</v>
      </c>
    </row>
    <row r="376" ht="14.25" customHeight="1">
      <c r="A376" s="2" t="s">
        <v>117</v>
      </c>
      <c r="B376" s="1" t="s">
        <v>123</v>
      </c>
      <c r="C376" s="2" t="s">
        <v>48</v>
      </c>
      <c r="D376" s="2" t="s">
        <v>146</v>
      </c>
      <c r="E376" s="3" t="str">
        <f t="shared" si="64"/>
        <v>https://oknesset.org/committee/meeting/14196/</v>
      </c>
    </row>
    <row r="377" ht="14.25" customHeight="1">
      <c r="A377" s="2" t="s">
        <v>118</v>
      </c>
      <c r="B377" s="1" t="s">
        <v>123</v>
      </c>
      <c r="C377" s="2" t="s">
        <v>48</v>
      </c>
      <c r="D377" s="2" t="s">
        <v>146</v>
      </c>
      <c r="E377" s="3" t="str">
        <f t="shared" si="64"/>
        <v>https://oknesset.org/committee/meeting/14196/</v>
      </c>
    </row>
    <row r="378" ht="14.25" customHeight="1">
      <c r="A378" s="2" t="s">
        <v>121</v>
      </c>
      <c r="B378" s="1" t="s">
        <v>123</v>
      </c>
      <c r="C378" s="2" t="s">
        <v>48</v>
      </c>
      <c r="D378" s="2" t="s">
        <v>124</v>
      </c>
      <c r="E378" s="3" t="str">
        <f>HYPERLINK("https://oknesset.org/committee/meeting/14197/","https://oknesset.org/committee/meeting/14197/")</f>
        <v>https://oknesset.org/committee/meeting/14197/</v>
      </c>
    </row>
    <row r="379" ht="14.25" customHeight="1">
      <c r="A379" s="2" t="s">
        <v>15</v>
      </c>
      <c r="B379" s="1" t="s">
        <v>147</v>
      </c>
      <c r="C379" s="2" t="s">
        <v>45</v>
      </c>
      <c r="D379" s="2" t="s">
        <v>148</v>
      </c>
      <c r="E379" s="3" t="str">
        <f t="shared" ref="E379:E383" si="65">HYPERLINK("https://oknesset.org/committee/meeting/14146/","https://oknesset.org/committee/meeting/14146/")</f>
        <v>https://oknesset.org/committee/meeting/14146/</v>
      </c>
    </row>
    <row r="380" ht="14.25" customHeight="1">
      <c r="A380" s="2" t="s">
        <v>14</v>
      </c>
      <c r="B380" s="1" t="s">
        <v>147</v>
      </c>
      <c r="C380" s="2" t="s">
        <v>45</v>
      </c>
      <c r="D380" s="2" t="s">
        <v>148</v>
      </c>
      <c r="E380" s="3" t="str">
        <f t="shared" si="65"/>
        <v>https://oknesset.org/committee/meeting/14146/</v>
      </c>
    </row>
    <row r="381" ht="14.25" customHeight="1">
      <c r="A381" s="2" t="s">
        <v>149</v>
      </c>
      <c r="B381" s="1" t="s">
        <v>147</v>
      </c>
      <c r="C381" s="2" t="s">
        <v>45</v>
      </c>
      <c r="D381" s="2" t="s">
        <v>148</v>
      </c>
      <c r="E381" s="3" t="str">
        <f t="shared" si="65"/>
        <v>https://oknesset.org/committee/meeting/14146/</v>
      </c>
    </row>
    <row r="382" ht="14.25" customHeight="1">
      <c r="A382" s="2" t="s">
        <v>9</v>
      </c>
      <c r="B382" s="1" t="s">
        <v>147</v>
      </c>
      <c r="C382" s="2" t="s">
        <v>45</v>
      </c>
      <c r="D382" s="2" t="s">
        <v>148</v>
      </c>
      <c r="E382" s="3" t="str">
        <f t="shared" si="65"/>
        <v>https://oknesset.org/committee/meeting/14146/</v>
      </c>
    </row>
    <row r="383" ht="14.25" customHeight="1">
      <c r="A383" s="2" t="s">
        <v>5</v>
      </c>
      <c r="B383" s="1" t="s">
        <v>147</v>
      </c>
      <c r="C383" s="2" t="s">
        <v>45</v>
      </c>
      <c r="D383" s="2" t="s">
        <v>148</v>
      </c>
      <c r="E383" s="3" t="str">
        <f t="shared" si="65"/>
        <v>https://oknesset.org/committee/meeting/14146/</v>
      </c>
    </row>
    <row r="384" ht="14.25" customHeight="1">
      <c r="A384" s="2" t="s">
        <v>66</v>
      </c>
      <c r="B384" s="1" t="s">
        <v>147</v>
      </c>
      <c r="C384" s="2" t="s">
        <v>45</v>
      </c>
      <c r="D384" s="2" t="s">
        <v>150</v>
      </c>
      <c r="E384" s="3" t="str">
        <f t="shared" ref="E384:E393" si="66">HYPERLINK("https://oknesset.org/committee/meeting/14147/","https://oknesset.org/committee/meeting/14147/")</f>
        <v>https://oknesset.org/committee/meeting/14147/</v>
      </c>
    </row>
    <row r="385" ht="14.25" customHeight="1">
      <c r="A385" s="2" t="s">
        <v>118</v>
      </c>
      <c r="B385" s="1" t="s">
        <v>147</v>
      </c>
      <c r="C385" s="2" t="s">
        <v>45</v>
      </c>
      <c r="D385" s="2" t="s">
        <v>150</v>
      </c>
      <c r="E385" s="3" t="str">
        <f t="shared" si="66"/>
        <v>https://oknesset.org/committee/meeting/14147/</v>
      </c>
    </row>
    <row r="386" ht="14.25" customHeight="1">
      <c r="A386" s="2" t="s">
        <v>20</v>
      </c>
      <c r="B386" s="1" t="s">
        <v>147</v>
      </c>
      <c r="C386" s="2" t="s">
        <v>45</v>
      </c>
      <c r="D386" s="2" t="s">
        <v>150</v>
      </c>
      <c r="E386" s="3" t="str">
        <f t="shared" si="66"/>
        <v>https://oknesset.org/committee/meeting/14147/</v>
      </c>
    </row>
    <row r="387" ht="14.25" customHeight="1">
      <c r="A387" s="2" t="s">
        <v>151</v>
      </c>
      <c r="B387" s="1" t="s">
        <v>147</v>
      </c>
      <c r="C387" s="2" t="s">
        <v>45</v>
      </c>
      <c r="D387" s="2" t="s">
        <v>150</v>
      </c>
      <c r="E387" s="3" t="str">
        <f t="shared" si="66"/>
        <v>https://oknesset.org/committee/meeting/14147/</v>
      </c>
    </row>
    <row r="388" ht="14.25" customHeight="1">
      <c r="A388" s="2" t="s">
        <v>15</v>
      </c>
      <c r="B388" s="1" t="s">
        <v>147</v>
      </c>
      <c r="C388" s="2" t="s">
        <v>45</v>
      </c>
      <c r="D388" s="2" t="s">
        <v>150</v>
      </c>
      <c r="E388" s="3" t="str">
        <f t="shared" si="66"/>
        <v>https://oknesset.org/committee/meeting/14147/</v>
      </c>
    </row>
    <row r="389" ht="14.25" customHeight="1">
      <c r="A389" s="2" t="s">
        <v>62</v>
      </c>
      <c r="B389" s="1" t="s">
        <v>147</v>
      </c>
      <c r="C389" s="2" t="s">
        <v>45</v>
      </c>
      <c r="D389" s="2" t="s">
        <v>150</v>
      </c>
      <c r="E389" s="3" t="str">
        <f t="shared" si="66"/>
        <v>https://oknesset.org/committee/meeting/14147/</v>
      </c>
    </row>
    <row r="390" ht="14.25" customHeight="1">
      <c r="A390" s="2" t="s">
        <v>14</v>
      </c>
      <c r="B390" s="1" t="s">
        <v>147</v>
      </c>
      <c r="C390" s="2" t="s">
        <v>45</v>
      </c>
      <c r="D390" s="2" t="s">
        <v>150</v>
      </c>
      <c r="E390" s="3" t="str">
        <f t="shared" si="66"/>
        <v>https://oknesset.org/committee/meeting/14147/</v>
      </c>
    </row>
    <row r="391" ht="14.25" customHeight="1">
      <c r="A391" s="2" t="s">
        <v>54</v>
      </c>
      <c r="B391" s="1" t="s">
        <v>147</v>
      </c>
      <c r="C391" s="2" t="s">
        <v>45</v>
      </c>
      <c r="D391" s="2" t="s">
        <v>150</v>
      </c>
      <c r="E391" s="3" t="str">
        <f t="shared" si="66"/>
        <v>https://oknesset.org/committee/meeting/14147/</v>
      </c>
    </row>
    <row r="392" ht="14.25" customHeight="1">
      <c r="A392" s="2" t="s">
        <v>9</v>
      </c>
      <c r="B392" s="1" t="s">
        <v>147</v>
      </c>
      <c r="C392" s="2" t="s">
        <v>45</v>
      </c>
      <c r="D392" s="2" t="s">
        <v>150</v>
      </c>
      <c r="E392" s="3" t="str">
        <f t="shared" si="66"/>
        <v>https://oknesset.org/committee/meeting/14147/</v>
      </c>
    </row>
    <row r="393" ht="14.25" customHeight="1">
      <c r="A393" s="2" t="s">
        <v>5</v>
      </c>
      <c r="B393" s="1" t="s">
        <v>147</v>
      </c>
      <c r="C393" s="2" t="s">
        <v>45</v>
      </c>
      <c r="D393" s="2" t="s">
        <v>150</v>
      </c>
      <c r="E393" s="3" t="str">
        <f t="shared" si="66"/>
        <v>https://oknesset.org/committee/meeting/14147/</v>
      </c>
    </row>
    <row r="394" ht="14.25" customHeight="1">
      <c r="A394" s="2" t="s">
        <v>66</v>
      </c>
      <c r="B394" s="1" t="s">
        <v>147</v>
      </c>
      <c r="C394" s="2" t="s">
        <v>45</v>
      </c>
      <c r="D394" s="2" t="s">
        <v>152</v>
      </c>
      <c r="E394" s="3" t="str">
        <f t="shared" ref="E394:E395" si="67">HYPERLINK("https://oknesset.org/committee/meeting/14148/","https://oknesset.org/committee/meeting/14148/")</f>
        <v>https://oknesset.org/committee/meeting/14148/</v>
      </c>
    </row>
    <row r="395" ht="14.25" customHeight="1">
      <c r="A395" s="2" t="s">
        <v>9</v>
      </c>
      <c r="B395" s="1" t="s">
        <v>147</v>
      </c>
      <c r="C395" s="2" t="s">
        <v>45</v>
      </c>
      <c r="D395" s="2" t="s">
        <v>152</v>
      </c>
      <c r="E395" s="3" t="str">
        <f t="shared" si="67"/>
        <v>https://oknesset.org/committee/meeting/14148/</v>
      </c>
    </row>
    <row r="396" ht="14.25" customHeight="1">
      <c r="A396" s="2" t="s">
        <v>153</v>
      </c>
      <c r="B396" s="1" t="s">
        <v>147</v>
      </c>
      <c r="C396" s="2" t="s">
        <v>154</v>
      </c>
      <c r="D396" s="2" t="s">
        <v>155</v>
      </c>
      <c r="E396" s="3" t="str">
        <f t="shared" ref="E396:E399" si="68">HYPERLINK("https://oknesset.org/committee/meeting/14311/","https://oknesset.org/committee/meeting/14311/")</f>
        <v>https://oknesset.org/committee/meeting/14311/</v>
      </c>
    </row>
    <row r="397" ht="14.25" customHeight="1">
      <c r="A397" s="2" t="s">
        <v>36</v>
      </c>
      <c r="B397" s="1" t="s">
        <v>147</v>
      </c>
      <c r="C397" s="2" t="s">
        <v>154</v>
      </c>
      <c r="D397" s="2" t="s">
        <v>155</v>
      </c>
      <c r="E397" s="3" t="str">
        <f t="shared" si="68"/>
        <v>https://oknesset.org/committee/meeting/14311/</v>
      </c>
    </row>
    <row r="398" ht="14.25" customHeight="1">
      <c r="A398" s="2" t="s">
        <v>54</v>
      </c>
      <c r="B398" s="1" t="s">
        <v>147</v>
      </c>
      <c r="C398" s="2" t="s">
        <v>154</v>
      </c>
      <c r="D398" s="2" t="s">
        <v>155</v>
      </c>
      <c r="E398" s="3" t="str">
        <f t="shared" si="68"/>
        <v>https://oknesset.org/committee/meeting/14311/</v>
      </c>
    </row>
    <row r="399" ht="14.25" customHeight="1">
      <c r="A399" s="2" t="s">
        <v>156</v>
      </c>
      <c r="B399" s="1" t="s">
        <v>147</v>
      </c>
      <c r="C399" s="2" t="s">
        <v>154</v>
      </c>
      <c r="D399" s="2" t="s">
        <v>155</v>
      </c>
      <c r="E399" s="3" t="str">
        <f t="shared" si="68"/>
        <v>https://oknesset.org/committee/meeting/14311/</v>
      </c>
    </row>
    <row r="400" ht="14.25" customHeight="1">
      <c r="A400" s="2" t="s">
        <v>107</v>
      </c>
      <c r="B400" s="1" t="s">
        <v>147</v>
      </c>
      <c r="C400" s="2" t="s">
        <v>157</v>
      </c>
      <c r="D400" s="2" t="s">
        <v>158</v>
      </c>
      <c r="E400" s="3" t="str">
        <f t="shared" ref="E400:E401" si="69">HYPERLINK("https://oknesset.org/committee/meeting/14324/","https://oknesset.org/committee/meeting/14324/")</f>
        <v>https://oknesset.org/committee/meeting/14324/</v>
      </c>
    </row>
    <row r="401" ht="14.25" customHeight="1">
      <c r="A401" s="2" t="s">
        <v>34</v>
      </c>
      <c r="B401" s="1" t="s">
        <v>147</v>
      </c>
      <c r="C401" s="2" t="s">
        <v>157</v>
      </c>
      <c r="D401" s="2" t="s">
        <v>158</v>
      </c>
      <c r="E401" s="3" t="str">
        <f t="shared" si="69"/>
        <v>https://oknesset.org/committee/meeting/14324/</v>
      </c>
    </row>
    <row r="402" ht="14.25" customHeight="1">
      <c r="A402" s="2" t="s">
        <v>127</v>
      </c>
      <c r="B402" s="1" t="s">
        <v>147</v>
      </c>
      <c r="C402" s="2" t="s">
        <v>159</v>
      </c>
      <c r="D402" s="2" t="s">
        <v>160</v>
      </c>
      <c r="E402" s="3" t="str">
        <f>HYPERLINK("https://oknesset.org/committee/meeting/14335/","https://oknesset.org/committee/meeting/14335/")</f>
        <v>https://oknesset.org/committee/meeting/14335/</v>
      </c>
    </row>
    <row r="403" ht="14.25" customHeight="1">
      <c r="A403" s="2" t="s">
        <v>50</v>
      </c>
      <c r="B403" s="1" t="s">
        <v>147</v>
      </c>
      <c r="C403" s="2" t="s">
        <v>52</v>
      </c>
      <c r="D403" s="2" t="s">
        <v>161</v>
      </c>
      <c r="E403" s="3" t="str">
        <f t="shared" ref="E403:E408" si="70">HYPERLINK("https://oknesset.org/committee/meeting/14255/","https://oknesset.org/committee/meeting/14255/")</f>
        <v>https://oknesset.org/committee/meeting/14255/</v>
      </c>
    </row>
    <row r="404" ht="14.25" customHeight="1">
      <c r="A404" s="2" t="s">
        <v>58</v>
      </c>
      <c r="B404" s="1" t="s">
        <v>147</v>
      </c>
      <c r="C404" s="2" t="s">
        <v>52</v>
      </c>
      <c r="D404" s="2" t="s">
        <v>161</v>
      </c>
      <c r="E404" s="3" t="str">
        <f t="shared" si="70"/>
        <v>https://oknesset.org/committee/meeting/14255/</v>
      </c>
    </row>
    <row r="405" ht="14.25" customHeight="1">
      <c r="A405" s="2" t="s">
        <v>57</v>
      </c>
      <c r="B405" s="1" t="s">
        <v>147</v>
      </c>
      <c r="C405" s="2" t="s">
        <v>52</v>
      </c>
      <c r="D405" s="2" t="s">
        <v>161</v>
      </c>
      <c r="E405" s="3" t="str">
        <f t="shared" si="70"/>
        <v>https://oknesset.org/committee/meeting/14255/</v>
      </c>
    </row>
    <row r="406" ht="14.25" customHeight="1">
      <c r="A406" s="2" t="s">
        <v>76</v>
      </c>
      <c r="B406" s="1" t="s">
        <v>147</v>
      </c>
      <c r="C406" s="2" t="s">
        <v>52</v>
      </c>
      <c r="D406" s="2" t="s">
        <v>161</v>
      </c>
      <c r="E406" s="3" t="str">
        <f t="shared" si="70"/>
        <v>https://oknesset.org/committee/meeting/14255/</v>
      </c>
    </row>
    <row r="407" ht="14.25" customHeight="1">
      <c r="A407" s="2" t="s">
        <v>34</v>
      </c>
      <c r="B407" s="1" t="s">
        <v>147</v>
      </c>
      <c r="C407" s="2" t="s">
        <v>52</v>
      </c>
      <c r="D407" s="2" t="s">
        <v>161</v>
      </c>
      <c r="E407" s="3" t="str">
        <f t="shared" si="70"/>
        <v>https://oknesset.org/committee/meeting/14255/</v>
      </c>
    </row>
    <row r="408" ht="14.25" customHeight="1">
      <c r="A408" s="2" t="s">
        <v>126</v>
      </c>
      <c r="B408" s="1" t="s">
        <v>147</v>
      </c>
      <c r="C408" s="2" t="s">
        <v>52</v>
      </c>
      <c r="D408" s="2" t="s">
        <v>161</v>
      </c>
      <c r="E408" s="3" t="str">
        <f t="shared" si="70"/>
        <v>https://oknesset.org/committee/meeting/14255/</v>
      </c>
    </row>
    <row r="409" ht="14.25" customHeight="1">
      <c r="A409" s="2" t="s">
        <v>97</v>
      </c>
      <c r="B409" s="1" t="s">
        <v>147</v>
      </c>
      <c r="C409" s="2" t="s">
        <v>52</v>
      </c>
      <c r="D409" s="2" t="s">
        <v>162</v>
      </c>
      <c r="E409" s="3" t="str">
        <f t="shared" ref="E409:E410" si="71">HYPERLINK("https://oknesset.org/committee/meeting/14256/","https://oknesset.org/committee/meeting/14256/")</f>
        <v>https://oknesset.org/committee/meeting/14256/</v>
      </c>
    </row>
    <row r="410" ht="14.25" customHeight="1">
      <c r="A410" s="2" t="s">
        <v>34</v>
      </c>
      <c r="B410" s="1" t="s">
        <v>147</v>
      </c>
      <c r="C410" s="2" t="s">
        <v>52</v>
      </c>
      <c r="D410" s="2" t="s">
        <v>162</v>
      </c>
      <c r="E410" s="3" t="str">
        <f t="shared" si="71"/>
        <v>https://oknesset.org/committee/meeting/14256/</v>
      </c>
    </row>
    <row r="411" ht="14.25" customHeight="1">
      <c r="A411" s="2" t="s">
        <v>61</v>
      </c>
      <c r="B411" s="1" t="s">
        <v>147</v>
      </c>
      <c r="C411" s="2" t="s">
        <v>70</v>
      </c>
      <c r="D411" s="2" t="s">
        <v>163</v>
      </c>
      <c r="E411" s="3" t="str">
        <f t="shared" ref="E411:E418" si="72">HYPERLINK("https://oknesset.org/committee/meeting/14097/","https://oknesset.org/committee/meeting/14097/")</f>
        <v>https://oknesset.org/committee/meeting/14097/</v>
      </c>
    </row>
    <row r="412" ht="14.25" customHeight="1">
      <c r="A412" s="2" t="s">
        <v>86</v>
      </c>
      <c r="B412" s="1" t="s">
        <v>147</v>
      </c>
      <c r="C412" s="2" t="s">
        <v>70</v>
      </c>
      <c r="D412" s="2" t="s">
        <v>163</v>
      </c>
      <c r="E412" s="3" t="str">
        <f t="shared" si="72"/>
        <v>https://oknesset.org/committee/meeting/14097/</v>
      </c>
    </row>
    <row r="413" ht="14.25" customHeight="1">
      <c r="A413" s="2" t="s">
        <v>84</v>
      </c>
      <c r="B413" s="1" t="s">
        <v>147</v>
      </c>
      <c r="C413" s="2" t="s">
        <v>70</v>
      </c>
      <c r="D413" s="2" t="s">
        <v>163</v>
      </c>
      <c r="E413" s="3" t="str">
        <f t="shared" si="72"/>
        <v>https://oknesset.org/committee/meeting/14097/</v>
      </c>
    </row>
    <row r="414" ht="14.25" customHeight="1">
      <c r="A414" s="2" t="s">
        <v>101</v>
      </c>
      <c r="B414" s="1" t="s">
        <v>147</v>
      </c>
      <c r="C414" s="2" t="s">
        <v>70</v>
      </c>
      <c r="D414" s="2" t="s">
        <v>163</v>
      </c>
      <c r="E414" s="3" t="str">
        <f t="shared" si="72"/>
        <v>https://oknesset.org/committee/meeting/14097/</v>
      </c>
    </row>
    <row r="415" ht="14.25" customHeight="1">
      <c r="A415" s="2" t="s">
        <v>107</v>
      </c>
      <c r="B415" s="1" t="s">
        <v>147</v>
      </c>
      <c r="C415" s="2" t="s">
        <v>70</v>
      </c>
      <c r="D415" s="2" t="s">
        <v>163</v>
      </c>
      <c r="E415" s="3" t="str">
        <f t="shared" si="72"/>
        <v>https://oknesset.org/committee/meeting/14097/</v>
      </c>
    </row>
    <row r="416" ht="14.25" customHeight="1">
      <c r="A416" s="2" t="s">
        <v>88</v>
      </c>
      <c r="B416" s="1" t="s">
        <v>147</v>
      </c>
      <c r="C416" s="2" t="s">
        <v>70</v>
      </c>
      <c r="D416" s="2" t="s">
        <v>163</v>
      </c>
      <c r="E416" s="3" t="str">
        <f t="shared" si="72"/>
        <v>https://oknesset.org/committee/meeting/14097/</v>
      </c>
    </row>
    <row r="417" ht="14.25" customHeight="1">
      <c r="A417" s="2" t="s">
        <v>104</v>
      </c>
      <c r="B417" s="1" t="s">
        <v>147</v>
      </c>
      <c r="C417" s="2" t="s">
        <v>70</v>
      </c>
      <c r="D417" s="2" t="s">
        <v>163</v>
      </c>
      <c r="E417" s="3" t="str">
        <f t="shared" si="72"/>
        <v>https://oknesset.org/committee/meeting/14097/</v>
      </c>
    </row>
    <row r="418" ht="14.25" customHeight="1">
      <c r="A418" s="2" t="s">
        <v>103</v>
      </c>
      <c r="B418" s="1" t="s">
        <v>147</v>
      </c>
      <c r="C418" s="2" t="s">
        <v>70</v>
      </c>
      <c r="D418" s="2" t="s">
        <v>163</v>
      </c>
      <c r="E418" s="3" t="str">
        <f t="shared" si="72"/>
        <v>https://oknesset.org/committee/meeting/14097/</v>
      </c>
    </row>
    <row r="419" ht="14.25" customHeight="1">
      <c r="A419" s="2" t="s">
        <v>107</v>
      </c>
      <c r="B419" s="1" t="s">
        <v>147</v>
      </c>
      <c r="C419" s="2" t="s">
        <v>70</v>
      </c>
      <c r="D419" s="2" t="s">
        <v>164</v>
      </c>
      <c r="E419" s="3" t="str">
        <f t="shared" ref="E419:E420" si="73">HYPERLINK("https://oknesset.org/committee/meeting/14096/","https://oknesset.org/committee/meeting/14096/")</f>
        <v>https://oknesset.org/committee/meeting/14096/</v>
      </c>
    </row>
    <row r="420" ht="14.25" customHeight="1">
      <c r="A420" s="2" t="s">
        <v>104</v>
      </c>
      <c r="B420" s="1" t="s">
        <v>147</v>
      </c>
      <c r="C420" s="2" t="s">
        <v>70</v>
      </c>
      <c r="D420" s="2" t="s">
        <v>164</v>
      </c>
      <c r="E420" s="3" t="str">
        <f t="shared" si="73"/>
        <v>https://oknesset.org/committee/meeting/14096/</v>
      </c>
    </row>
    <row r="421" ht="14.25" customHeight="1">
      <c r="A421" s="2" t="s">
        <v>107</v>
      </c>
      <c r="B421" s="1" t="s">
        <v>147</v>
      </c>
      <c r="C421" s="2" t="s">
        <v>70</v>
      </c>
      <c r="D421" s="2" t="s">
        <v>165</v>
      </c>
      <c r="E421" s="3" t="str">
        <f>HYPERLINK("https://oknesset.org/committee/meeting/14095/","https://oknesset.org/committee/meeting/14095/")</f>
        <v>https://oknesset.org/committee/meeting/14095/</v>
      </c>
    </row>
    <row r="422" ht="14.25" customHeight="1">
      <c r="A422" s="2" t="s">
        <v>85</v>
      </c>
      <c r="B422" s="1" t="s">
        <v>147</v>
      </c>
      <c r="C422" s="2" t="s">
        <v>166</v>
      </c>
      <c r="D422" s="2" t="s">
        <v>167</v>
      </c>
      <c r="E422" s="3" t="str">
        <f t="shared" ref="E422:E428" si="74">HYPERLINK("https://oknesset.org/committee/meeting/14405/","https://oknesset.org/committee/meeting/14405/")</f>
        <v>https://oknesset.org/committee/meeting/14405/</v>
      </c>
    </row>
    <row r="423" ht="14.25" customHeight="1">
      <c r="A423" s="2" t="s">
        <v>168</v>
      </c>
      <c r="B423" s="1" t="s">
        <v>147</v>
      </c>
      <c r="C423" s="2" t="s">
        <v>166</v>
      </c>
      <c r="D423" s="2" t="s">
        <v>167</v>
      </c>
      <c r="E423" s="3" t="str">
        <f t="shared" si="74"/>
        <v>https://oknesset.org/committee/meeting/14405/</v>
      </c>
    </row>
    <row r="424" ht="14.25" customHeight="1">
      <c r="A424" s="2" t="s">
        <v>36</v>
      </c>
      <c r="B424" s="1" t="s">
        <v>147</v>
      </c>
      <c r="C424" s="2" t="s">
        <v>166</v>
      </c>
      <c r="D424" s="2" t="s">
        <v>167</v>
      </c>
      <c r="E424" s="3" t="str">
        <f t="shared" si="74"/>
        <v>https://oknesset.org/committee/meeting/14405/</v>
      </c>
    </row>
    <row r="425" ht="14.25" customHeight="1">
      <c r="A425" s="2" t="s">
        <v>86</v>
      </c>
      <c r="B425" s="1" t="s">
        <v>147</v>
      </c>
      <c r="C425" s="2" t="s">
        <v>166</v>
      </c>
      <c r="D425" s="2" t="s">
        <v>167</v>
      </c>
      <c r="E425" s="3" t="str">
        <f t="shared" si="74"/>
        <v>https://oknesset.org/committee/meeting/14405/</v>
      </c>
    </row>
    <row r="426" ht="14.25" customHeight="1">
      <c r="A426" s="2" t="s">
        <v>54</v>
      </c>
      <c r="B426" s="1" t="s">
        <v>147</v>
      </c>
      <c r="C426" s="2" t="s">
        <v>166</v>
      </c>
      <c r="D426" s="2" t="s">
        <v>167</v>
      </c>
      <c r="E426" s="3" t="str">
        <f t="shared" si="74"/>
        <v>https://oknesset.org/committee/meeting/14405/</v>
      </c>
    </row>
    <row r="427" ht="14.25" customHeight="1">
      <c r="A427" s="2" t="s">
        <v>76</v>
      </c>
      <c r="B427" s="1" t="s">
        <v>147</v>
      </c>
      <c r="C427" s="2" t="s">
        <v>166</v>
      </c>
      <c r="D427" s="2" t="s">
        <v>167</v>
      </c>
      <c r="E427" s="3" t="str">
        <f t="shared" si="74"/>
        <v>https://oknesset.org/committee/meeting/14405/</v>
      </c>
    </row>
    <row r="428" ht="14.25" customHeight="1">
      <c r="A428" s="2" t="s">
        <v>61</v>
      </c>
      <c r="B428" s="1" t="s">
        <v>147</v>
      </c>
      <c r="C428" s="2" t="s">
        <v>166</v>
      </c>
      <c r="D428" s="2" t="s">
        <v>167</v>
      </c>
      <c r="E428" s="3" t="str">
        <f t="shared" si="74"/>
        <v>https://oknesset.org/committee/meeting/14405/</v>
      </c>
    </row>
    <row r="429" ht="14.25" customHeight="1">
      <c r="A429" s="2" t="s">
        <v>104</v>
      </c>
      <c r="B429" s="1" t="s">
        <v>147</v>
      </c>
      <c r="C429" s="2" t="s">
        <v>70</v>
      </c>
      <c r="D429" s="2" t="s">
        <v>165</v>
      </c>
      <c r="E429" s="3" t="str">
        <f>HYPERLINK("https://oknesset.org/committee/meeting/14095/","https://oknesset.org/committee/meeting/14095/")</f>
        <v>https://oknesset.org/committee/meeting/14095/</v>
      </c>
    </row>
    <row r="430" ht="14.25" customHeight="1">
      <c r="A430" s="2" t="s">
        <v>126</v>
      </c>
      <c r="B430" s="1" t="s">
        <v>147</v>
      </c>
      <c r="C430" s="2" t="s">
        <v>52</v>
      </c>
      <c r="D430" s="2" t="s">
        <v>162</v>
      </c>
      <c r="E430" s="3" t="str">
        <f>HYPERLINK("https://oknesset.org/committee/meeting/14256/","https://oknesset.org/committee/meeting/14256/")</f>
        <v>https://oknesset.org/committee/meeting/14256/</v>
      </c>
    </row>
    <row r="431" ht="14.25" customHeight="1">
      <c r="A431" s="2" t="s">
        <v>58</v>
      </c>
      <c r="B431" s="1" t="s">
        <v>147</v>
      </c>
      <c r="C431" s="2" t="s">
        <v>52</v>
      </c>
      <c r="D431" s="2" t="s">
        <v>169</v>
      </c>
      <c r="E431" s="3" t="str">
        <f t="shared" ref="E431:E434" si="75">HYPERLINK("https://oknesset.org/committee/meeting/14257/","https://oknesset.org/committee/meeting/14257/")</f>
        <v>https://oknesset.org/committee/meeting/14257/</v>
      </c>
    </row>
    <row r="432" ht="14.25" customHeight="1">
      <c r="A432" s="2" t="s">
        <v>97</v>
      </c>
      <c r="B432" s="1" t="s">
        <v>147</v>
      </c>
      <c r="C432" s="2" t="s">
        <v>52</v>
      </c>
      <c r="D432" s="2" t="s">
        <v>169</v>
      </c>
      <c r="E432" s="3" t="str">
        <f t="shared" si="75"/>
        <v>https://oknesset.org/committee/meeting/14257/</v>
      </c>
    </row>
    <row r="433" ht="14.25" customHeight="1">
      <c r="A433" s="2" t="s">
        <v>34</v>
      </c>
      <c r="B433" s="1" t="s">
        <v>147</v>
      </c>
      <c r="C433" s="2" t="s">
        <v>52</v>
      </c>
      <c r="D433" s="2" t="s">
        <v>169</v>
      </c>
      <c r="E433" s="3" t="str">
        <f t="shared" si="75"/>
        <v>https://oknesset.org/committee/meeting/14257/</v>
      </c>
    </row>
    <row r="434" ht="14.25" customHeight="1">
      <c r="A434" s="2" t="s">
        <v>126</v>
      </c>
      <c r="B434" s="1" t="s">
        <v>147</v>
      </c>
      <c r="C434" s="2" t="s">
        <v>52</v>
      </c>
      <c r="D434" s="2" t="s">
        <v>169</v>
      </c>
      <c r="E434" s="3" t="str">
        <f t="shared" si="75"/>
        <v>https://oknesset.org/committee/meeting/14257/</v>
      </c>
    </row>
    <row r="435" ht="14.25" customHeight="1">
      <c r="A435" s="2" t="s">
        <v>170</v>
      </c>
      <c r="B435" s="1" t="s">
        <v>147</v>
      </c>
      <c r="C435" s="2" t="s">
        <v>25</v>
      </c>
      <c r="D435" s="2" t="s">
        <v>171</v>
      </c>
      <c r="E435" s="3" t="str">
        <f t="shared" ref="E435:E436" si="76">HYPERLINK("https://oknesset.org/committee/meeting/14285/","https://oknesset.org/committee/meeting/14285/")</f>
        <v>https://oknesset.org/committee/meeting/14285/</v>
      </c>
    </row>
    <row r="436" ht="14.25" customHeight="1">
      <c r="A436" s="2" t="s">
        <v>61</v>
      </c>
      <c r="B436" s="1" t="s">
        <v>147</v>
      </c>
      <c r="C436" s="2" t="s">
        <v>25</v>
      </c>
      <c r="D436" s="2" t="s">
        <v>171</v>
      </c>
      <c r="E436" s="3" t="str">
        <f t="shared" si="76"/>
        <v>https://oknesset.org/committee/meeting/14285/</v>
      </c>
    </row>
    <row r="437" ht="14.25" customHeight="1">
      <c r="A437" s="2" t="s">
        <v>107</v>
      </c>
      <c r="B437" s="1" t="s">
        <v>147</v>
      </c>
      <c r="C437" s="2" t="s">
        <v>45</v>
      </c>
      <c r="D437" s="2" t="s">
        <v>148</v>
      </c>
      <c r="E437" s="3" t="str">
        <f t="shared" ref="E437:E438" si="77">HYPERLINK("https://oknesset.org/committee/meeting/14146/","https://oknesset.org/committee/meeting/14146/")</f>
        <v>https://oknesset.org/committee/meeting/14146/</v>
      </c>
    </row>
    <row r="438" ht="14.25" customHeight="1">
      <c r="A438" s="2" t="s">
        <v>62</v>
      </c>
      <c r="B438" s="1" t="s">
        <v>147</v>
      </c>
      <c r="C438" s="2" t="s">
        <v>45</v>
      </c>
      <c r="D438" s="2" t="s">
        <v>148</v>
      </c>
      <c r="E438" s="3" t="str">
        <f t="shared" si="77"/>
        <v>https://oknesset.org/committee/meeting/14146/</v>
      </c>
    </row>
    <row r="439" ht="14.25" customHeight="1">
      <c r="A439" s="2" t="s">
        <v>153</v>
      </c>
      <c r="B439" s="1" t="s">
        <v>172</v>
      </c>
      <c r="C439" s="2" t="s">
        <v>42</v>
      </c>
      <c r="D439" s="2" t="s">
        <v>173</v>
      </c>
      <c r="E439" s="3" t="str">
        <f>HYPERLINK("https://oknesset.org/committee/meeting/14367/","https://oknesset.org/committee/meeting/14367/")</f>
        <v>https://oknesset.org/committee/meeting/14367/</v>
      </c>
    </row>
    <row r="440" ht="14.25" customHeight="1">
      <c r="A440" s="2" t="s">
        <v>134</v>
      </c>
      <c r="B440" s="1" t="s">
        <v>172</v>
      </c>
      <c r="C440" s="2" t="s">
        <v>70</v>
      </c>
      <c r="D440" s="2" t="s">
        <v>174</v>
      </c>
      <c r="E440" s="3" t="str">
        <f t="shared" ref="E440:E442" si="78">HYPERLINK("https://oknesset.org/committee/meeting/14093/","https://oknesset.org/committee/meeting/14093/")</f>
        <v>https://oknesset.org/committee/meeting/14093/</v>
      </c>
    </row>
    <row r="441" ht="14.25" customHeight="1">
      <c r="A441" s="2" t="s">
        <v>76</v>
      </c>
      <c r="B441" s="1" t="s">
        <v>172</v>
      </c>
      <c r="C441" s="2" t="s">
        <v>70</v>
      </c>
      <c r="D441" s="2" t="s">
        <v>174</v>
      </c>
      <c r="E441" s="3" t="str">
        <f t="shared" si="78"/>
        <v>https://oknesset.org/committee/meeting/14093/</v>
      </c>
    </row>
    <row r="442" ht="14.25" customHeight="1">
      <c r="A442" s="2" t="s">
        <v>61</v>
      </c>
      <c r="B442" s="1" t="s">
        <v>172</v>
      </c>
      <c r="C442" s="2" t="s">
        <v>70</v>
      </c>
      <c r="D442" s="2" t="s">
        <v>174</v>
      </c>
      <c r="E442" s="3" t="str">
        <f t="shared" si="78"/>
        <v>https://oknesset.org/committee/meeting/14093/</v>
      </c>
    </row>
    <row r="443" ht="14.25" customHeight="1">
      <c r="A443" s="2" t="s">
        <v>44</v>
      </c>
      <c r="B443" s="1" t="s">
        <v>172</v>
      </c>
      <c r="C443" s="2" t="s">
        <v>70</v>
      </c>
      <c r="D443" s="2" t="s">
        <v>175</v>
      </c>
      <c r="E443" s="3" t="str">
        <f t="shared" ref="E443:E449" si="79">HYPERLINK("https://oknesset.org/committee/meeting/14094/","https://oknesset.org/committee/meeting/14094/")</f>
        <v>https://oknesset.org/committee/meeting/14094/</v>
      </c>
    </row>
    <row r="444" ht="14.25" customHeight="1">
      <c r="A444" s="2" t="s">
        <v>104</v>
      </c>
      <c r="B444" s="1" t="s">
        <v>172</v>
      </c>
      <c r="C444" s="2" t="s">
        <v>70</v>
      </c>
      <c r="D444" s="2" t="s">
        <v>175</v>
      </c>
      <c r="E444" s="3" t="str">
        <f t="shared" si="79"/>
        <v>https://oknesset.org/committee/meeting/14094/</v>
      </c>
    </row>
    <row r="445" ht="14.25" customHeight="1">
      <c r="A445" s="2" t="s">
        <v>106</v>
      </c>
      <c r="B445" s="1" t="s">
        <v>172</v>
      </c>
      <c r="C445" s="2" t="s">
        <v>70</v>
      </c>
      <c r="D445" s="2" t="s">
        <v>175</v>
      </c>
      <c r="E445" s="3" t="str">
        <f t="shared" si="79"/>
        <v>https://oknesset.org/committee/meeting/14094/</v>
      </c>
    </row>
    <row r="446" ht="14.25" customHeight="1">
      <c r="A446" s="2" t="s">
        <v>107</v>
      </c>
      <c r="B446" s="1" t="s">
        <v>172</v>
      </c>
      <c r="C446" s="2" t="s">
        <v>70</v>
      </c>
      <c r="D446" s="2" t="s">
        <v>175</v>
      </c>
      <c r="E446" s="3" t="str">
        <f t="shared" si="79"/>
        <v>https://oknesset.org/committee/meeting/14094/</v>
      </c>
    </row>
    <row r="447" ht="14.25" customHeight="1">
      <c r="A447" s="2" t="s">
        <v>84</v>
      </c>
      <c r="B447" s="1" t="s">
        <v>172</v>
      </c>
      <c r="C447" s="2" t="s">
        <v>70</v>
      </c>
      <c r="D447" s="2" t="s">
        <v>175</v>
      </c>
      <c r="E447" s="3" t="str">
        <f t="shared" si="79"/>
        <v>https://oknesset.org/committee/meeting/14094/</v>
      </c>
    </row>
    <row r="448" ht="14.25" customHeight="1">
      <c r="A448" s="2" t="s">
        <v>61</v>
      </c>
      <c r="B448" s="1" t="s">
        <v>172</v>
      </c>
      <c r="C448" s="2" t="s">
        <v>70</v>
      </c>
      <c r="D448" s="2" t="s">
        <v>175</v>
      </c>
      <c r="E448" s="3" t="str">
        <f t="shared" si="79"/>
        <v>https://oknesset.org/committee/meeting/14094/</v>
      </c>
    </row>
    <row r="449" ht="14.25" customHeight="1">
      <c r="A449" s="2" t="s">
        <v>34</v>
      </c>
      <c r="B449" s="1" t="s">
        <v>172</v>
      </c>
      <c r="C449" s="2" t="s">
        <v>70</v>
      </c>
      <c r="D449" s="2" t="s">
        <v>175</v>
      </c>
      <c r="E449" s="3" t="str">
        <f t="shared" si="79"/>
        <v>https://oknesset.org/committee/meeting/14094/</v>
      </c>
    </row>
    <row r="450" ht="14.25" customHeight="1">
      <c r="A450" s="2" t="s">
        <v>126</v>
      </c>
      <c r="B450" s="1" t="s">
        <v>172</v>
      </c>
      <c r="C450" s="2" t="s">
        <v>45</v>
      </c>
      <c r="D450" s="2" t="s">
        <v>176</v>
      </c>
      <c r="E450" s="3" t="str">
        <f t="shared" ref="E450:E456" si="80">HYPERLINK("https://oknesset.org/committee/meeting/14145/","https://oknesset.org/committee/meeting/14145/")</f>
        <v>https://oknesset.org/committee/meeting/14145/</v>
      </c>
    </row>
    <row r="451" ht="14.25" customHeight="1">
      <c r="A451" s="2" t="s">
        <v>79</v>
      </c>
      <c r="B451" s="1" t="s">
        <v>172</v>
      </c>
      <c r="C451" s="2" t="s">
        <v>45</v>
      </c>
      <c r="D451" s="2" t="s">
        <v>176</v>
      </c>
      <c r="E451" s="3" t="str">
        <f t="shared" si="80"/>
        <v>https://oknesset.org/committee/meeting/14145/</v>
      </c>
    </row>
    <row r="452" ht="14.25" customHeight="1">
      <c r="A452" s="2" t="s">
        <v>62</v>
      </c>
      <c r="B452" s="1" t="s">
        <v>172</v>
      </c>
      <c r="C452" s="2" t="s">
        <v>45</v>
      </c>
      <c r="D452" s="2" t="s">
        <v>176</v>
      </c>
      <c r="E452" s="3" t="str">
        <f t="shared" si="80"/>
        <v>https://oknesset.org/committee/meeting/14145/</v>
      </c>
    </row>
    <row r="453" ht="14.25" customHeight="1">
      <c r="A453" s="2" t="s">
        <v>15</v>
      </c>
      <c r="B453" s="1" t="s">
        <v>172</v>
      </c>
      <c r="C453" s="2" t="s">
        <v>45</v>
      </c>
      <c r="D453" s="2" t="s">
        <v>176</v>
      </c>
      <c r="E453" s="3" t="str">
        <f t="shared" si="80"/>
        <v>https://oknesset.org/committee/meeting/14145/</v>
      </c>
    </row>
    <row r="454" ht="14.25" customHeight="1">
      <c r="A454" s="2" t="s">
        <v>83</v>
      </c>
      <c r="B454" s="1" t="s">
        <v>172</v>
      </c>
      <c r="C454" s="2" t="s">
        <v>45</v>
      </c>
      <c r="D454" s="2" t="s">
        <v>176</v>
      </c>
      <c r="E454" s="3" t="str">
        <f t="shared" si="80"/>
        <v>https://oknesset.org/committee/meeting/14145/</v>
      </c>
    </row>
    <row r="455" ht="14.25" customHeight="1">
      <c r="A455" s="2" t="s">
        <v>17</v>
      </c>
      <c r="B455" s="1" t="s">
        <v>172</v>
      </c>
      <c r="C455" s="2" t="s">
        <v>45</v>
      </c>
      <c r="D455" s="2" t="s">
        <v>176</v>
      </c>
      <c r="E455" s="3" t="str">
        <f t="shared" si="80"/>
        <v>https://oknesset.org/committee/meeting/14145/</v>
      </c>
    </row>
    <row r="456" ht="14.25" customHeight="1">
      <c r="A456" s="2" t="s">
        <v>58</v>
      </c>
      <c r="B456" s="1" t="s">
        <v>172</v>
      </c>
      <c r="C456" s="2" t="s">
        <v>45</v>
      </c>
      <c r="D456" s="2" t="s">
        <v>176</v>
      </c>
      <c r="E456" s="3" t="str">
        <f t="shared" si="80"/>
        <v>https://oknesset.org/committee/meeting/14145/</v>
      </c>
    </row>
    <row r="457" ht="14.25" customHeight="1">
      <c r="A457" s="2" t="s">
        <v>41</v>
      </c>
      <c r="B457" s="1" t="s">
        <v>172</v>
      </c>
      <c r="C457" s="2" t="s">
        <v>42</v>
      </c>
      <c r="D457" s="2" t="s">
        <v>173</v>
      </c>
      <c r="E457" s="3" t="str">
        <f>HYPERLINK("https://oknesset.org/committee/meeting/14367/","https://oknesset.org/committee/meeting/14367/")</f>
        <v>https://oknesset.org/committee/meeting/14367/</v>
      </c>
    </row>
    <row r="458" ht="14.25" customHeight="1">
      <c r="A458" s="2" t="s">
        <v>9</v>
      </c>
      <c r="B458" s="1" t="s">
        <v>172</v>
      </c>
      <c r="C458" s="2" t="s">
        <v>45</v>
      </c>
      <c r="D458" s="2" t="s">
        <v>176</v>
      </c>
      <c r="E458" s="3" t="str">
        <f t="shared" ref="E458:E461" si="81">HYPERLINK("https://oknesset.org/committee/meeting/14145/","https://oknesset.org/committee/meeting/14145/")</f>
        <v>https://oknesset.org/committee/meeting/14145/</v>
      </c>
    </row>
    <row r="459" ht="14.25" customHeight="1">
      <c r="A459" s="2" t="s">
        <v>177</v>
      </c>
      <c r="B459" s="1" t="s">
        <v>172</v>
      </c>
      <c r="C459" s="2" t="s">
        <v>45</v>
      </c>
      <c r="D459" s="2" t="s">
        <v>176</v>
      </c>
      <c r="E459" s="3" t="str">
        <f t="shared" si="81"/>
        <v>https://oknesset.org/committee/meeting/14145/</v>
      </c>
    </row>
    <row r="460" ht="14.25" customHeight="1">
      <c r="A460" s="2" t="s">
        <v>54</v>
      </c>
      <c r="B460" s="1" t="s">
        <v>172</v>
      </c>
      <c r="C460" s="2" t="s">
        <v>45</v>
      </c>
      <c r="D460" s="2" t="s">
        <v>176</v>
      </c>
      <c r="E460" s="3" t="str">
        <f t="shared" si="81"/>
        <v>https://oknesset.org/committee/meeting/14145/</v>
      </c>
    </row>
    <row r="461" ht="14.25" customHeight="1">
      <c r="A461" s="2" t="s">
        <v>86</v>
      </c>
      <c r="B461" s="1" t="s">
        <v>172</v>
      </c>
      <c r="C461" s="2" t="s">
        <v>45</v>
      </c>
      <c r="D461" s="2" t="s">
        <v>176</v>
      </c>
      <c r="E461" s="3" t="str">
        <f t="shared" si="81"/>
        <v>https://oknesset.org/committee/meeting/14145/</v>
      </c>
    </row>
    <row r="462" ht="14.25" customHeight="1">
      <c r="A462" s="2" t="s">
        <v>41</v>
      </c>
      <c r="B462" s="1" t="s">
        <v>172</v>
      </c>
      <c r="C462" s="2" t="s">
        <v>178</v>
      </c>
      <c r="D462" s="2" t="s">
        <v>173</v>
      </c>
      <c r="E462" s="3" t="str">
        <f t="shared" ref="E462:E465" si="82">HYPERLINK("https://oknesset.org/committee/meeting/14426/","https://oknesset.org/committee/meeting/14426/")</f>
        <v>https://oknesset.org/committee/meeting/14426/</v>
      </c>
    </row>
    <row r="463" ht="14.25" customHeight="1">
      <c r="A463" s="2" t="s">
        <v>54</v>
      </c>
      <c r="B463" s="1" t="s">
        <v>172</v>
      </c>
      <c r="C463" s="2" t="s">
        <v>178</v>
      </c>
      <c r="D463" s="2" t="s">
        <v>173</v>
      </c>
      <c r="E463" s="3" t="str">
        <f t="shared" si="82"/>
        <v>https://oknesset.org/committee/meeting/14426/</v>
      </c>
    </row>
    <row r="464" ht="14.25" customHeight="1">
      <c r="A464" s="2" t="s">
        <v>83</v>
      </c>
      <c r="B464" s="1" t="s">
        <v>172</v>
      </c>
      <c r="C464" s="2" t="s">
        <v>178</v>
      </c>
      <c r="D464" s="2" t="s">
        <v>173</v>
      </c>
      <c r="E464" s="3" t="str">
        <f t="shared" si="82"/>
        <v>https://oknesset.org/committee/meeting/14426/</v>
      </c>
    </row>
    <row r="465" ht="14.25" customHeight="1">
      <c r="A465" s="2" t="s">
        <v>153</v>
      </c>
      <c r="B465" s="1" t="s">
        <v>172</v>
      </c>
      <c r="C465" s="2" t="s">
        <v>178</v>
      </c>
      <c r="D465" s="2" t="s">
        <v>173</v>
      </c>
      <c r="E465" s="3" t="str">
        <f t="shared" si="82"/>
        <v>https://oknesset.org/committee/meeting/14426/</v>
      </c>
    </row>
    <row r="466" ht="14.25" customHeight="1">
      <c r="A466" s="2" t="s">
        <v>85</v>
      </c>
      <c r="B466" s="1" t="s">
        <v>172</v>
      </c>
      <c r="C466" s="2" t="s">
        <v>157</v>
      </c>
      <c r="D466" s="2" t="s">
        <v>179</v>
      </c>
      <c r="E466" s="3" t="str">
        <f t="shared" ref="E466:E467" si="83">HYPERLINK("https://oknesset.org/committee/meeting/14323/","https://oknesset.org/committee/meeting/14323/")</f>
        <v>https://oknesset.org/committee/meeting/14323/</v>
      </c>
    </row>
    <row r="467" ht="14.25" customHeight="1">
      <c r="A467" s="2" t="s">
        <v>54</v>
      </c>
      <c r="B467" s="1" t="s">
        <v>172</v>
      </c>
      <c r="C467" s="2" t="s">
        <v>157</v>
      </c>
      <c r="D467" s="2" t="s">
        <v>179</v>
      </c>
      <c r="E467" s="3" t="str">
        <f t="shared" si="83"/>
        <v>https://oknesset.org/committee/meeting/14323/</v>
      </c>
    </row>
    <row r="468" ht="14.25" customHeight="1">
      <c r="A468" s="2" t="s">
        <v>54</v>
      </c>
      <c r="B468" s="1" t="s">
        <v>172</v>
      </c>
      <c r="C468" s="2" t="s">
        <v>42</v>
      </c>
      <c r="D468" s="2" t="s">
        <v>173</v>
      </c>
      <c r="E468" s="3" t="str">
        <f>HYPERLINK("https://oknesset.org/committee/meeting/14367/","https://oknesset.org/committee/meeting/14367/")</f>
        <v>https://oknesset.org/committee/meeting/14367/</v>
      </c>
    </row>
    <row r="469" ht="14.25" customHeight="1">
      <c r="A469" s="2" t="s">
        <v>54</v>
      </c>
      <c r="B469" s="1" t="s">
        <v>172</v>
      </c>
      <c r="C469" s="2" t="s">
        <v>180</v>
      </c>
      <c r="D469" s="2" t="s">
        <v>179</v>
      </c>
      <c r="E469" s="3" t="str">
        <f>HYPERLINK("https://oknesset.org/committee/meeting/14408/","https://oknesset.org/committee/meeting/14408/")</f>
        <v>https://oknesset.org/committee/meeting/14408/</v>
      </c>
    </row>
    <row r="470" ht="14.25" customHeight="1">
      <c r="A470" s="2" t="s">
        <v>44</v>
      </c>
      <c r="B470" s="1" t="s">
        <v>172</v>
      </c>
      <c r="C470" s="2" t="s">
        <v>178</v>
      </c>
      <c r="D470" s="2" t="s">
        <v>173</v>
      </c>
      <c r="E470" s="3" t="str">
        <f t="shared" ref="E470:E472" si="84">HYPERLINK("https://oknesset.org/committee/meeting/14426/","https://oknesset.org/committee/meeting/14426/")</f>
        <v>https://oknesset.org/committee/meeting/14426/</v>
      </c>
    </row>
    <row r="471" ht="14.25" customHeight="1">
      <c r="A471" s="2" t="s">
        <v>82</v>
      </c>
      <c r="B471" s="1" t="s">
        <v>172</v>
      </c>
      <c r="C471" s="2" t="s">
        <v>178</v>
      </c>
      <c r="D471" s="2" t="s">
        <v>173</v>
      </c>
      <c r="E471" s="3" t="str">
        <f t="shared" si="84"/>
        <v>https://oknesset.org/committee/meeting/14426/</v>
      </c>
    </row>
    <row r="472" ht="14.25" customHeight="1">
      <c r="A472" s="2" t="s">
        <v>66</v>
      </c>
      <c r="B472" s="1" t="s">
        <v>172</v>
      </c>
      <c r="C472" s="2" t="s">
        <v>178</v>
      </c>
      <c r="D472" s="2" t="s">
        <v>173</v>
      </c>
      <c r="E472" s="3" t="str">
        <f t="shared" si="84"/>
        <v>https://oknesset.org/committee/meeting/14426/</v>
      </c>
    </row>
    <row r="473" ht="14.25" customHeight="1">
      <c r="A473" s="2" t="s">
        <v>181</v>
      </c>
      <c r="B473" s="1" t="s">
        <v>172</v>
      </c>
      <c r="C473" s="2" t="s">
        <v>70</v>
      </c>
      <c r="D473" s="2" t="s">
        <v>174</v>
      </c>
      <c r="E473" s="3" t="str">
        <f>HYPERLINK("https://oknesset.org/committee/meeting/14093/","https://oknesset.org/committee/meeting/14093/")</f>
        <v>https://oknesset.org/committee/meeting/14093/</v>
      </c>
    </row>
    <row r="474" ht="14.25" customHeight="1">
      <c r="A474" s="2" t="s">
        <v>85</v>
      </c>
      <c r="B474" s="1" t="s">
        <v>172</v>
      </c>
      <c r="C474" s="2" t="s">
        <v>180</v>
      </c>
      <c r="D474" s="2" t="s">
        <v>179</v>
      </c>
      <c r="E474" s="3" t="str">
        <f>HYPERLINK("https://oknesset.org/committee/meeting/14408/","https://oknesset.org/committee/meeting/14408/")</f>
        <v>https://oknesset.org/committee/meeting/14408/</v>
      </c>
    </row>
    <row r="475" ht="14.25" customHeight="1">
      <c r="A475" s="2" t="s">
        <v>28</v>
      </c>
      <c r="B475" s="1" t="s">
        <v>172</v>
      </c>
      <c r="C475" s="2" t="s">
        <v>70</v>
      </c>
      <c r="D475" s="2" t="s">
        <v>174</v>
      </c>
      <c r="E475" s="3" t="str">
        <f t="shared" ref="E475:E479" si="85">HYPERLINK("https://oknesset.org/committee/meeting/14093/","https://oknesset.org/committee/meeting/14093/")</f>
        <v>https://oknesset.org/committee/meeting/14093/</v>
      </c>
    </row>
    <row r="476" ht="14.25" customHeight="1">
      <c r="A476" s="2" t="s">
        <v>44</v>
      </c>
      <c r="B476" s="1" t="s">
        <v>172</v>
      </c>
      <c r="C476" s="2" t="s">
        <v>70</v>
      </c>
      <c r="D476" s="2" t="s">
        <v>174</v>
      </c>
      <c r="E476" s="3" t="str">
        <f t="shared" si="85"/>
        <v>https://oknesset.org/committee/meeting/14093/</v>
      </c>
    </row>
    <row r="477" ht="14.25" customHeight="1">
      <c r="A477" s="2" t="s">
        <v>104</v>
      </c>
      <c r="B477" s="1" t="s">
        <v>172</v>
      </c>
      <c r="C477" s="2" t="s">
        <v>70</v>
      </c>
      <c r="D477" s="2" t="s">
        <v>174</v>
      </c>
      <c r="E477" s="3" t="str">
        <f t="shared" si="85"/>
        <v>https://oknesset.org/committee/meeting/14093/</v>
      </c>
    </row>
    <row r="478" ht="14.25" customHeight="1">
      <c r="A478" s="2" t="s">
        <v>106</v>
      </c>
      <c r="B478" s="1" t="s">
        <v>172</v>
      </c>
      <c r="C478" s="2" t="s">
        <v>70</v>
      </c>
      <c r="D478" s="2" t="s">
        <v>174</v>
      </c>
      <c r="E478" s="3" t="str">
        <f t="shared" si="85"/>
        <v>https://oknesset.org/committee/meeting/14093/</v>
      </c>
    </row>
    <row r="479" ht="14.25" customHeight="1">
      <c r="A479" s="2" t="s">
        <v>84</v>
      </c>
      <c r="B479" s="1" t="s">
        <v>172</v>
      </c>
      <c r="C479" s="2" t="s">
        <v>70</v>
      </c>
      <c r="D479" s="2" t="s">
        <v>174</v>
      </c>
      <c r="E479" s="3" t="str">
        <f t="shared" si="85"/>
        <v>https://oknesset.org/committee/meeting/14093/</v>
      </c>
    </row>
    <row r="480" ht="14.25" customHeight="1">
      <c r="A480" s="2" t="s">
        <v>83</v>
      </c>
      <c r="B480" s="1" t="s">
        <v>172</v>
      </c>
      <c r="C480" s="2" t="s">
        <v>42</v>
      </c>
      <c r="D480" s="2" t="s">
        <v>173</v>
      </c>
      <c r="E480" s="3" t="str">
        <f>HYPERLINK("https://oknesset.org/committee/meeting/14367/","https://oknesset.org/committee/meeting/14367/")</f>
        <v>https://oknesset.org/committee/meeting/14367/</v>
      </c>
    </row>
    <row r="481" ht="14.25" customHeight="1">
      <c r="A481" s="2" t="s">
        <v>11</v>
      </c>
      <c r="B481" s="1" t="s">
        <v>172</v>
      </c>
      <c r="C481" s="2" t="s">
        <v>70</v>
      </c>
      <c r="D481" s="2" t="s">
        <v>174</v>
      </c>
      <c r="E481" s="3" t="str">
        <f>HYPERLINK("https://oknesset.org/committee/meeting/14093/","https://oknesset.org/committee/meeting/14093/")</f>
        <v>https://oknesset.org/committee/meeting/14093/</v>
      </c>
    </row>
    <row r="482" ht="14.25" customHeight="1">
      <c r="A482" s="2" t="s">
        <v>44</v>
      </c>
      <c r="B482" s="1" t="s">
        <v>172</v>
      </c>
      <c r="C482" s="2" t="s">
        <v>42</v>
      </c>
      <c r="D482" s="2" t="s">
        <v>173</v>
      </c>
      <c r="E482" s="3" t="str">
        <f t="shared" ref="E482:E484" si="86">HYPERLINK("https://oknesset.org/committee/meeting/14367/","https://oknesset.org/committee/meeting/14367/")</f>
        <v>https://oknesset.org/committee/meeting/14367/</v>
      </c>
    </row>
    <row r="483" ht="14.25" customHeight="1">
      <c r="A483" s="2" t="s">
        <v>82</v>
      </c>
      <c r="B483" s="1" t="s">
        <v>172</v>
      </c>
      <c r="C483" s="2" t="s">
        <v>42</v>
      </c>
      <c r="D483" s="2" t="s">
        <v>173</v>
      </c>
      <c r="E483" s="3" t="str">
        <f t="shared" si="86"/>
        <v>https://oknesset.org/committee/meeting/14367/</v>
      </c>
    </row>
    <row r="484" ht="14.25" customHeight="1">
      <c r="A484" s="2" t="s">
        <v>66</v>
      </c>
      <c r="B484" s="1" t="s">
        <v>172</v>
      </c>
      <c r="C484" s="2" t="s">
        <v>42</v>
      </c>
      <c r="D484" s="2" t="s">
        <v>173</v>
      </c>
      <c r="E484" s="3" t="str">
        <f t="shared" si="86"/>
        <v>https://oknesset.org/committee/meeting/14367/</v>
      </c>
    </row>
    <row r="485" ht="14.25" customHeight="1">
      <c r="A485" s="2" t="s">
        <v>121</v>
      </c>
      <c r="B485" s="1" t="s">
        <v>172</v>
      </c>
      <c r="C485" s="2" t="s">
        <v>48</v>
      </c>
      <c r="D485" s="2" t="s">
        <v>182</v>
      </c>
      <c r="E485" s="3" t="str">
        <f t="shared" ref="E485:E486" si="87">HYPERLINK("https://oknesset.org/committee/meeting/14193/","https://oknesset.org/committee/meeting/14193/")</f>
        <v>https://oknesset.org/committee/meeting/14193/</v>
      </c>
    </row>
    <row r="486" ht="14.25" customHeight="1">
      <c r="A486" s="2" t="s">
        <v>32</v>
      </c>
      <c r="B486" s="1" t="s">
        <v>172</v>
      </c>
      <c r="C486" s="2" t="s">
        <v>48</v>
      </c>
      <c r="D486" s="2" t="s">
        <v>182</v>
      </c>
      <c r="E486" s="3" t="str">
        <f t="shared" si="87"/>
        <v>https://oknesset.org/committee/meeting/14193/</v>
      </c>
    </row>
    <row r="487" ht="14.25" customHeight="1">
      <c r="A487" s="2" t="s">
        <v>32</v>
      </c>
      <c r="B487" s="1" t="s">
        <v>172</v>
      </c>
      <c r="C487" s="2" t="s">
        <v>48</v>
      </c>
      <c r="D487" s="2" t="s">
        <v>183</v>
      </c>
      <c r="E487" s="3" t="str">
        <f t="shared" ref="E487:E489" si="88">HYPERLINK("https://oknesset.org/committee/meeting/14194/","https://oknesset.org/committee/meeting/14194/")</f>
        <v>https://oknesset.org/committee/meeting/14194/</v>
      </c>
    </row>
    <row r="488" ht="14.25" customHeight="1">
      <c r="A488" s="2" t="s">
        <v>184</v>
      </c>
      <c r="B488" s="1" t="s">
        <v>172</v>
      </c>
      <c r="C488" s="2" t="s">
        <v>48</v>
      </c>
      <c r="D488" s="2" t="s">
        <v>183</v>
      </c>
      <c r="E488" s="3" t="str">
        <f t="shared" si="88"/>
        <v>https://oknesset.org/committee/meeting/14194/</v>
      </c>
    </row>
    <row r="489" ht="14.25" customHeight="1">
      <c r="A489" s="2" t="s">
        <v>28</v>
      </c>
      <c r="B489" s="1" t="s">
        <v>172</v>
      </c>
      <c r="C489" s="2" t="s">
        <v>48</v>
      </c>
      <c r="D489" s="2" t="s">
        <v>183</v>
      </c>
      <c r="E489" s="3" t="str">
        <f t="shared" si="88"/>
        <v>https://oknesset.org/committee/meeting/14194/</v>
      </c>
    </row>
    <row r="490" ht="14.25" customHeight="1">
      <c r="A490" s="2" t="s">
        <v>50</v>
      </c>
      <c r="B490" s="1" t="s">
        <v>172</v>
      </c>
      <c r="C490" s="2" t="s">
        <v>45</v>
      </c>
      <c r="D490" s="2" t="s">
        <v>176</v>
      </c>
      <c r="E490" s="3" t="str">
        <f>HYPERLINK("https://oknesset.org/committee/meeting/14145/","https://oknesset.org/committee/meeting/14145/")</f>
        <v>https://oknesset.org/committee/meeting/14145/</v>
      </c>
    </row>
    <row r="491" ht="14.25" customHeight="1">
      <c r="A491" s="2" t="s">
        <v>86</v>
      </c>
      <c r="B491" s="1" t="s">
        <v>172</v>
      </c>
      <c r="C491" s="2" t="s">
        <v>70</v>
      </c>
      <c r="D491" s="2" t="s">
        <v>174</v>
      </c>
      <c r="E491" s="3" t="str">
        <f>HYPERLINK("https://oknesset.org/committee/meeting/14093/","https://oknesset.org/committee/meeting/14093/")</f>
        <v>https://oknesset.org/committee/meeting/14093/</v>
      </c>
    </row>
    <row r="492" ht="14.25" customHeight="1">
      <c r="A492" s="2" t="s">
        <v>5</v>
      </c>
      <c r="B492" s="1" t="s">
        <v>172</v>
      </c>
      <c r="C492" s="2" t="s">
        <v>45</v>
      </c>
      <c r="D492" s="2" t="s">
        <v>176</v>
      </c>
      <c r="E492" s="3" t="str">
        <f>HYPERLINK("https://oknesset.org/committee/meeting/14145/","https://oknesset.org/committee/meeting/14145/")</f>
        <v>https://oknesset.org/committee/meeting/14145/</v>
      </c>
    </row>
    <row r="493" ht="14.25" customHeight="1">
      <c r="A493" s="2" t="s">
        <v>126</v>
      </c>
      <c r="B493" s="1" t="s">
        <v>172</v>
      </c>
      <c r="C493" s="2" t="s">
        <v>70</v>
      </c>
      <c r="D493" s="2" t="s">
        <v>175</v>
      </c>
      <c r="E493" s="3" t="str">
        <f>HYPERLINK("https://oknesset.org/committee/meeting/14094/","https://oknesset.org/committee/meeting/14094/")</f>
        <v>https://oknesset.org/committee/meeting/14094/</v>
      </c>
    </row>
    <row r="494" ht="14.25" customHeight="1">
      <c r="A494" s="2" t="s">
        <v>73</v>
      </c>
      <c r="B494" s="1" t="s">
        <v>172</v>
      </c>
      <c r="C494" s="2" t="s">
        <v>45</v>
      </c>
      <c r="D494" s="2" t="s">
        <v>176</v>
      </c>
      <c r="E494" s="3" t="str">
        <f>HYPERLINK("https://oknesset.org/committee/meeting/14145/","https://oknesset.org/committee/meeting/14145/")</f>
        <v>https://oknesset.org/committee/meeting/14145/</v>
      </c>
    </row>
    <row r="495" ht="14.25" customHeight="1">
      <c r="A495" s="2" t="s">
        <v>31</v>
      </c>
      <c r="B495" s="1" t="s">
        <v>185</v>
      </c>
      <c r="C495" s="2" t="s">
        <v>186</v>
      </c>
      <c r="D495" s="2" t="s">
        <v>187</v>
      </c>
      <c r="E495" s="3" t="str">
        <f>HYPERLINK("https://oknesset.org/committee/meeting/14330/","https://oknesset.org/committee/meeting/14330/")</f>
        <v>https://oknesset.org/committee/meeting/14330/</v>
      </c>
    </row>
    <row r="496" ht="14.25" customHeight="1">
      <c r="A496" s="2" t="s">
        <v>104</v>
      </c>
      <c r="B496" s="1" t="s">
        <v>188</v>
      </c>
      <c r="C496" s="2" t="s">
        <v>70</v>
      </c>
      <c r="D496" s="2" t="s">
        <v>189</v>
      </c>
      <c r="E496" s="3" t="str">
        <f t="shared" ref="E496:E497" si="89">HYPERLINK("https://oknesset.org/committee/meeting/14091/","https://oknesset.org/committee/meeting/14091/")</f>
        <v>https://oknesset.org/committee/meeting/14091/</v>
      </c>
    </row>
    <row r="497" ht="14.25" customHeight="1">
      <c r="A497" s="2" t="s">
        <v>106</v>
      </c>
      <c r="B497" s="1" t="s">
        <v>188</v>
      </c>
      <c r="C497" s="2" t="s">
        <v>70</v>
      </c>
      <c r="D497" s="2" t="s">
        <v>189</v>
      </c>
      <c r="E497" s="3" t="str">
        <f t="shared" si="89"/>
        <v>https://oknesset.org/committee/meeting/14091/</v>
      </c>
    </row>
    <row r="498" ht="14.25" customHeight="1">
      <c r="A498" s="2" t="s">
        <v>41</v>
      </c>
      <c r="B498" s="1" t="s">
        <v>188</v>
      </c>
      <c r="C498" s="2" t="s">
        <v>42</v>
      </c>
      <c r="D498" s="2" t="s">
        <v>190</v>
      </c>
      <c r="E498" s="3" t="str">
        <f>HYPERLINK("https://oknesset.org/committee/meeting/14364/","https://oknesset.org/committee/meeting/14364/")</f>
        <v>https://oknesset.org/committee/meeting/14364/</v>
      </c>
    </row>
    <row r="499" ht="14.25" customHeight="1">
      <c r="A499" s="2" t="s">
        <v>73</v>
      </c>
      <c r="B499" s="1" t="s">
        <v>188</v>
      </c>
      <c r="C499" s="2" t="s">
        <v>42</v>
      </c>
      <c r="D499" s="2" t="s">
        <v>191</v>
      </c>
      <c r="E499" s="3" t="str">
        <f t="shared" ref="E499:E506" si="90">HYPERLINK("https://oknesset.org/committee/meeting/14365/","https://oknesset.org/committee/meeting/14365/")</f>
        <v>https://oknesset.org/committee/meeting/14365/</v>
      </c>
    </row>
    <row r="500" ht="14.25" customHeight="1">
      <c r="A500" s="2" t="s">
        <v>19</v>
      </c>
      <c r="B500" s="1" t="s">
        <v>188</v>
      </c>
      <c r="C500" s="2" t="s">
        <v>42</v>
      </c>
      <c r="D500" s="2" t="s">
        <v>191</v>
      </c>
      <c r="E500" s="3" t="str">
        <f t="shared" si="90"/>
        <v>https://oknesset.org/committee/meeting/14365/</v>
      </c>
    </row>
    <row r="501" ht="14.25" customHeight="1">
      <c r="A501" s="2" t="s">
        <v>58</v>
      </c>
      <c r="B501" s="1" t="s">
        <v>188</v>
      </c>
      <c r="C501" s="2" t="s">
        <v>42</v>
      </c>
      <c r="D501" s="2" t="s">
        <v>191</v>
      </c>
      <c r="E501" s="3" t="str">
        <f t="shared" si="90"/>
        <v>https://oknesset.org/committee/meeting/14365/</v>
      </c>
    </row>
    <row r="502" ht="14.25" customHeight="1">
      <c r="A502" s="2" t="s">
        <v>28</v>
      </c>
      <c r="B502" s="1" t="s">
        <v>188</v>
      </c>
      <c r="C502" s="2" t="s">
        <v>42</v>
      </c>
      <c r="D502" s="2" t="s">
        <v>191</v>
      </c>
      <c r="E502" s="3" t="str">
        <f t="shared" si="90"/>
        <v>https://oknesset.org/committee/meeting/14365/</v>
      </c>
    </row>
    <row r="503" ht="14.25" customHeight="1">
      <c r="A503" s="2" t="s">
        <v>130</v>
      </c>
      <c r="B503" s="1" t="s">
        <v>188</v>
      </c>
      <c r="C503" s="2" t="s">
        <v>42</v>
      </c>
      <c r="D503" s="2" t="s">
        <v>191</v>
      </c>
      <c r="E503" s="3" t="str">
        <f t="shared" si="90"/>
        <v>https://oknesset.org/committee/meeting/14365/</v>
      </c>
    </row>
    <row r="504" ht="14.25" customHeight="1">
      <c r="A504" s="2" t="s">
        <v>114</v>
      </c>
      <c r="B504" s="1" t="s">
        <v>188</v>
      </c>
      <c r="C504" s="2" t="s">
        <v>42</v>
      </c>
      <c r="D504" s="2" t="s">
        <v>191</v>
      </c>
      <c r="E504" s="3" t="str">
        <f t="shared" si="90"/>
        <v>https://oknesset.org/committee/meeting/14365/</v>
      </c>
    </row>
    <row r="505" ht="14.25" customHeight="1">
      <c r="A505" s="2" t="s">
        <v>41</v>
      </c>
      <c r="B505" s="1" t="s">
        <v>188</v>
      </c>
      <c r="C505" s="2" t="s">
        <v>42</v>
      </c>
      <c r="D505" s="2" t="s">
        <v>191</v>
      </c>
      <c r="E505" s="3" t="str">
        <f t="shared" si="90"/>
        <v>https://oknesset.org/committee/meeting/14365/</v>
      </c>
    </row>
    <row r="506" ht="14.25" customHeight="1">
      <c r="A506" s="2" t="s">
        <v>35</v>
      </c>
      <c r="B506" s="1" t="s">
        <v>188</v>
      </c>
      <c r="C506" s="2" t="s">
        <v>42</v>
      </c>
      <c r="D506" s="2" t="s">
        <v>191</v>
      </c>
      <c r="E506" s="3" t="str">
        <f t="shared" si="90"/>
        <v>https://oknesset.org/committee/meeting/14365/</v>
      </c>
    </row>
    <row r="507" ht="14.25" customHeight="1">
      <c r="A507" s="2" t="s">
        <v>107</v>
      </c>
      <c r="B507" s="1" t="s">
        <v>188</v>
      </c>
      <c r="C507" s="2" t="s">
        <v>70</v>
      </c>
      <c r="D507" s="2" t="s">
        <v>189</v>
      </c>
      <c r="E507" s="3" t="str">
        <f>HYPERLINK("https://oknesset.org/committee/meeting/14091/","https://oknesset.org/committee/meeting/14091/")</f>
        <v>https://oknesset.org/committee/meeting/14091/</v>
      </c>
    </row>
    <row r="508" ht="14.25" customHeight="1">
      <c r="A508" s="2" t="s">
        <v>34</v>
      </c>
      <c r="B508" s="1" t="s">
        <v>188</v>
      </c>
      <c r="C508" s="2" t="s">
        <v>52</v>
      </c>
      <c r="D508" s="2" t="s">
        <v>192</v>
      </c>
      <c r="E508" s="3" t="str">
        <f>HYPERLINK("https://oknesset.org/committee/meeting/14254/","https://oknesset.org/committee/meeting/14254/")</f>
        <v>https://oknesset.org/committee/meeting/14254/</v>
      </c>
    </row>
    <row r="509" ht="14.25" customHeight="1">
      <c r="A509" s="2" t="s">
        <v>101</v>
      </c>
      <c r="B509" s="1" t="s">
        <v>188</v>
      </c>
      <c r="C509" s="2" t="s">
        <v>70</v>
      </c>
      <c r="D509" s="2" t="s">
        <v>193</v>
      </c>
      <c r="E509" s="3" t="str">
        <f>HYPERLINK("https://oknesset.org/committee/meeting/14092/","https://oknesset.org/committee/meeting/14092/")</f>
        <v>https://oknesset.org/committee/meeting/14092/</v>
      </c>
    </row>
    <row r="510" ht="14.25" customHeight="1">
      <c r="A510" s="2" t="s">
        <v>27</v>
      </c>
      <c r="B510" s="1" t="s">
        <v>188</v>
      </c>
      <c r="C510" s="2" t="s">
        <v>25</v>
      </c>
      <c r="D510" s="2" t="s">
        <v>194</v>
      </c>
      <c r="E510" s="3" t="str">
        <f>HYPERLINK("https://oknesset.org/committee/meeting/14284/","https://oknesset.org/committee/meeting/14284/")</f>
        <v>https://oknesset.org/committee/meeting/14284/</v>
      </c>
    </row>
    <row r="511" ht="14.25" customHeight="1">
      <c r="A511" s="2" t="s">
        <v>41</v>
      </c>
      <c r="B511" s="1" t="s">
        <v>188</v>
      </c>
      <c r="C511" s="2" t="s">
        <v>42</v>
      </c>
      <c r="D511" s="2" t="s">
        <v>195</v>
      </c>
      <c r="E511" s="3" t="str">
        <f t="shared" ref="E511:E512" si="91">HYPERLINK("https://oknesset.org/committee/meeting/14366/","https://oknesset.org/committee/meeting/14366/")</f>
        <v>https://oknesset.org/committee/meeting/14366/</v>
      </c>
    </row>
    <row r="512" ht="14.25" customHeight="1">
      <c r="A512" s="2" t="s">
        <v>36</v>
      </c>
      <c r="B512" s="1" t="s">
        <v>188</v>
      </c>
      <c r="C512" s="2" t="s">
        <v>42</v>
      </c>
      <c r="D512" s="2" t="s">
        <v>195</v>
      </c>
      <c r="E512" s="3" t="str">
        <f t="shared" si="91"/>
        <v>https://oknesset.org/committee/meeting/14366/</v>
      </c>
    </row>
    <row r="513" ht="14.25" customHeight="1">
      <c r="A513" s="2" t="s">
        <v>28</v>
      </c>
      <c r="B513" s="1" t="s">
        <v>188</v>
      </c>
      <c r="C513" s="2" t="s">
        <v>25</v>
      </c>
      <c r="D513" s="2" t="s">
        <v>194</v>
      </c>
      <c r="E513" s="3" t="str">
        <f>HYPERLINK("https://oknesset.org/committee/meeting/14284/","https://oknesset.org/committee/meeting/14284/")</f>
        <v>https://oknesset.org/committee/meeting/14284/</v>
      </c>
    </row>
    <row r="514" ht="14.25" customHeight="1">
      <c r="A514" s="2" t="s">
        <v>101</v>
      </c>
      <c r="B514" s="1" t="s">
        <v>188</v>
      </c>
      <c r="C514" s="2" t="s">
        <v>70</v>
      </c>
      <c r="D514" s="2" t="s">
        <v>189</v>
      </c>
      <c r="E514" s="3" t="str">
        <f>HYPERLINK("https://oknesset.org/committee/meeting/14091/","https://oknesset.org/committee/meeting/14091/")</f>
        <v>https://oknesset.org/committee/meeting/14091/</v>
      </c>
    </row>
    <row r="515" ht="14.25" customHeight="1">
      <c r="A515" s="2" t="s">
        <v>28</v>
      </c>
      <c r="B515" s="1" t="s">
        <v>188</v>
      </c>
      <c r="C515" s="2" t="s">
        <v>70</v>
      </c>
      <c r="D515" s="2" t="s">
        <v>193</v>
      </c>
      <c r="E515" s="3" t="str">
        <f t="shared" ref="E515:E518" si="92">HYPERLINK("https://oknesset.org/committee/meeting/14092/","https://oknesset.org/committee/meeting/14092/")</f>
        <v>https://oknesset.org/committee/meeting/14092/</v>
      </c>
    </row>
    <row r="516" ht="14.25" customHeight="1">
      <c r="A516" s="2" t="s">
        <v>104</v>
      </c>
      <c r="B516" s="1" t="s">
        <v>188</v>
      </c>
      <c r="C516" s="2" t="s">
        <v>70</v>
      </c>
      <c r="D516" s="2" t="s">
        <v>193</v>
      </c>
      <c r="E516" s="3" t="str">
        <f t="shared" si="92"/>
        <v>https://oknesset.org/committee/meeting/14092/</v>
      </c>
    </row>
    <row r="517" ht="14.25" customHeight="1">
      <c r="A517" s="2" t="s">
        <v>107</v>
      </c>
      <c r="B517" s="1" t="s">
        <v>188</v>
      </c>
      <c r="C517" s="2" t="s">
        <v>70</v>
      </c>
      <c r="D517" s="2" t="s">
        <v>193</v>
      </c>
      <c r="E517" s="3" t="str">
        <f t="shared" si="92"/>
        <v>https://oknesset.org/committee/meeting/14092/</v>
      </c>
    </row>
    <row r="518" ht="14.25" customHeight="1">
      <c r="A518" s="2" t="s">
        <v>106</v>
      </c>
      <c r="B518" s="1" t="s">
        <v>188</v>
      </c>
      <c r="C518" s="2" t="s">
        <v>70</v>
      </c>
      <c r="D518" s="2" t="s">
        <v>193</v>
      </c>
      <c r="E518" s="3" t="str">
        <f t="shared" si="92"/>
        <v>https://oknesset.org/committee/meeting/14092/</v>
      </c>
    </row>
    <row r="519" ht="14.25" customHeight="1">
      <c r="A519" s="2" t="s">
        <v>196</v>
      </c>
      <c r="B519" s="1" t="s">
        <v>197</v>
      </c>
      <c r="C519" s="2" t="s">
        <v>45</v>
      </c>
      <c r="D519" s="2" t="s">
        <v>198</v>
      </c>
      <c r="E519" s="3" t="str">
        <f t="shared" ref="E519:E523" si="93">HYPERLINK("https://oknesset.org/committee/meeting/14143/","https://oknesset.org/committee/meeting/14143/")</f>
        <v>https://oknesset.org/committee/meeting/14143/</v>
      </c>
    </row>
    <row r="520" ht="14.25" customHeight="1">
      <c r="A520" s="2" t="s">
        <v>19</v>
      </c>
      <c r="B520" s="1" t="s">
        <v>197</v>
      </c>
      <c r="C520" s="2" t="s">
        <v>45</v>
      </c>
      <c r="D520" s="2" t="s">
        <v>198</v>
      </c>
      <c r="E520" s="3" t="str">
        <f t="shared" si="93"/>
        <v>https://oknesset.org/committee/meeting/14143/</v>
      </c>
    </row>
    <row r="521" ht="14.25" customHeight="1">
      <c r="A521" s="2" t="s">
        <v>66</v>
      </c>
      <c r="B521" s="1" t="s">
        <v>197</v>
      </c>
      <c r="C521" s="2" t="s">
        <v>45</v>
      </c>
      <c r="D521" s="2" t="s">
        <v>198</v>
      </c>
      <c r="E521" s="3" t="str">
        <f t="shared" si="93"/>
        <v>https://oknesset.org/committee/meeting/14143/</v>
      </c>
    </row>
    <row r="522" ht="14.25" customHeight="1">
      <c r="A522" s="2" t="s">
        <v>34</v>
      </c>
      <c r="B522" s="1" t="s">
        <v>197</v>
      </c>
      <c r="C522" s="2" t="s">
        <v>45</v>
      </c>
      <c r="D522" s="2" t="s">
        <v>198</v>
      </c>
      <c r="E522" s="3" t="str">
        <f t="shared" si="93"/>
        <v>https://oknesset.org/committee/meeting/14143/</v>
      </c>
    </row>
    <row r="523" ht="14.25" customHeight="1">
      <c r="A523" s="2" t="s">
        <v>73</v>
      </c>
      <c r="B523" s="1" t="s">
        <v>197</v>
      </c>
      <c r="C523" s="2" t="s">
        <v>45</v>
      </c>
      <c r="D523" s="2" t="s">
        <v>198</v>
      </c>
      <c r="E523" s="3" t="str">
        <f t="shared" si="93"/>
        <v>https://oknesset.org/committee/meeting/14143/</v>
      </c>
    </row>
    <row r="524" ht="14.25" customHeight="1">
      <c r="A524" s="2" t="s">
        <v>20</v>
      </c>
      <c r="B524" s="1" t="s">
        <v>197</v>
      </c>
      <c r="C524" s="2" t="s">
        <v>52</v>
      </c>
      <c r="D524" s="2" t="s">
        <v>199</v>
      </c>
      <c r="E524" s="3" t="str">
        <f t="shared" ref="E524:E526" si="94">HYPERLINK("https://oknesset.org/committee/meeting/14253/","https://oknesset.org/committee/meeting/14253/")</f>
        <v>https://oknesset.org/committee/meeting/14253/</v>
      </c>
    </row>
    <row r="525" ht="14.25" customHeight="1">
      <c r="A525" s="2" t="s">
        <v>168</v>
      </c>
      <c r="B525" s="1" t="s">
        <v>197</v>
      </c>
      <c r="C525" s="2" t="s">
        <v>52</v>
      </c>
      <c r="D525" s="2" t="s">
        <v>199</v>
      </c>
      <c r="E525" s="3" t="str">
        <f t="shared" si="94"/>
        <v>https://oknesset.org/committee/meeting/14253/</v>
      </c>
    </row>
    <row r="526" ht="14.25" customHeight="1">
      <c r="A526" s="2" t="s">
        <v>54</v>
      </c>
      <c r="B526" s="1" t="s">
        <v>197</v>
      </c>
      <c r="C526" s="2" t="s">
        <v>52</v>
      </c>
      <c r="D526" s="2" t="s">
        <v>199</v>
      </c>
      <c r="E526" s="3" t="str">
        <f t="shared" si="94"/>
        <v>https://oknesset.org/committee/meeting/14253/</v>
      </c>
    </row>
    <row r="527" ht="14.25" customHeight="1">
      <c r="A527" s="2" t="s">
        <v>73</v>
      </c>
      <c r="B527" s="1" t="s">
        <v>197</v>
      </c>
      <c r="C527" s="2" t="s">
        <v>45</v>
      </c>
      <c r="D527" s="2" t="s">
        <v>198</v>
      </c>
      <c r="E527" s="3" t="str">
        <f t="shared" ref="E527:E529" si="95">HYPERLINK("https://oknesset.org/committee/meeting/14144/","https://oknesset.org/committee/meeting/14144/")</f>
        <v>https://oknesset.org/committee/meeting/14144/</v>
      </c>
    </row>
    <row r="528" ht="14.25" customHeight="1">
      <c r="A528" s="2" t="s">
        <v>19</v>
      </c>
      <c r="B528" s="1" t="s">
        <v>197</v>
      </c>
      <c r="C528" s="2" t="s">
        <v>45</v>
      </c>
      <c r="D528" s="2" t="s">
        <v>198</v>
      </c>
      <c r="E528" s="3" t="str">
        <f t="shared" si="95"/>
        <v>https://oknesset.org/committee/meeting/14144/</v>
      </c>
    </row>
    <row r="529" ht="14.25" customHeight="1">
      <c r="A529" s="2" t="s">
        <v>66</v>
      </c>
      <c r="B529" s="1" t="s">
        <v>197</v>
      </c>
      <c r="C529" s="2" t="s">
        <v>45</v>
      </c>
      <c r="D529" s="2" t="s">
        <v>198</v>
      </c>
      <c r="E529" s="3" t="str">
        <f t="shared" si="95"/>
        <v>https://oknesset.org/committee/meeting/14144/</v>
      </c>
    </row>
    <row r="530" ht="14.25" customHeight="1">
      <c r="A530" s="2" t="s">
        <v>156</v>
      </c>
      <c r="B530" s="1" t="s">
        <v>197</v>
      </c>
      <c r="C530" s="2" t="s">
        <v>52</v>
      </c>
      <c r="D530" s="2" t="s">
        <v>199</v>
      </c>
      <c r="E530" s="3" t="str">
        <f t="shared" ref="E530:E532" si="96">HYPERLINK("https://oknesset.org/committee/meeting/14253/","https://oknesset.org/committee/meeting/14253/")</f>
        <v>https://oknesset.org/committee/meeting/14253/</v>
      </c>
    </row>
    <row r="531" ht="14.25" customHeight="1">
      <c r="A531" s="2" t="s">
        <v>34</v>
      </c>
      <c r="B531" s="1" t="s">
        <v>197</v>
      </c>
      <c r="C531" s="2" t="s">
        <v>52</v>
      </c>
      <c r="D531" s="2" t="s">
        <v>199</v>
      </c>
      <c r="E531" s="3" t="str">
        <f t="shared" si="96"/>
        <v>https://oknesset.org/committee/meeting/14253/</v>
      </c>
    </row>
    <row r="532" ht="14.25" customHeight="1">
      <c r="A532" s="2" t="s">
        <v>126</v>
      </c>
      <c r="B532" s="1" t="s">
        <v>197</v>
      </c>
      <c r="C532" s="2" t="s">
        <v>52</v>
      </c>
      <c r="D532" s="2" t="s">
        <v>199</v>
      </c>
      <c r="E532" s="3" t="str">
        <f t="shared" si="96"/>
        <v>https://oknesset.org/committee/meeting/14253/</v>
      </c>
    </row>
    <row r="533" ht="14.25" customHeight="1">
      <c r="A533" s="2" t="s">
        <v>35</v>
      </c>
      <c r="B533" s="1" t="s">
        <v>197</v>
      </c>
      <c r="C533" s="2" t="s">
        <v>200</v>
      </c>
      <c r="D533" s="2" t="s">
        <v>201</v>
      </c>
      <c r="E533" s="3" t="str">
        <f>HYPERLINK("https://oknesset.org/committee/meeting/14337/","https://oknesset.org/committee/meeting/14337/")</f>
        <v>https://oknesset.org/committee/meeting/14337/</v>
      </c>
    </row>
    <row r="534" ht="14.25" customHeight="1">
      <c r="A534" s="2" t="s">
        <v>20</v>
      </c>
      <c r="B534" s="1" t="s">
        <v>197</v>
      </c>
      <c r="C534" s="2" t="s">
        <v>45</v>
      </c>
      <c r="D534" s="2" t="s">
        <v>198</v>
      </c>
      <c r="E534" s="3" t="str">
        <f>HYPERLINK("https://oknesset.org/committee/meeting/14143/","https://oknesset.org/committee/meeting/14143/")</f>
        <v>https://oknesset.org/committee/meeting/14143/</v>
      </c>
    </row>
    <row r="535" ht="14.25" customHeight="1">
      <c r="A535" s="2" t="s">
        <v>94</v>
      </c>
      <c r="B535" s="1" t="s">
        <v>202</v>
      </c>
      <c r="C535" s="2" t="s">
        <v>25</v>
      </c>
      <c r="D535" s="2" t="s">
        <v>203</v>
      </c>
      <c r="E535" s="3" t="str">
        <f>HYPERLINK("https://oknesset.org/committee/meeting/14283/","https://oknesset.org/committee/meeting/14283/")</f>
        <v>https://oknesset.org/committee/meeting/14283/</v>
      </c>
    </row>
    <row r="536" ht="14.25" customHeight="1">
      <c r="A536" s="2" t="s">
        <v>82</v>
      </c>
      <c r="B536" s="1" t="s">
        <v>202</v>
      </c>
      <c r="C536" s="2" t="s">
        <v>204</v>
      </c>
      <c r="D536" s="2" t="s">
        <v>205</v>
      </c>
      <c r="E536" s="3" t="str">
        <f t="shared" ref="E536:E538" si="97">HYPERLINK("https://oknesset.org/committee/meeting/14296/","https://oknesset.org/committee/meeting/14296/")</f>
        <v>https://oknesset.org/committee/meeting/14296/</v>
      </c>
    </row>
    <row r="537" ht="14.25" customHeight="1">
      <c r="A537" s="2" t="s">
        <v>85</v>
      </c>
      <c r="B537" s="1" t="s">
        <v>202</v>
      </c>
      <c r="C537" s="2" t="s">
        <v>204</v>
      </c>
      <c r="D537" s="2" t="s">
        <v>205</v>
      </c>
      <c r="E537" s="3" t="str">
        <f t="shared" si="97"/>
        <v>https://oknesset.org/committee/meeting/14296/</v>
      </c>
    </row>
    <row r="538" ht="14.25" customHeight="1">
      <c r="A538" s="2" t="s">
        <v>86</v>
      </c>
      <c r="B538" s="1" t="s">
        <v>202</v>
      </c>
      <c r="C538" s="2" t="s">
        <v>204</v>
      </c>
      <c r="D538" s="2" t="s">
        <v>205</v>
      </c>
      <c r="E538" s="3" t="str">
        <f t="shared" si="97"/>
        <v>https://oknesset.org/committee/meeting/14296/</v>
      </c>
    </row>
    <row r="539" ht="14.25" customHeight="1">
      <c r="A539" s="2" t="s">
        <v>44</v>
      </c>
      <c r="B539" s="1" t="s">
        <v>202</v>
      </c>
      <c r="C539" s="2" t="s">
        <v>29</v>
      </c>
      <c r="D539" s="2" t="s">
        <v>206</v>
      </c>
      <c r="E539" s="3" t="str">
        <f t="shared" ref="E539:E542" si="98">HYPERLINK("https://oknesset.org/committee/meeting/14034/","https://oknesset.org/committee/meeting/14034/")</f>
        <v>https://oknesset.org/committee/meeting/14034/</v>
      </c>
    </row>
    <row r="540" ht="14.25" customHeight="1">
      <c r="A540" s="2" t="s">
        <v>19</v>
      </c>
      <c r="B540" s="1" t="s">
        <v>202</v>
      </c>
      <c r="C540" s="2" t="s">
        <v>29</v>
      </c>
      <c r="D540" s="2" t="s">
        <v>206</v>
      </c>
      <c r="E540" s="3" t="str">
        <f t="shared" si="98"/>
        <v>https://oknesset.org/committee/meeting/14034/</v>
      </c>
    </row>
    <row r="541" ht="14.25" customHeight="1">
      <c r="A541" s="2" t="s">
        <v>20</v>
      </c>
      <c r="B541" s="1" t="s">
        <v>202</v>
      </c>
      <c r="C541" s="2" t="s">
        <v>29</v>
      </c>
      <c r="D541" s="2" t="s">
        <v>206</v>
      </c>
      <c r="E541" s="3" t="str">
        <f t="shared" si="98"/>
        <v>https://oknesset.org/committee/meeting/14034/</v>
      </c>
    </row>
    <row r="542" ht="14.25" customHeight="1">
      <c r="A542" s="2" t="s">
        <v>21</v>
      </c>
      <c r="B542" s="1" t="s">
        <v>202</v>
      </c>
      <c r="C542" s="2" t="s">
        <v>29</v>
      </c>
      <c r="D542" s="2" t="s">
        <v>206</v>
      </c>
      <c r="E542" s="3" t="str">
        <f t="shared" si="98"/>
        <v>https://oknesset.org/committee/meeting/14034/</v>
      </c>
    </row>
    <row r="543" ht="14.25" customHeight="1">
      <c r="A543" s="2" t="s">
        <v>66</v>
      </c>
      <c r="B543" s="1" t="s">
        <v>202</v>
      </c>
      <c r="C543" s="2" t="s">
        <v>154</v>
      </c>
      <c r="D543" s="2" t="s">
        <v>207</v>
      </c>
      <c r="E543" s="3" t="str">
        <f t="shared" ref="E543:E547" si="99">HYPERLINK("https://oknesset.org/committee/meeting/14310/","https://oknesset.org/committee/meeting/14310/")</f>
        <v>https://oknesset.org/committee/meeting/14310/</v>
      </c>
    </row>
    <row r="544" ht="14.25" customHeight="1">
      <c r="A544" s="2" t="s">
        <v>153</v>
      </c>
      <c r="B544" s="1" t="s">
        <v>202</v>
      </c>
      <c r="C544" s="2" t="s">
        <v>154</v>
      </c>
      <c r="D544" s="2" t="s">
        <v>207</v>
      </c>
      <c r="E544" s="3" t="str">
        <f t="shared" si="99"/>
        <v>https://oknesset.org/committee/meeting/14310/</v>
      </c>
    </row>
    <row r="545" ht="14.25" customHeight="1">
      <c r="A545" s="2" t="s">
        <v>67</v>
      </c>
      <c r="B545" s="1" t="s">
        <v>202</v>
      </c>
      <c r="C545" s="2" t="s">
        <v>154</v>
      </c>
      <c r="D545" s="2" t="s">
        <v>207</v>
      </c>
      <c r="E545" s="3" t="str">
        <f t="shared" si="99"/>
        <v>https://oknesset.org/committee/meeting/14310/</v>
      </c>
    </row>
    <row r="546" ht="14.25" customHeight="1">
      <c r="A546" s="2" t="s">
        <v>78</v>
      </c>
      <c r="B546" s="1" t="s">
        <v>202</v>
      </c>
      <c r="C546" s="2" t="s">
        <v>154</v>
      </c>
      <c r="D546" s="2" t="s">
        <v>207</v>
      </c>
      <c r="E546" s="3" t="str">
        <f t="shared" si="99"/>
        <v>https://oknesset.org/committee/meeting/14310/</v>
      </c>
    </row>
    <row r="547" ht="14.25" customHeight="1">
      <c r="A547" s="2" t="s">
        <v>79</v>
      </c>
      <c r="B547" s="1" t="s">
        <v>202</v>
      </c>
      <c r="C547" s="2" t="s">
        <v>154</v>
      </c>
      <c r="D547" s="2" t="s">
        <v>207</v>
      </c>
      <c r="E547" s="3" t="str">
        <f t="shared" si="99"/>
        <v>https://oknesset.org/committee/meeting/14310/</v>
      </c>
    </row>
    <row r="548" ht="14.25" customHeight="1">
      <c r="A548" s="2" t="s">
        <v>15</v>
      </c>
      <c r="B548" s="1" t="s">
        <v>202</v>
      </c>
      <c r="C548" s="2" t="s">
        <v>45</v>
      </c>
      <c r="D548" s="2" t="s">
        <v>208</v>
      </c>
      <c r="E548" s="3" t="str">
        <f>HYPERLINK("https://oknesset.org/committee/meeting/14141/","https://oknesset.org/committee/meeting/14141/")</f>
        <v>https://oknesset.org/committee/meeting/14141/</v>
      </c>
    </row>
    <row r="549" ht="14.25" customHeight="1">
      <c r="A549" s="2" t="s">
        <v>209</v>
      </c>
      <c r="B549" s="1" t="s">
        <v>202</v>
      </c>
      <c r="C549" s="2" t="s">
        <v>29</v>
      </c>
      <c r="D549" s="2" t="s">
        <v>206</v>
      </c>
      <c r="E549" s="3" t="str">
        <f>HYPERLINK("https://oknesset.org/committee/meeting/14034/","https://oknesset.org/committee/meeting/14034/")</f>
        <v>https://oknesset.org/committee/meeting/14034/</v>
      </c>
    </row>
    <row r="550" ht="14.25" customHeight="1">
      <c r="A550" s="2" t="s">
        <v>126</v>
      </c>
      <c r="B550" s="1" t="s">
        <v>202</v>
      </c>
      <c r="C550" s="2" t="s">
        <v>29</v>
      </c>
      <c r="D550" s="2" t="s">
        <v>210</v>
      </c>
      <c r="E550" s="3" t="str">
        <f t="shared" ref="E550:E551" si="100">HYPERLINK("https://oknesset.org/committee/meeting/14033/","https://oknesset.org/committee/meeting/14033/")</f>
        <v>https://oknesset.org/committee/meeting/14033/</v>
      </c>
    </row>
    <row r="551" ht="14.25" customHeight="1">
      <c r="A551" s="2" t="s">
        <v>5</v>
      </c>
      <c r="B551" s="1" t="s">
        <v>202</v>
      </c>
      <c r="C551" s="2" t="s">
        <v>29</v>
      </c>
      <c r="D551" s="2" t="s">
        <v>210</v>
      </c>
      <c r="E551" s="3" t="str">
        <f t="shared" si="100"/>
        <v>https://oknesset.org/committee/meeting/14033/</v>
      </c>
    </row>
    <row r="552" ht="14.25" customHeight="1">
      <c r="A552" s="2" t="s">
        <v>58</v>
      </c>
      <c r="B552" s="1" t="s">
        <v>202</v>
      </c>
      <c r="C552" s="2" t="s">
        <v>52</v>
      </c>
      <c r="D552" s="2" t="s">
        <v>211</v>
      </c>
      <c r="E552" s="3" t="str">
        <f t="shared" ref="E552:E557" si="101">HYPERLINK("https://oknesset.org/committee/meeting/14252/","https://oknesset.org/committee/meeting/14252/")</f>
        <v>https://oknesset.org/committee/meeting/14252/</v>
      </c>
    </row>
    <row r="553" ht="14.25" customHeight="1">
      <c r="A553" s="2" t="s">
        <v>106</v>
      </c>
      <c r="B553" s="1" t="s">
        <v>202</v>
      </c>
      <c r="C553" s="2" t="s">
        <v>52</v>
      </c>
      <c r="D553" s="2" t="s">
        <v>211</v>
      </c>
      <c r="E553" s="3" t="str">
        <f t="shared" si="101"/>
        <v>https://oknesset.org/committee/meeting/14252/</v>
      </c>
    </row>
    <row r="554" ht="14.25" customHeight="1">
      <c r="A554" s="2" t="s">
        <v>36</v>
      </c>
      <c r="B554" s="1" t="s">
        <v>202</v>
      </c>
      <c r="C554" s="2" t="s">
        <v>52</v>
      </c>
      <c r="D554" s="2" t="s">
        <v>211</v>
      </c>
      <c r="E554" s="3" t="str">
        <f t="shared" si="101"/>
        <v>https://oknesset.org/committee/meeting/14252/</v>
      </c>
    </row>
    <row r="555" ht="14.25" customHeight="1">
      <c r="A555" s="2" t="s">
        <v>74</v>
      </c>
      <c r="B555" s="1" t="s">
        <v>202</v>
      </c>
      <c r="C555" s="2" t="s">
        <v>52</v>
      </c>
      <c r="D555" s="2" t="s">
        <v>211</v>
      </c>
      <c r="E555" s="3" t="str">
        <f t="shared" si="101"/>
        <v>https://oknesset.org/committee/meeting/14252/</v>
      </c>
    </row>
    <row r="556" ht="14.25" customHeight="1">
      <c r="A556" s="2" t="s">
        <v>57</v>
      </c>
      <c r="B556" s="1" t="s">
        <v>202</v>
      </c>
      <c r="C556" s="2" t="s">
        <v>52</v>
      </c>
      <c r="D556" s="2" t="s">
        <v>211</v>
      </c>
      <c r="E556" s="3" t="str">
        <f t="shared" si="101"/>
        <v>https://oknesset.org/committee/meeting/14252/</v>
      </c>
    </row>
    <row r="557" ht="14.25" customHeight="1">
      <c r="A557" s="2" t="s">
        <v>34</v>
      </c>
      <c r="B557" s="1" t="s">
        <v>202</v>
      </c>
      <c r="C557" s="2" t="s">
        <v>52</v>
      </c>
      <c r="D557" s="2" t="s">
        <v>211</v>
      </c>
      <c r="E557" s="3" t="str">
        <f t="shared" si="101"/>
        <v>https://oknesset.org/committee/meeting/14252/</v>
      </c>
    </row>
    <row r="558" ht="14.25" customHeight="1">
      <c r="A558" s="2" t="s">
        <v>54</v>
      </c>
      <c r="B558" s="1" t="s">
        <v>202</v>
      </c>
      <c r="C558" s="2" t="s">
        <v>29</v>
      </c>
      <c r="D558" s="2" t="s">
        <v>210</v>
      </c>
      <c r="E558" s="3" t="str">
        <f t="shared" ref="E558:E566" si="102">HYPERLINK("https://oknesset.org/committee/meeting/14033/","https://oknesset.org/committee/meeting/14033/")</f>
        <v>https://oknesset.org/committee/meeting/14033/</v>
      </c>
    </row>
    <row r="559" ht="14.25" customHeight="1">
      <c r="A559" s="2" t="s">
        <v>11</v>
      </c>
      <c r="B559" s="1" t="s">
        <v>202</v>
      </c>
      <c r="C559" s="2" t="s">
        <v>29</v>
      </c>
      <c r="D559" s="2" t="s">
        <v>210</v>
      </c>
      <c r="E559" s="3" t="str">
        <f t="shared" si="102"/>
        <v>https://oknesset.org/committee/meeting/14033/</v>
      </c>
    </row>
    <row r="560" ht="14.25" customHeight="1">
      <c r="A560" s="2" t="s">
        <v>95</v>
      </c>
      <c r="B560" s="1" t="s">
        <v>202</v>
      </c>
      <c r="C560" s="2" t="s">
        <v>29</v>
      </c>
      <c r="D560" s="2" t="s">
        <v>210</v>
      </c>
      <c r="E560" s="3" t="str">
        <f t="shared" si="102"/>
        <v>https://oknesset.org/committee/meeting/14033/</v>
      </c>
    </row>
    <row r="561" ht="14.25" customHeight="1">
      <c r="A561" s="2" t="s">
        <v>13</v>
      </c>
      <c r="B561" s="1" t="s">
        <v>202</v>
      </c>
      <c r="C561" s="2" t="s">
        <v>29</v>
      </c>
      <c r="D561" s="2" t="s">
        <v>210</v>
      </c>
      <c r="E561" s="3" t="str">
        <f t="shared" si="102"/>
        <v>https://oknesset.org/committee/meeting/14033/</v>
      </c>
    </row>
    <row r="562" ht="14.25" customHeight="1">
      <c r="A562" s="2" t="s">
        <v>31</v>
      </c>
      <c r="B562" s="1" t="s">
        <v>202</v>
      </c>
      <c r="C562" s="2" t="s">
        <v>29</v>
      </c>
      <c r="D562" s="2" t="s">
        <v>210</v>
      </c>
      <c r="E562" s="3" t="str">
        <f t="shared" si="102"/>
        <v>https://oknesset.org/committee/meeting/14033/</v>
      </c>
    </row>
    <row r="563" ht="14.25" customHeight="1">
      <c r="A563" s="2" t="s">
        <v>97</v>
      </c>
      <c r="B563" s="1" t="s">
        <v>202</v>
      </c>
      <c r="C563" s="2" t="s">
        <v>29</v>
      </c>
      <c r="D563" s="2" t="s">
        <v>210</v>
      </c>
      <c r="E563" s="3" t="str">
        <f t="shared" si="102"/>
        <v>https://oknesset.org/committee/meeting/14033/</v>
      </c>
    </row>
    <row r="564" ht="14.25" customHeight="1">
      <c r="A564" s="2" t="s">
        <v>44</v>
      </c>
      <c r="B564" s="1" t="s">
        <v>202</v>
      </c>
      <c r="C564" s="2" t="s">
        <v>29</v>
      </c>
      <c r="D564" s="2" t="s">
        <v>210</v>
      </c>
      <c r="E564" s="3" t="str">
        <f t="shared" si="102"/>
        <v>https://oknesset.org/committee/meeting/14033/</v>
      </c>
    </row>
    <row r="565" ht="14.25" customHeight="1">
      <c r="A565" s="2" t="s">
        <v>19</v>
      </c>
      <c r="B565" s="1" t="s">
        <v>202</v>
      </c>
      <c r="C565" s="2" t="s">
        <v>29</v>
      </c>
      <c r="D565" s="2" t="s">
        <v>210</v>
      </c>
      <c r="E565" s="3" t="str">
        <f t="shared" si="102"/>
        <v>https://oknesset.org/committee/meeting/14033/</v>
      </c>
    </row>
    <row r="566" ht="14.25" customHeight="1">
      <c r="A566" s="2" t="s">
        <v>20</v>
      </c>
      <c r="B566" s="1" t="s">
        <v>202</v>
      </c>
      <c r="C566" s="2" t="s">
        <v>29</v>
      </c>
      <c r="D566" s="2" t="s">
        <v>210</v>
      </c>
      <c r="E566" s="3" t="str">
        <f t="shared" si="102"/>
        <v>https://oknesset.org/committee/meeting/14033/</v>
      </c>
    </row>
    <row r="567" ht="14.25" customHeight="1">
      <c r="A567" s="2" t="s">
        <v>79</v>
      </c>
      <c r="B567" s="1" t="s">
        <v>202</v>
      </c>
      <c r="C567" s="2" t="s">
        <v>29</v>
      </c>
      <c r="D567" s="2" t="s">
        <v>212</v>
      </c>
      <c r="E567" s="3" t="str">
        <f t="shared" ref="E567:E574" si="103">HYPERLINK("https://oknesset.org/committee/meeting/14035/","https://oknesset.org/committee/meeting/14035/")</f>
        <v>https://oknesset.org/committee/meeting/14035/</v>
      </c>
    </row>
    <row r="568" ht="14.25" customHeight="1">
      <c r="A568" s="2" t="s">
        <v>5</v>
      </c>
      <c r="B568" s="1" t="s">
        <v>202</v>
      </c>
      <c r="C568" s="2" t="s">
        <v>29</v>
      </c>
      <c r="D568" s="2" t="s">
        <v>212</v>
      </c>
      <c r="E568" s="3" t="str">
        <f t="shared" si="103"/>
        <v>https://oknesset.org/committee/meeting/14035/</v>
      </c>
    </row>
    <row r="569" ht="14.25" customHeight="1">
      <c r="A569" s="2" t="s">
        <v>10</v>
      </c>
      <c r="B569" s="1" t="s">
        <v>202</v>
      </c>
      <c r="C569" s="2" t="s">
        <v>29</v>
      </c>
      <c r="D569" s="2" t="s">
        <v>212</v>
      </c>
      <c r="E569" s="3" t="str">
        <f t="shared" si="103"/>
        <v>https://oknesset.org/committee/meeting/14035/</v>
      </c>
    </row>
    <row r="570" ht="14.25" customHeight="1">
      <c r="A570" s="2" t="s">
        <v>11</v>
      </c>
      <c r="B570" s="1" t="s">
        <v>202</v>
      </c>
      <c r="C570" s="2" t="s">
        <v>29</v>
      </c>
      <c r="D570" s="2" t="s">
        <v>212</v>
      </c>
      <c r="E570" s="3" t="str">
        <f t="shared" si="103"/>
        <v>https://oknesset.org/committee/meeting/14035/</v>
      </c>
    </row>
    <row r="571" ht="14.25" customHeight="1">
      <c r="A571" s="2" t="s">
        <v>95</v>
      </c>
      <c r="B571" s="1" t="s">
        <v>202</v>
      </c>
      <c r="C571" s="2" t="s">
        <v>29</v>
      </c>
      <c r="D571" s="2" t="s">
        <v>212</v>
      </c>
      <c r="E571" s="3" t="str">
        <f t="shared" si="103"/>
        <v>https://oknesset.org/committee/meeting/14035/</v>
      </c>
    </row>
    <row r="572" ht="14.25" customHeight="1">
      <c r="A572" s="2" t="s">
        <v>13</v>
      </c>
      <c r="B572" s="1" t="s">
        <v>202</v>
      </c>
      <c r="C572" s="2" t="s">
        <v>29</v>
      </c>
      <c r="D572" s="2" t="s">
        <v>212</v>
      </c>
      <c r="E572" s="3" t="str">
        <f t="shared" si="103"/>
        <v>https://oknesset.org/committee/meeting/14035/</v>
      </c>
    </row>
    <row r="573" ht="14.25" customHeight="1">
      <c r="A573" s="2" t="s">
        <v>72</v>
      </c>
      <c r="B573" s="1" t="s">
        <v>202</v>
      </c>
      <c r="C573" s="2" t="s">
        <v>29</v>
      </c>
      <c r="D573" s="2" t="s">
        <v>212</v>
      </c>
      <c r="E573" s="3" t="str">
        <f t="shared" si="103"/>
        <v>https://oknesset.org/committee/meeting/14035/</v>
      </c>
    </row>
    <row r="574" ht="14.25" customHeight="1">
      <c r="A574" s="2" t="s">
        <v>64</v>
      </c>
      <c r="B574" s="1" t="s">
        <v>202</v>
      </c>
      <c r="C574" s="2" t="s">
        <v>29</v>
      </c>
      <c r="D574" s="2" t="s">
        <v>212</v>
      </c>
      <c r="E574" s="3" t="str">
        <f t="shared" si="103"/>
        <v>https://oknesset.org/committee/meeting/14035/</v>
      </c>
    </row>
    <row r="575" ht="14.25" customHeight="1">
      <c r="A575" s="2" t="s">
        <v>44</v>
      </c>
      <c r="B575" s="1" t="s">
        <v>202</v>
      </c>
      <c r="C575" s="2" t="s">
        <v>42</v>
      </c>
      <c r="D575" s="2" t="s">
        <v>213</v>
      </c>
      <c r="E575" s="3" t="str">
        <f t="shared" ref="E575:E581" si="104">HYPERLINK("https://oknesset.org/committee/meeting/14362/","https://oknesset.org/committee/meeting/14362/")</f>
        <v>https://oknesset.org/committee/meeting/14362/</v>
      </c>
    </row>
    <row r="576" ht="14.25" customHeight="1">
      <c r="A576" s="2" t="s">
        <v>97</v>
      </c>
      <c r="B576" s="1" t="s">
        <v>202</v>
      </c>
      <c r="C576" s="2" t="s">
        <v>42</v>
      </c>
      <c r="D576" s="2" t="s">
        <v>213</v>
      </c>
      <c r="E576" s="3" t="str">
        <f t="shared" si="104"/>
        <v>https://oknesset.org/committee/meeting/14362/</v>
      </c>
    </row>
    <row r="577" ht="14.25" customHeight="1">
      <c r="A577" s="2" t="s">
        <v>101</v>
      </c>
      <c r="B577" s="1" t="s">
        <v>202</v>
      </c>
      <c r="C577" s="2" t="s">
        <v>42</v>
      </c>
      <c r="D577" s="2" t="s">
        <v>213</v>
      </c>
      <c r="E577" s="3" t="str">
        <f t="shared" si="104"/>
        <v>https://oknesset.org/committee/meeting/14362/</v>
      </c>
    </row>
    <row r="578" ht="14.25" customHeight="1">
      <c r="A578" s="2" t="s">
        <v>64</v>
      </c>
      <c r="B578" s="1" t="s">
        <v>202</v>
      </c>
      <c r="C578" s="2" t="s">
        <v>42</v>
      </c>
      <c r="D578" s="2" t="s">
        <v>213</v>
      </c>
      <c r="E578" s="3" t="str">
        <f t="shared" si="104"/>
        <v>https://oknesset.org/committee/meeting/14362/</v>
      </c>
    </row>
    <row r="579" ht="14.25" customHeight="1">
      <c r="A579" s="2" t="s">
        <v>114</v>
      </c>
      <c r="B579" s="1" t="s">
        <v>202</v>
      </c>
      <c r="C579" s="2" t="s">
        <v>42</v>
      </c>
      <c r="D579" s="2" t="s">
        <v>213</v>
      </c>
      <c r="E579" s="3" t="str">
        <f t="shared" si="104"/>
        <v>https://oknesset.org/committee/meeting/14362/</v>
      </c>
    </row>
    <row r="580" ht="14.25" customHeight="1">
      <c r="A580" s="2" t="s">
        <v>41</v>
      </c>
      <c r="B580" s="1" t="s">
        <v>202</v>
      </c>
      <c r="C580" s="2" t="s">
        <v>42</v>
      </c>
      <c r="D580" s="2" t="s">
        <v>213</v>
      </c>
      <c r="E580" s="3" t="str">
        <f t="shared" si="104"/>
        <v>https://oknesset.org/committee/meeting/14362/</v>
      </c>
    </row>
    <row r="581" ht="14.25" customHeight="1">
      <c r="A581" s="2" t="s">
        <v>126</v>
      </c>
      <c r="B581" s="1" t="s">
        <v>202</v>
      </c>
      <c r="C581" s="2" t="s">
        <v>42</v>
      </c>
      <c r="D581" s="2" t="s">
        <v>213</v>
      </c>
      <c r="E581" s="3" t="str">
        <f t="shared" si="104"/>
        <v>https://oknesset.org/committee/meeting/14362/</v>
      </c>
    </row>
    <row r="582" ht="14.25" customHeight="1">
      <c r="A582" s="2" t="s">
        <v>44</v>
      </c>
      <c r="B582" s="1" t="s">
        <v>202</v>
      </c>
      <c r="C582" s="2" t="s">
        <v>42</v>
      </c>
      <c r="D582" s="2" t="s">
        <v>214</v>
      </c>
      <c r="E582" s="3" t="str">
        <f t="shared" ref="E582:E583" si="105">HYPERLINK("https://oknesset.org/committee/meeting/14363/","https://oknesset.org/committee/meeting/14363/")</f>
        <v>https://oknesset.org/committee/meeting/14363/</v>
      </c>
    </row>
    <row r="583" ht="14.25" customHeight="1">
      <c r="A583" s="2" t="s">
        <v>41</v>
      </c>
      <c r="B583" s="1" t="s">
        <v>202</v>
      </c>
      <c r="C583" s="2" t="s">
        <v>42</v>
      </c>
      <c r="D583" s="2" t="s">
        <v>214</v>
      </c>
      <c r="E583" s="3" t="str">
        <f t="shared" si="105"/>
        <v>https://oknesset.org/committee/meeting/14363/</v>
      </c>
    </row>
    <row r="584" ht="14.25" customHeight="1">
      <c r="A584" s="2" t="s">
        <v>31</v>
      </c>
      <c r="B584" s="1" t="s">
        <v>202</v>
      </c>
      <c r="C584" s="2" t="s">
        <v>29</v>
      </c>
      <c r="D584" s="2" t="s">
        <v>212</v>
      </c>
      <c r="E584" s="3" t="str">
        <f t="shared" ref="E584:E588" si="106">HYPERLINK("https://oknesset.org/committee/meeting/14035/","https://oknesset.org/committee/meeting/14035/")</f>
        <v>https://oknesset.org/committee/meeting/14035/</v>
      </c>
    </row>
    <row r="585" ht="14.25" customHeight="1">
      <c r="A585" s="2" t="s">
        <v>88</v>
      </c>
      <c r="B585" s="1" t="s">
        <v>202</v>
      </c>
      <c r="C585" s="2" t="s">
        <v>29</v>
      </c>
      <c r="D585" s="2" t="s">
        <v>212</v>
      </c>
      <c r="E585" s="3" t="str">
        <f t="shared" si="106"/>
        <v>https://oknesset.org/committee/meeting/14035/</v>
      </c>
    </row>
    <row r="586" ht="14.25" customHeight="1">
      <c r="A586" s="2" t="s">
        <v>97</v>
      </c>
      <c r="B586" s="1" t="s">
        <v>202</v>
      </c>
      <c r="C586" s="2" t="s">
        <v>29</v>
      </c>
      <c r="D586" s="2" t="s">
        <v>212</v>
      </c>
      <c r="E586" s="3" t="str">
        <f t="shared" si="106"/>
        <v>https://oknesset.org/committee/meeting/14035/</v>
      </c>
    </row>
    <row r="587" ht="14.25" customHeight="1">
      <c r="A587" s="2" t="s">
        <v>28</v>
      </c>
      <c r="B587" s="1" t="s">
        <v>202</v>
      </c>
      <c r="C587" s="2" t="s">
        <v>29</v>
      </c>
      <c r="D587" s="2" t="s">
        <v>212</v>
      </c>
      <c r="E587" s="3" t="str">
        <f t="shared" si="106"/>
        <v>https://oknesset.org/committee/meeting/14035/</v>
      </c>
    </row>
    <row r="588" ht="14.25" customHeight="1">
      <c r="A588" s="2" t="s">
        <v>58</v>
      </c>
      <c r="B588" s="1" t="s">
        <v>202</v>
      </c>
      <c r="C588" s="2" t="s">
        <v>29</v>
      </c>
      <c r="D588" s="2" t="s">
        <v>212</v>
      </c>
      <c r="E588" s="3" t="str">
        <f t="shared" si="106"/>
        <v>https://oknesset.org/committee/meeting/14035/</v>
      </c>
    </row>
    <row r="589" ht="14.25" customHeight="1">
      <c r="A589" s="2" t="s">
        <v>62</v>
      </c>
      <c r="B589" s="1" t="s">
        <v>202</v>
      </c>
      <c r="C589" s="2" t="s">
        <v>70</v>
      </c>
      <c r="D589" s="2" t="s">
        <v>215</v>
      </c>
      <c r="E589" s="3" t="str">
        <f t="shared" ref="E589:E594" si="107">HYPERLINK("https://oknesset.org/committee/meeting/14090/","https://oknesset.org/committee/meeting/14090/")</f>
        <v>https://oknesset.org/committee/meeting/14090/</v>
      </c>
    </row>
    <row r="590" ht="14.25" customHeight="1">
      <c r="A590" s="2" t="s">
        <v>84</v>
      </c>
      <c r="B590" s="1" t="s">
        <v>202</v>
      </c>
      <c r="C590" s="2" t="s">
        <v>70</v>
      </c>
      <c r="D590" s="2" t="s">
        <v>215</v>
      </c>
      <c r="E590" s="3" t="str">
        <f t="shared" si="107"/>
        <v>https://oknesset.org/committee/meeting/14090/</v>
      </c>
    </row>
    <row r="591" ht="14.25" customHeight="1">
      <c r="A591" s="2" t="s">
        <v>107</v>
      </c>
      <c r="B591" s="1" t="s">
        <v>202</v>
      </c>
      <c r="C591" s="2" t="s">
        <v>70</v>
      </c>
      <c r="D591" s="2" t="s">
        <v>215</v>
      </c>
      <c r="E591" s="3" t="str">
        <f t="shared" si="107"/>
        <v>https://oknesset.org/committee/meeting/14090/</v>
      </c>
    </row>
    <row r="592" ht="14.25" customHeight="1">
      <c r="A592" s="2" t="s">
        <v>88</v>
      </c>
      <c r="B592" s="1" t="s">
        <v>202</v>
      </c>
      <c r="C592" s="2" t="s">
        <v>70</v>
      </c>
      <c r="D592" s="2" t="s">
        <v>215</v>
      </c>
      <c r="E592" s="3" t="str">
        <f t="shared" si="107"/>
        <v>https://oknesset.org/committee/meeting/14090/</v>
      </c>
    </row>
    <row r="593" ht="14.25" customHeight="1">
      <c r="A593" s="2" t="s">
        <v>104</v>
      </c>
      <c r="B593" s="1" t="s">
        <v>202</v>
      </c>
      <c r="C593" s="2" t="s">
        <v>70</v>
      </c>
      <c r="D593" s="2" t="s">
        <v>215</v>
      </c>
      <c r="E593" s="3" t="str">
        <f t="shared" si="107"/>
        <v>https://oknesset.org/committee/meeting/14090/</v>
      </c>
    </row>
    <row r="594" ht="14.25" customHeight="1">
      <c r="A594" s="2" t="s">
        <v>20</v>
      </c>
      <c r="B594" s="1" t="s">
        <v>202</v>
      </c>
      <c r="C594" s="2" t="s">
        <v>70</v>
      </c>
      <c r="D594" s="2" t="s">
        <v>215</v>
      </c>
      <c r="E594" s="3" t="str">
        <f t="shared" si="107"/>
        <v>https://oknesset.org/committee/meeting/14090/</v>
      </c>
    </row>
    <row r="595" ht="14.25" customHeight="1">
      <c r="A595" s="2" t="s">
        <v>32</v>
      </c>
      <c r="B595" s="1" t="s">
        <v>202</v>
      </c>
      <c r="C595" s="2" t="s">
        <v>48</v>
      </c>
      <c r="D595" s="2" t="s">
        <v>216</v>
      </c>
      <c r="E595" s="3" t="str">
        <f>HYPERLINK("https://oknesset.org/committee/meeting/14192/","https://oknesset.org/committee/meeting/14192/")</f>
        <v>https://oknesset.org/committee/meeting/14192/</v>
      </c>
    </row>
    <row r="596" ht="14.25" customHeight="1">
      <c r="A596" s="2" t="s">
        <v>15</v>
      </c>
      <c r="B596" s="1" t="s">
        <v>202</v>
      </c>
      <c r="C596" s="2" t="s">
        <v>45</v>
      </c>
      <c r="D596" s="2" t="s">
        <v>217</v>
      </c>
      <c r="E596" s="3" t="str">
        <f>HYPERLINK("https://oknesset.org/committee/meeting/14142/","https://oknesset.org/committee/meeting/14142/")</f>
        <v>https://oknesset.org/committee/meeting/14142/</v>
      </c>
    </row>
    <row r="597" ht="14.25" customHeight="1">
      <c r="A597" s="2" t="s">
        <v>118</v>
      </c>
      <c r="B597" s="1" t="s">
        <v>202</v>
      </c>
      <c r="C597" s="2" t="s">
        <v>25</v>
      </c>
      <c r="D597" s="2" t="s">
        <v>203</v>
      </c>
      <c r="E597" s="3" t="str">
        <f t="shared" ref="E597:E604" si="108">HYPERLINK("https://oknesset.org/committee/meeting/14283/","https://oknesset.org/committee/meeting/14283/")</f>
        <v>https://oknesset.org/committee/meeting/14283/</v>
      </c>
    </row>
    <row r="598" ht="14.25" customHeight="1">
      <c r="A598" s="2" t="s">
        <v>58</v>
      </c>
      <c r="B598" s="1" t="s">
        <v>202</v>
      </c>
      <c r="C598" s="2" t="s">
        <v>25</v>
      </c>
      <c r="D598" s="2" t="s">
        <v>203</v>
      </c>
      <c r="E598" s="3" t="str">
        <f t="shared" si="108"/>
        <v>https://oknesset.org/committee/meeting/14283/</v>
      </c>
    </row>
    <row r="599" ht="14.25" customHeight="1">
      <c r="A599" s="2" t="s">
        <v>28</v>
      </c>
      <c r="B599" s="1" t="s">
        <v>202</v>
      </c>
      <c r="C599" s="2" t="s">
        <v>25</v>
      </c>
      <c r="D599" s="2" t="s">
        <v>203</v>
      </c>
      <c r="E599" s="3" t="str">
        <f t="shared" si="108"/>
        <v>https://oknesset.org/committee/meeting/14283/</v>
      </c>
    </row>
    <row r="600" ht="14.25" customHeight="1">
      <c r="A600" s="2" t="s">
        <v>27</v>
      </c>
      <c r="B600" s="1" t="s">
        <v>202</v>
      </c>
      <c r="C600" s="2" t="s">
        <v>25</v>
      </c>
      <c r="D600" s="2" t="s">
        <v>203</v>
      </c>
      <c r="E600" s="3" t="str">
        <f t="shared" si="108"/>
        <v>https://oknesset.org/committee/meeting/14283/</v>
      </c>
    </row>
    <row r="601" ht="14.25" customHeight="1">
      <c r="A601" s="2" t="s">
        <v>14</v>
      </c>
      <c r="B601" s="1" t="s">
        <v>202</v>
      </c>
      <c r="C601" s="2" t="s">
        <v>25</v>
      </c>
      <c r="D601" s="2" t="s">
        <v>203</v>
      </c>
      <c r="E601" s="3" t="str">
        <f t="shared" si="108"/>
        <v>https://oknesset.org/committee/meeting/14283/</v>
      </c>
    </row>
    <row r="602" ht="14.25" customHeight="1">
      <c r="A602" s="2" t="s">
        <v>72</v>
      </c>
      <c r="B602" s="1" t="s">
        <v>202</v>
      </c>
      <c r="C602" s="2" t="s">
        <v>25</v>
      </c>
      <c r="D602" s="2" t="s">
        <v>203</v>
      </c>
      <c r="E602" s="3" t="str">
        <f t="shared" si="108"/>
        <v>https://oknesset.org/committee/meeting/14283/</v>
      </c>
    </row>
    <row r="603" ht="14.25" customHeight="1">
      <c r="A603" s="2" t="s">
        <v>76</v>
      </c>
      <c r="B603" s="1" t="s">
        <v>202</v>
      </c>
      <c r="C603" s="2" t="s">
        <v>25</v>
      </c>
      <c r="D603" s="2" t="s">
        <v>203</v>
      </c>
      <c r="E603" s="3" t="str">
        <f t="shared" si="108"/>
        <v>https://oknesset.org/committee/meeting/14283/</v>
      </c>
    </row>
    <row r="604" ht="14.25" customHeight="1">
      <c r="A604" s="2" t="s">
        <v>10</v>
      </c>
      <c r="B604" s="1" t="s">
        <v>202</v>
      </c>
      <c r="C604" s="2" t="s">
        <v>25</v>
      </c>
      <c r="D604" s="2" t="s">
        <v>203</v>
      </c>
      <c r="E604" s="3" t="str">
        <f t="shared" si="108"/>
        <v>https://oknesset.org/committee/meeting/14283/</v>
      </c>
    </row>
    <row r="605" ht="14.25" customHeight="1">
      <c r="A605" s="2" t="s">
        <v>21</v>
      </c>
      <c r="B605" s="1" t="s">
        <v>202</v>
      </c>
      <c r="C605" s="2" t="s">
        <v>29</v>
      </c>
      <c r="D605" s="2" t="s">
        <v>212</v>
      </c>
      <c r="E605" s="3" t="str">
        <f t="shared" ref="E605:E606" si="109">HYPERLINK("https://oknesset.org/committee/meeting/14035/","https://oknesset.org/committee/meeting/14035/")</f>
        <v>https://oknesset.org/committee/meeting/14035/</v>
      </c>
    </row>
    <row r="606" ht="14.25" customHeight="1">
      <c r="A606" s="2" t="s">
        <v>20</v>
      </c>
      <c r="B606" s="1" t="s">
        <v>202</v>
      </c>
      <c r="C606" s="2" t="s">
        <v>29</v>
      </c>
      <c r="D606" s="2" t="s">
        <v>212</v>
      </c>
      <c r="E606" s="3" t="str">
        <f t="shared" si="109"/>
        <v>https://oknesset.org/committee/meeting/14035/</v>
      </c>
    </row>
    <row r="607" ht="14.25" customHeight="1">
      <c r="A607" s="2" t="s">
        <v>126</v>
      </c>
      <c r="B607" s="1" t="s">
        <v>202</v>
      </c>
      <c r="C607" s="2" t="s">
        <v>29</v>
      </c>
      <c r="D607" s="2" t="s">
        <v>206</v>
      </c>
      <c r="E607" s="3" t="str">
        <f t="shared" ref="E607:E622" si="110">HYPERLINK("https://oknesset.org/committee/meeting/14034/","https://oknesset.org/committee/meeting/14034/")</f>
        <v>https://oknesset.org/committee/meeting/14034/</v>
      </c>
    </row>
    <row r="608" ht="14.25" customHeight="1">
      <c r="A608" s="2" t="s">
        <v>34</v>
      </c>
      <c r="B608" s="1" t="s">
        <v>202</v>
      </c>
      <c r="C608" s="2" t="s">
        <v>29</v>
      </c>
      <c r="D608" s="2" t="s">
        <v>206</v>
      </c>
      <c r="E608" s="3" t="str">
        <f t="shared" si="110"/>
        <v>https://oknesset.org/committee/meeting/14034/</v>
      </c>
    </row>
    <row r="609" ht="14.25" customHeight="1">
      <c r="A609" s="2" t="s">
        <v>5</v>
      </c>
      <c r="B609" s="1" t="s">
        <v>202</v>
      </c>
      <c r="C609" s="2" t="s">
        <v>29</v>
      </c>
      <c r="D609" s="2" t="s">
        <v>206</v>
      </c>
      <c r="E609" s="3" t="str">
        <f t="shared" si="110"/>
        <v>https://oknesset.org/committee/meeting/14034/</v>
      </c>
    </row>
    <row r="610" ht="14.25" customHeight="1">
      <c r="A610" s="2" t="s">
        <v>218</v>
      </c>
      <c r="B610" s="1" t="s">
        <v>202</v>
      </c>
      <c r="C610" s="2" t="s">
        <v>29</v>
      </c>
      <c r="D610" s="2" t="s">
        <v>206</v>
      </c>
      <c r="E610" s="3" t="str">
        <f t="shared" si="110"/>
        <v>https://oknesset.org/committee/meeting/14034/</v>
      </c>
    </row>
    <row r="611" ht="14.25" customHeight="1">
      <c r="A611" s="2" t="s">
        <v>54</v>
      </c>
      <c r="B611" s="1" t="s">
        <v>202</v>
      </c>
      <c r="C611" s="2" t="s">
        <v>29</v>
      </c>
      <c r="D611" s="2" t="s">
        <v>206</v>
      </c>
      <c r="E611" s="3" t="str">
        <f t="shared" si="110"/>
        <v>https://oknesset.org/committee/meeting/14034/</v>
      </c>
    </row>
    <row r="612" ht="14.25" customHeight="1">
      <c r="A612" s="2" t="s">
        <v>32</v>
      </c>
      <c r="B612" s="1" t="s">
        <v>202</v>
      </c>
      <c r="C612" s="2" t="s">
        <v>29</v>
      </c>
      <c r="D612" s="2" t="s">
        <v>206</v>
      </c>
      <c r="E612" s="3" t="str">
        <f t="shared" si="110"/>
        <v>https://oknesset.org/committee/meeting/14034/</v>
      </c>
    </row>
    <row r="613" ht="14.25" customHeight="1">
      <c r="A613" s="2" t="s">
        <v>11</v>
      </c>
      <c r="B613" s="1" t="s">
        <v>202</v>
      </c>
      <c r="C613" s="2" t="s">
        <v>29</v>
      </c>
      <c r="D613" s="2" t="s">
        <v>206</v>
      </c>
      <c r="E613" s="3" t="str">
        <f t="shared" si="110"/>
        <v>https://oknesset.org/committee/meeting/14034/</v>
      </c>
    </row>
    <row r="614" ht="14.25" customHeight="1">
      <c r="A614" s="2" t="s">
        <v>95</v>
      </c>
      <c r="B614" s="1" t="s">
        <v>202</v>
      </c>
      <c r="C614" s="2" t="s">
        <v>29</v>
      </c>
      <c r="D614" s="2" t="s">
        <v>206</v>
      </c>
      <c r="E614" s="3" t="str">
        <f t="shared" si="110"/>
        <v>https://oknesset.org/committee/meeting/14034/</v>
      </c>
    </row>
    <row r="615" ht="14.25" customHeight="1">
      <c r="A615" s="2" t="s">
        <v>13</v>
      </c>
      <c r="B615" s="1" t="s">
        <v>202</v>
      </c>
      <c r="C615" s="2" t="s">
        <v>29</v>
      </c>
      <c r="D615" s="2" t="s">
        <v>206</v>
      </c>
      <c r="E615" s="3" t="str">
        <f t="shared" si="110"/>
        <v>https://oknesset.org/committee/meeting/14034/</v>
      </c>
    </row>
    <row r="616" ht="14.25" customHeight="1">
      <c r="A616" s="2" t="s">
        <v>72</v>
      </c>
      <c r="B616" s="1" t="s">
        <v>202</v>
      </c>
      <c r="C616" s="2" t="s">
        <v>29</v>
      </c>
      <c r="D616" s="2" t="s">
        <v>206</v>
      </c>
      <c r="E616" s="3" t="str">
        <f t="shared" si="110"/>
        <v>https://oknesset.org/committee/meeting/14034/</v>
      </c>
    </row>
    <row r="617" ht="14.25" customHeight="1">
      <c r="A617" s="2" t="s">
        <v>62</v>
      </c>
      <c r="B617" s="1" t="s">
        <v>202</v>
      </c>
      <c r="C617" s="2" t="s">
        <v>29</v>
      </c>
      <c r="D617" s="2" t="s">
        <v>206</v>
      </c>
      <c r="E617" s="3" t="str">
        <f t="shared" si="110"/>
        <v>https://oknesset.org/committee/meeting/14034/</v>
      </c>
    </row>
    <row r="618" ht="14.25" customHeight="1">
      <c r="A618" s="2" t="s">
        <v>219</v>
      </c>
      <c r="B618" s="1" t="s">
        <v>202</v>
      </c>
      <c r="C618" s="2" t="s">
        <v>29</v>
      </c>
      <c r="D618" s="2" t="s">
        <v>206</v>
      </c>
      <c r="E618" s="3" t="str">
        <f t="shared" si="110"/>
        <v>https://oknesset.org/committee/meeting/14034/</v>
      </c>
    </row>
    <row r="619" ht="14.25" customHeight="1">
      <c r="A619" s="2" t="s">
        <v>31</v>
      </c>
      <c r="B619" s="1" t="s">
        <v>202</v>
      </c>
      <c r="C619" s="2" t="s">
        <v>29</v>
      </c>
      <c r="D619" s="2" t="s">
        <v>206</v>
      </c>
      <c r="E619" s="3" t="str">
        <f t="shared" si="110"/>
        <v>https://oknesset.org/committee/meeting/14034/</v>
      </c>
    </row>
    <row r="620" ht="14.25" customHeight="1">
      <c r="A620" s="2" t="s">
        <v>94</v>
      </c>
      <c r="B620" s="1" t="s">
        <v>202</v>
      </c>
      <c r="C620" s="2" t="s">
        <v>29</v>
      </c>
      <c r="D620" s="2" t="s">
        <v>206</v>
      </c>
      <c r="E620" s="3" t="str">
        <f t="shared" si="110"/>
        <v>https://oknesset.org/committee/meeting/14034/</v>
      </c>
    </row>
    <row r="621" ht="14.25" customHeight="1">
      <c r="A621" s="2" t="s">
        <v>97</v>
      </c>
      <c r="B621" s="1" t="s">
        <v>202</v>
      </c>
      <c r="C621" s="2" t="s">
        <v>29</v>
      </c>
      <c r="D621" s="2" t="s">
        <v>206</v>
      </c>
      <c r="E621" s="3" t="str">
        <f t="shared" si="110"/>
        <v>https://oknesset.org/committee/meeting/14034/</v>
      </c>
    </row>
    <row r="622" ht="14.25" customHeight="1">
      <c r="A622" s="2" t="s">
        <v>104</v>
      </c>
      <c r="B622" s="1" t="s">
        <v>202</v>
      </c>
      <c r="C622" s="2" t="s">
        <v>29</v>
      </c>
      <c r="D622" s="2" t="s">
        <v>206</v>
      </c>
      <c r="E622" s="3" t="str">
        <f t="shared" si="110"/>
        <v>https://oknesset.org/committee/meeting/14034/</v>
      </c>
    </row>
    <row r="623" ht="14.25" customHeight="1">
      <c r="A623" s="2" t="s">
        <v>85</v>
      </c>
      <c r="B623" s="1" t="s">
        <v>202</v>
      </c>
      <c r="C623" s="2" t="s">
        <v>48</v>
      </c>
      <c r="D623" s="2" t="s">
        <v>220</v>
      </c>
      <c r="E623" s="3" t="str">
        <f t="shared" ref="E623:E631" si="111">HYPERLINK("https://oknesset.org/committee/meeting/14191/","https://oknesset.org/committee/meeting/14191/")</f>
        <v>https://oknesset.org/committee/meeting/14191/</v>
      </c>
    </row>
    <row r="624" ht="14.25" customHeight="1">
      <c r="A624" s="2" t="s">
        <v>118</v>
      </c>
      <c r="B624" s="1" t="s">
        <v>202</v>
      </c>
      <c r="C624" s="2" t="s">
        <v>48</v>
      </c>
      <c r="D624" s="2" t="s">
        <v>220</v>
      </c>
      <c r="E624" s="3" t="str">
        <f t="shared" si="111"/>
        <v>https://oknesset.org/committee/meeting/14191/</v>
      </c>
    </row>
    <row r="625" ht="14.25" customHeight="1">
      <c r="A625" s="2" t="s">
        <v>21</v>
      </c>
      <c r="B625" s="1" t="s">
        <v>202</v>
      </c>
      <c r="C625" s="2" t="s">
        <v>48</v>
      </c>
      <c r="D625" s="2" t="s">
        <v>220</v>
      </c>
      <c r="E625" s="3" t="str">
        <f t="shared" si="111"/>
        <v>https://oknesset.org/committee/meeting/14191/</v>
      </c>
    </row>
    <row r="626" ht="14.25" customHeight="1">
      <c r="A626" s="2" t="s">
        <v>44</v>
      </c>
      <c r="B626" s="1" t="s">
        <v>202</v>
      </c>
      <c r="C626" s="2" t="s">
        <v>48</v>
      </c>
      <c r="D626" s="2" t="s">
        <v>220</v>
      </c>
      <c r="E626" s="3" t="str">
        <f t="shared" si="111"/>
        <v>https://oknesset.org/committee/meeting/14191/</v>
      </c>
    </row>
    <row r="627" ht="14.25" customHeight="1">
      <c r="A627" s="2" t="s">
        <v>64</v>
      </c>
      <c r="B627" s="1" t="s">
        <v>202</v>
      </c>
      <c r="C627" s="2" t="s">
        <v>48</v>
      </c>
      <c r="D627" s="2" t="s">
        <v>220</v>
      </c>
      <c r="E627" s="3" t="str">
        <f t="shared" si="111"/>
        <v>https://oknesset.org/committee/meeting/14191/</v>
      </c>
    </row>
    <row r="628" ht="14.25" customHeight="1">
      <c r="A628" s="2" t="s">
        <v>221</v>
      </c>
      <c r="B628" s="1" t="s">
        <v>202</v>
      </c>
      <c r="C628" s="2" t="s">
        <v>48</v>
      </c>
      <c r="D628" s="2" t="s">
        <v>220</v>
      </c>
      <c r="E628" s="3" t="str">
        <f t="shared" si="111"/>
        <v>https://oknesset.org/committee/meeting/14191/</v>
      </c>
    </row>
    <row r="629" ht="14.25" customHeight="1">
      <c r="A629" s="2" t="s">
        <v>32</v>
      </c>
      <c r="B629" s="1" t="s">
        <v>202</v>
      </c>
      <c r="C629" s="2" t="s">
        <v>48</v>
      </c>
      <c r="D629" s="2" t="s">
        <v>220</v>
      </c>
      <c r="E629" s="3" t="str">
        <f t="shared" si="111"/>
        <v>https://oknesset.org/committee/meeting/14191/</v>
      </c>
    </row>
    <row r="630" ht="14.25" customHeight="1">
      <c r="A630" s="2" t="s">
        <v>54</v>
      </c>
      <c r="B630" s="1" t="s">
        <v>202</v>
      </c>
      <c r="C630" s="2" t="s">
        <v>48</v>
      </c>
      <c r="D630" s="2" t="s">
        <v>220</v>
      </c>
      <c r="E630" s="3" t="str">
        <f t="shared" si="111"/>
        <v>https://oknesset.org/committee/meeting/14191/</v>
      </c>
    </row>
    <row r="631" ht="14.25" customHeight="1">
      <c r="A631" s="2" t="s">
        <v>5</v>
      </c>
      <c r="B631" s="1" t="s">
        <v>202</v>
      </c>
      <c r="C631" s="2" t="s">
        <v>48</v>
      </c>
      <c r="D631" s="2" t="s">
        <v>220</v>
      </c>
      <c r="E631" s="3" t="str">
        <f t="shared" si="111"/>
        <v>https://oknesset.org/committee/meeting/14191/</v>
      </c>
    </row>
    <row r="632" ht="14.25" customHeight="1">
      <c r="A632" s="2" t="s">
        <v>21</v>
      </c>
      <c r="B632" s="1" t="s">
        <v>202</v>
      </c>
      <c r="C632" s="2" t="s">
        <v>29</v>
      </c>
      <c r="D632" s="2" t="s">
        <v>210</v>
      </c>
      <c r="E632" s="3" t="str">
        <f>HYPERLINK("https://oknesset.org/committee/meeting/14033/","https://oknesset.org/committee/meeting/14033/")</f>
        <v>https://oknesset.org/committee/meeting/14033/</v>
      </c>
    </row>
    <row r="633" ht="14.25" customHeight="1">
      <c r="A633" s="2" t="s">
        <v>114</v>
      </c>
      <c r="B633" s="1" t="s">
        <v>222</v>
      </c>
      <c r="C633" s="2" t="s">
        <v>42</v>
      </c>
      <c r="D633" s="2" t="s">
        <v>223</v>
      </c>
      <c r="E633" s="3" t="str">
        <f t="shared" ref="E633:E634" si="112">HYPERLINK("https://oknesset.org/committee/meeting/14361/","https://oknesset.org/committee/meeting/14361/")</f>
        <v>https://oknesset.org/committee/meeting/14361/</v>
      </c>
    </row>
    <row r="634" ht="14.25" customHeight="1">
      <c r="A634" s="2" t="s">
        <v>41</v>
      </c>
      <c r="B634" s="1" t="s">
        <v>222</v>
      </c>
      <c r="C634" s="2" t="s">
        <v>42</v>
      </c>
      <c r="D634" s="2" t="s">
        <v>223</v>
      </c>
      <c r="E634" s="3" t="str">
        <f t="shared" si="112"/>
        <v>https://oknesset.org/committee/meeting/14361/</v>
      </c>
    </row>
    <row r="635" ht="14.25" customHeight="1">
      <c r="A635" s="2" t="s">
        <v>54</v>
      </c>
      <c r="B635" s="1" t="s">
        <v>224</v>
      </c>
      <c r="C635" s="2" t="s">
        <v>65</v>
      </c>
      <c r="D635" s="2" t="s">
        <v>225</v>
      </c>
      <c r="E635" s="3" t="str">
        <f t="shared" ref="E635:E638" si="113">HYPERLINK("https://oknesset.org/committee/meeting/14172/","https://oknesset.org/committee/meeting/14172/")</f>
        <v>https://oknesset.org/committee/meeting/14172/</v>
      </c>
    </row>
    <row r="636" ht="14.25" customHeight="1">
      <c r="A636" s="2" t="s">
        <v>16</v>
      </c>
      <c r="B636" s="1" t="s">
        <v>224</v>
      </c>
      <c r="C636" s="2" t="s">
        <v>65</v>
      </c>
      <c r="D636" s="2" t="s">
        <v>225</v>
      </c>
      <c r="E636" s="3" t="str">
        <f t="shared" si="113"/>
        <v>https://oknesset.org/committee/meeting/14172/</v>
      </c>
    </row>
    <row r="637" ht="14.25" customHeight="1">
      <c r="A637" s="2" t="s">
        <v>88</v>
      </c>
      <c r="B637" s="1" t="s">
        <v>224</v>
      </c>
      <c r="C637" s="2" t="s">
        <v>65</v>
      </c>
      <c r="D637" s="2" t="s">
        <v>225</v>
      </c>
      <c r="E637" s="3" t="str">
        <f t="shared" si="113"/>
        <v>https://oknesset.org/committee/meeting/14172/</v>
      </c>
    </row>
    <row r="638" ht="14.25" customHeight="1">
      <c r="A638" s="2" t="s">
        <v>97</v>
      </c>
      <c r="B638" s="1" t="s">
        <v>224</v>
      </c>
      <c r="C638" s="2" t="s">
        <v>65</v>
      </c>
      <c r="D638" s="2" t="s">
        <v>225</v>
      </c>
      <c r="E638" s="3" t="str">
        <f t="shared" si="113"/>
        <v>https://oknesset.org/committee/meeting/14172/</v>
      </c>
    </row>
    <row r="639" ht="14.25" customHeight="1">
      <c r="A639" s="2" t="s">
        <v>126</v>
      </c>
      <c r="B639" s="1" t="s">
        <v>224</v>
      </c>
      <c r="C639" s="2" t="s">
        <v>52</v>
      </c>
      <c r="D639" s="2" t="s">
        <v>162</v>
      </c>
      <c r="E639" s="3" t="str">
        <f t="shared" ref="E639:E640" si="114">HYPERLINK("https://oknesset.org/committee/meeting/14251/","https://oknesset.org/committee/meeting/14251/")</f>
        <v>https://oknesset.org/committee/meeting/14251/</v>
      </c>
    </row>
    <row r="640" ht="14.25" customHeight="1">
      <c r="A640" s="2" t="s">
        <v>34</v>
      </c>
      <c r="B640" s="1" t="s">
        <v>224</v>
      </c>
      <c r="C640" s="2" t="s">
        <v>52</v>
      </c>
      <c r="D640" s="2" t="s">
        <v>162</v>
      </c>
      <c r="E640" s="3" t="str">
        <f t="shared" si="114"/>
        <v>https://oknesset.org/committee/meeting/14251/</v>
      </c>
    </row>
    <row r="641" ht="14.25" customHeight="1">
      <c r="A641" s="2" t="s">
        <v>126</v>
      </c>
      <c r="B641" s="1" t="s">
        <v>224</v>
      </c>
      <c r="C641" s="2" t="s">
        <v>65</v>
      </c>
      <c r="D641" s="2" t="s">
        <v>225</v>
      </c>
      <c r="E641" s="3" t="str">
        <f t="shared" ref="E641:E642" si="115">HYPERLINK("https://oknesset.org/committee/meeting/14172/","https://oknesset.org/committee/meeting/14172/")</f>
        <v>https://oknesset.org/committee/meeting/14172/</v>
      </c>
    </row>
    <row r="642" ht="14.25" customHeight="1">
      <c r="A642" s="2" t="s">
        <v>35</v>
      </c>
      <c r="B642" s="1" t="s">
        <v>224</v>
      </c>
      <c r="C642" s="2" t="s">
        <v>65</v>
      </c>
      <c r="D642" s="2" t="s">
        <v>225</v>
      </c>
      <c r="E642" s="3" t="str">
        <f t="shared" si="115"/>
        <v>https://oknesset.org/committee/meeting/14172/</v>
      </c>
    </row>
    <row r="643" ht="14.25" customHeight="1">
      <c r="A643" s="2" t="s">
        <v>54</v>
      </c>
      <c r="B643" s="1" t="s">
        <v>224</v>
      </c>
      <c r="C643" s="2" t="s">
        <v>52</v>
      </c>
      <c r="D643" s="2" t="s">
        <v>162</v>
      </c>
      <c r="E643" s="3" t="str">
        <f t="shared" ref="E643:E644" si="116">HYPERLINK("https://oknesset.org/committee/meeting/14251/","https://oknesset.org/committee/meeting/14251/")</f>
        <v>https://oknesset.org/committee/meeting/14251/</v>
      </c>
    </row>
    <row r="644" ht="14.25" customHeight="1">
      <c r="A644" s="2" t="s">
        <v>11</v>
      </c>
      <c r="B644" s="1" t="s">
        <v>224</v>
      </c>
      <c r="C644" s="2" t="s">
        <v>52</v>
      </c>
      <c r="D644" s="2" t="s">
        <v>162</v>
      </c>
      <c r="E644" s="3" t="str">
        <f t="shared" si="116"/>
        <v>https://oknesset.org/committee/meeting/14251/</v>
      </c>
    </row>
    <row r="645" ht="14.25" customHeight="1">
      <c r="A645" s="2" t="s">
        <v>66</v>
      </c>
      <c r="B645" s="1" t="s">
        <v>224</v>
      </c>
      <c r="C645" s="2" t="s">
        <v>45</v>
      </c>
      <c r="D645" s="2" t="s">
        <v>226</v>
      </c>
      <c r="E645" s="3" t="str">
        <f>HYPERLINK("https://oknesset.org/committee/meeting/14140/","https://oknesset.org/committee/meeting/14140/")</f>
        <v>https://oknesset.org/committee/meeting/14140/</v>
      </c>
    </row>
    <row r="646" ht="14.25" customHeight="1">
      <c r="A646" s="2" t="s">
        <v>95</v>
      </c>
      <c r="B646" s="1" t="s">
        <v>224</v>
      </c>
      <c r="C646" s="2" t="s">
        <v>70</v>
      </c>
      <c r="D646" s="2" t="s">
        <v>227</v>
      </c>
      <c r="E646" s="3" t="str">
        <f t="shared" ref="E646:E647" si="117">HYPERLINK("https://oknesset.org/committee/meeting/14089/","https://oknesset.org/committee/meeting/14089/")</f>
        <v>https://oknesset.org/committee/meeting/14089/</v>
      </c>
    </row>
    <row r="647" ht="14.25" customHeight="1">
      <c r="A647" s="2" t="s">
        <v>13</v>
      </c>
      <c r="B647" s="1" t="s">
        <v>224</v>
      </c>
      <c r="C647" s="2" t="s">
        <v>70</v>
      </c>
      <c r="D647" s="2" t="s">
        <v>227</v>
      </c>
      <c r="E647" s="3" t="str">
        <f t="shared" si="117"/>
        <v>https://oknesset.org/committee/meeting/14089/</v>
      </c>
    </row>
    <row r="648" ht="14.25" customHeight="1">
      <c r="A648" s="2" t="s">
        <v>35</v>
      </c>
      <c r="B648" s="1" t="s">
        <v>224</v>
      </c>
      <c r="C648" s="2" t="s">
        <v>200</v>
      </c>
      <c r="D648" s="2" t="s">
        <v>228</v>
      </c>
      <c r="E648" s="3" t="str">
        <f t="shared" ref="E648:E649" si="118">HYPERLINK("https://oknesset.org/committee/meeting/14336/","https://oknesset.org/committee/meeting/14336/")</f>
        <v>https://oknesset.org/committee/meeting/14336/</v>
      </c>
    </row>
    <row r="649" ht="14.25" customHeight="1">
      <c r="A649" s="2" t="s">
        <v>47</v>
      </c>
      <c r="B649" s="1" t="s">
        <v>224</v>
      </c>
      <c r="C649" s="2" t="s">
        <v>200</v>
      </c>
      <c r="D649" s="2" t="s">
        <v>228</v>
      </c>
      <c r="E649" s="3" t="str">
        <f t="shared" si="118"/>
        <v>https://oknesset.org/committee/meeting/14336/</v>
      </c>
    </row>
    <row r="650" ht="14.25" customHeight="1">
      <c r="A650" s="2" t="s">
        <v>127</v>
      </c>
      <c r="B650" s="1" t="s">
        <v>224</v>
      </c>
      <c r="C650" s="2" t="s">
        <v>159</v>
      </c>
      <c r="D650" s="2" t="s">
        <v>229</v>
      </c>
      <c r="E650" s="3" t="str">
        <f>HYPERLINK("https://oknesset.org/committee/meeting/14334/","https://oknesset.org/committee/meeting/14334/")</f>
        <v>https://oknesset.org/committee/meeting/14334/</v>
      </c>
    </row>
    <row r="651" ht="14.25" customHeight="1">
      <c r="A651" s="2" t="s">
        <v>20</v>
      </c>
      <c r="B651" s="1" t="s">
        <v>224</v>
      </c>
      <c r="C651" s="2" t="s">
        <v>45</v>
      </c>
      <c r="D651" s="2" t="s">
        <v>226</v>
      </c>
      <c r="E651" s="3" t="str">
        <f>HYPERLINK("https://oknesset.org/committee/meeting/14140/","https://oknesset.org/committee/meeting/14140/")</f>
        <v>https://oknesset.org/committee/meeting/14140/</v>
      </c>
    </row>
    <row r="652" ht="14.25" customHeight="1">
      <c r="A652" s="2" t="s">
        <v>134</v>
      </c>
      <c r="B652" s="1" t="s">
        <v>224</v>
      </c>
      <c r="C652" s="2" t="s">
        <v>48</v>
      </c>
      <c r="D652" s="2" t="s">
        <v>230</v>
      </c>
      <c r="E652" s="3" t="str">
        <f>HYPERLINK("https://oknesset.org/committee/meeting/14187/","https://oknesset.org/committee/meeting/14187/")</f>
        <v>https://oknesset.org/committee/meeting/14187/</v>
      </c>
    </row>
    <row r="653" ht="14.25" customHeight="1">
      <c r="A653" s="2" t="s">
        <v>10</v>
      </c>
      <c r="B653" s="1" t="s">
        <v>224</v>
      </c>
      <c r="C653" s="2" t="s">
        <v>48</v>
      </c>
      <c r="D653" s="2" t="s">
        <v>225</v>
      </c>
      <c r="E653" s="3" t="str">
        <f t="shared" ref="E653:E655" si="119">HYPERLINK("https://oknesset.org/committee/meeting/14189/","https://oknesset.org/committee/meeting/14189/")</f>
        <v>https://oknesset.org/committee/meeting/14189/</v>
      </c>
    </row>
    <row r="654" ht="14.25" customHeight="1">
      <c r="A654" s="2" t="s">
        <v>126</v>
      </c>
      <c r="B654" s="1" t="s">
        <v>224</v>
      </c>
      <c r="C654" s="2" t="s">
        <v>48</v>
      </c>
      <c r="D654" s="2" t="s">
        <v>225</v>
      </c>
      <c r="E654" s="3" t="str">
        <f t="shared" si="119"/>
        <v>https://oknesset.org/committee/meeting/14189/</v>
      </c>
    </row>
    <row r="655" ht="14.25" customHeight="1">
      <c r="A655" s="2" t="s">
        <v>35</v>
      </c>
      <c r="B655" s="1" t="s">
        <v>224</v>
      </c>
      <c r="C655" s="2" t="s">
        <v>48</v>
      </c>
      <c r="D655" s="2" t="s">
        <v>225</v>
      </c>
      <c r="E655" s="3" t="str">
        <f t="shared" si="119"/>
        <v>https://oknesset.org/committee/meeting/14189/</v>
      </c>
    </row>
    <row r="656" ht="14.25" customHeight="1">
      <c r="A656" s="2" t="s">
        <v>57</v>
      </c>
      <c r="B656" s="1" t="s">
        <v>224</v>
      </c>
      <c r="C656" s="2" t="s">
        <v>48</v>
      </c>
      <c r="D656" s="2" t="s">
        <v>231</v>
      </c>
      <c r="E656" s="3" t="str">
        <f t="shared" ref="E656:E657" si="120">HYPERLINK("https://oknesset.org/committee/meeting/14190/","https://oknesset.org/committee/meeting/14190/")</f>
        <v>https://oknesset.org/committee/meeting/14190/</v>
      </c>
    </row>
    <row r="657" ht="14.25" customHeight="1">
      <c r="A657" s="2" t="s">
        <v>23</v>
      </c>
      <c r="B657" s="1" t="s">
        <v>224</v>
      </c>
      <c r="C657" s="2" t="s">
        <v>48</v>
      </c>
      <c r="D657" s="2" t="s">
        <v>231</v>
      </c>
      <c r="E657" s="3" t="str">
        <f t="shared" si="120"/>
        <v>https://oknesset.org/committee/meeting/14190/</v>
      </c>
    </row>
    <row r="658" ht="14.25" customHeight="1">
      <c r="A658" s="2" t="s">
        <v>104</v>
      </c>
      <c r="B658" s="1" t="s">
        <v>224</v>
      </c>
      <c r="C658" s="2" t="s">
        <v>70</v>
      </c>
      <c r="D658" s="2" t="s">
        <v>227</v>
      </c>
      <c r="E658" s="3" t="str">
        <f>HYPERLINK("https://oknesset.org/committee/meeting/14089/","https://oknesset.org/committee/meeting/14089/")</f>
        <v>https://oknesset.org/committee/meeting/14089/</v>
      </c>
    </row>
    <row r="659" ht="14.25" customHeight="1">
      <c r="A659" s="2" t="s">
        <v>34</v>
      </c>
      <c r="B659" s="1" t="s">
        <v>224</v>
      </c>
      <c r="C659" s="2" t="s">
        <v>70</v>
      </c>
      <c r="D659" s="2" t="s">
        <v>232</v>
      </c>
      <c r="E659" s="3" t="str">
        <f t="shared" ref="E659:E660" si="121">HYPERLINK("https://oknesset.org/committee/meeting/14088/","https://oknesset.org/committee/meeting/14088/")</f>
        <v>https://oknesset.org/committee/meeting/14088/</v>
      </c>
    </row>
    <row r="660" ht="14.25" customHeight="1">
      <c r="A660" s="2" t="s">
        <v>80</v>
      </c>
      <c r="B660" s="1" t="s">
        <v>224</v>
      </c>
      <c r="C660" s="2" t="s">
        <v>70</v>
      </c>
      <c r="D660" s="2" t="s">
        <v>232</v>
      </c>
      <c r="E660" s="3" t="str">
        <f t="shared" si="121"/>
        <v>https://oknesset.org/committee/meeting/14088/</v>
      </c>
    </row>
    <row r="661" ht="14.25" customHeight="1">
      <c r="A661" s="2" t="s">
        <v>44</v>
      </c>
      <c r="B661" s="1" t="s">
        <v>224</v>
      </c>
      <c r="C661" s="2" t="s">
        <v>45</v>
      </c>
      <c r="D661" s="2" t="s">
        <v>226</v>
      </c>
      <c r="E661" s="3" t="str">
        <f t="shared" ref="E661:E662" si="122">HYPERLINK("https://oknesset.org/committee/meeting/14140/","https://oknesset.org/committee/meeting/14140/")</f>
        <v>https://oknesset.org/committee/meeting/14140/</v>
      </c>
    </row>
    <row r="662" ht="14.25" customHeight="1">
      <c r="A662" s="2" t="s">
        <v>84</v>
      </c>
      <c r="B662" s="1" t="s">
        <v>224</v>
      </c>
      <c r="C662" s="2" t="s">
        <v>45</v>
      </c>
      <c r="D662" s="2" t="s">
        <v>226</v>
      </c>
      <c r="E662" s="3" t="str">
        <f t="shared" si="122"/>
        <v>https://oknesset.org/committee/meeting/14140/</v>
      </c>
    </row>
    <row r="663" ht="14.25" customHeight="1">
      <c r="A663" s="2" t="s">
        <v>31</v>
      </c>
      <c r="B663" s="1" t="s">
        <v>224</v>
      </c>
      <c r="C663" s="2" t="s">
        <v>186</v>
      </c>
      <c r="D663" s="2" t="s">
        <v>233</v>
      </c>
      <c r="E663" s="3" t="str">
        <f>HYPERLINK("https://oknesset.org/committee/meeting/14329/","https://oknesset.org/committee/meeting/14329/")</f>
        <v>https://oknesset.org/committee/meeting/14329/</v>
      </c>
    </row>
    <row r="664" ht="14.25" customHeight="1">
      <c r="A664" s="2" t="s">
        <v>34</v>
      </c>
      <c r="B664" s="1" t="s">
        <v>224</v>
      </c>
      <c r="C664" s="2" t="s">
        <v>157</v>
      </c>
      <c r="D664" s="2" t="s">
        <v>234</v>
      </c>
      <c r="E664" s="3" t="str">
        <f t="shared" ref="E664:E667" si="123">HYPERLINK("https://oknesset.org/committee/meeting/14322/","https://oknesset.org/committee/meeting/14322/")</f>
        <v>https://oknesset.org/committee/meeting/14322/</v>
      </c>
    </row>
    <row r="665" ht="14.25" customHeight="1">
      <c r="A665" s="2" t="s">
        <v>86</v>
      </c>
      <c r="B665" s="1" t="s">
        <v>224</v>
      </c>
      <c r="C665" s="2" t="s">
        <v>157</v>
      </c>
      <c r="D665" s="2" t="s">
        <v>234</v>
      </c>
      <c r="E665" s="3" t="str">
        <f t="shared" si="123"/>
        <v>https://oknesset.org/committee/meeting/14322/</v>
      </c>
    </row>
    <row r="666" ht="14.25" customHeight="1">
      <c r="A666" s="2" t="s">
        <v>94</v>
      </c>
      <c r="B666" s="1" t="s">
        <v>224</v>
      </c>
      <c r="C666" s="2" t="s">
        <v>157</v>
      </c>
      <c r="D666" s="2" t="s">
        <v>234</v>
      </c>
      <c r="E666" s="3" t="str">
        <f t="shared" si="123"/>
        <v>https://oknesset.org/committee/meeting/14322/</v>
      </c>
    </row>
    <row r="667" ht="14.25" customHeight="1">
      <c r="A667" s="2" t="s">
        <v>28</v>
      </c>
      <c r="B667" s="1" t="s">
        <v>224</v>
      </c>
      <c r="C667" s="2" t="s">
        <v>157</v>
      </c>
      <c r="D667" s="2" t="s">
        <v>234</v>
      </c>
      <c r="E667" s="3" t="str">
        <f t="shared" si="123"/>
        <v>https://oknesset.org/committee/meeting/14322/</v>
      </c>
    </row>
    <row r="668" ht="14.25" customHeight="1">
      <c r="A668" s="2" t="s">
        <v>61</v>
      </c>
      <c r="B668" s="1" t="s">
        <v>224</v>
      </c>
      <c r="C668" s="2" t="s">
        <v>70</v>
      </c>
      <c r="D668" s="2" t="s">
        <v>232</v>
      </c>
      <c r="E668" s="3" t="str">
        <f t="shared" ref="E668:E679" si="124">HYPERLINK("https://oknesset.org/committee/meeting/14088/","https://oknesset.org/committee/meeting/14088/")</f>
        <v>https://oknesset.org/committee/meeting/14088/</v>
      </c>
    </row>
    <row r="669" ht="14.25" customHeight="1">
      <c r="A669" s="2" t="s">
        <v>62</v>
      </c>
      <c r="B669" s="1" t="s">
        <v>224</v>
      </c>
      <c r="C669" s="2" t="s">
        <v>70</v>
      </c>
      <c r="D669" s="2" t="s">
        <v>232</v>
      </c>
      <c r="E669" s="3" t="str">
        <f t="shared" si="124"/>
        <v>https://oknesset.org/committee/meeting/14088/</v>
      </c>
    </row>
    <row r="670" ht="14.25" customHeight="1">
      <c r="A670" s="2" t="s">
        <v>16</v>
      </c>
      <c r="B670" s="1" t="s">
        <v>224</v>
      </c>
      <c r="C670" s="2" t="s">
        <v>70</v>
      </c>
      <c r="D670" s="2" t="s">
        <v>232</v>
      </c>
      <c r="E670" s="3" t="str">
        <f t="shared" si="124"/>
        <v>https://oknesset.org/committee/meeting/14088/</v>
      </c>
    </row>
    <row r="671" ht="14.25" customHeight="1">
      <c r="A671" s="2" t="s">
        <v>101</v>
      </c>
      <c r="B671" s="1" t="s">
        <v>224</v>
      </c>
      <c r="C671" s="2" t="s">
        <v>70</v>
      </c>
      <c r="D671" s="2" t="s">
        <v>232</v>
      </c>
      <c r="E671" s="3" t="str">
        <f t="shared" si="124"/>
        <v>https://oknesset.org/committee/meeting/14088/</v>
      </c>
    </row>
    <row r="672" ht="14.25" customHeight="1">
      <c r="A672" s="2" t="s">
        <v>107</v>
      </c>
      <c r="B672" s="1" t="s">
        <v>224</v>
      </c>
      <c r="C672" s="2" t="s">
        <v>70</v>
      </c>
      <c r="D672" s="2" t="s">
        <v>232</v>
      </c>
      <c r="E672" s="3" t="str">
        <f t="shared" si="124"/>
        <v>https://oknesset.org/committee/meeting/14088/</v>
      </c>
    </row>
    <row r="673" ht="14.25" customHeight="1">
      <c r="A673" s="2" t="s">
        <v>106</v>
      </c>
      <c r="B673" s="1" t="s">
        <v>224</v>
      </c>
      <c r="C673" s="2" t="s">
        <v>70</v>
      </c>
      <c r="D673" s="2" t="s">
        <v>232</v>
      </c>
      <c r="E673" s="3" t="str">
        <f t="shared" si="124"/>
        <v>https://oknesset.org/committee/meeting/14088/</v>
      </c>
    </row>
    <row r="674" ht="14.25" customHeight="1">
      <c r="A674" s="2" t="s">
        <v>40</v>
      </c>
      <c r="B674" s="1" t="s">
        <v>224</v>
      </c>
      <c r="C674" s="2" t="s">
        <v>70</v>
      </c>
      <c r="D674" s="2" t="s">
        <v>232</v>
      </c>
      <c r="E674" s="3" t="str">
        <f t="shared" si="124"/>
        <v>https://oknesset.org/committee/meeting/14088/</v>
      </c>
    </row>
    <row r="675" ht="14.25" customHeight="1">
      <c r="A675" s="2" t="s">
        <v>88</v>
      </c>
      <c r="B675" s="1" t="s">
        <v>224</v>
      </c>
      <c r="C675" s="2" t="s">
        <v>70</v>
      </c>
      <c r="D675" s="2" t="s">
        <v>232</v>
      </c>
      <c r="E675" s="3" t="str">
        <f t="shared" si="124"/>
        <v>https://oknesset.org/committee/meeting/14088/</v>
      </c>
    </row>
    <row r="676" ht="14.25" customHeight="1">
      <c r="A676" s="2" t="s">
        <v>104</v>
      </c>
      <c r="B676" s="1" t="s">
        <v>224</v>
      </c>
      <c r="C676" s="2" t="s">
        <v>70</v>
      </c>
      <c r="D676" s="2" t="s">
        <v>232</v>
      </c>
      <c r="E676" s="3" t="str">
        <f t="shared" si="124"/>
        <v>https://oknesset.org/committee/meeting/14088/</v>
      </c>
    </row>
    <row r="677" ht="14.25" customHeight="1">
      <c r="A677" s="2" t="s">
        <v>109</v>
      </c>
      <c r="B677" s="1" t="s">
        <v>224</v>
      </c>
      <c r="C677" s="2" t="s">
        <v>70</v>
      </c>
      <c r="D677" s="2" t="s">
        <v>232</v>
      </c>
      <c r="E677" s="3" t="str">
        <f t="shared" si="124"/>
        <v>https://oknesset.org/committee/meeting/14088/</v>
      </c>
    </row>
    <row r="678" ht="14.25" customHeight="1">
      <c r="A678" s="2" t="s">
        <v>28</v>
      </c>
      <c r="B678" s="1" t="s">
        <v>224</v>
      </c>
      <c r="C678" s="2" t="s">
        <v>70</v>
      </c>
      <c r="D678" s="2" t="s">
        <v>232</v>
      </c>
      <c r="E678" s="3" t="str">
        <f t="shared" si="124"/>
        <v>https://oknesset.org/committee/meeting/14088/</v>
      </c>
    </row>
    <row r="679" ht="14.25" customHeight="1">
      <c r="A679" s="2" t="s">
        <v>95</v>
      </c>
      <c r="B679" s="1" t="s">
        <v>224</v>
      </c>
      <c r="C679" s="2" t="s">
        <v>70</v>
      </c>
      <c r="D679" s="2" t="s">
        <v>232</v>
      </c>
      <c r="E679" s="3" t="str">
        <f t="shared" si="124"/>
        <v>https://oknesset.org/committee/meeting/14088/</v>
      </c>
    </row>
    <row r="680" ht="14.25" customHeight="1">
      <c r="A680" s="2" t="s">
        <v>73</v>
      </c>
      <c r="B680" s="1" t="s">
        <v>224</v>
      </c>
      <c r="C680" s="2" t="s">
        <v>235</v>
      </c>
      <c r="D680" s="2" t="s">
        <v>236</v>
      </c>
      <c r="E680" s="3" t="str">
        <f t="shared" ref="E680:E687" si="125">HYPERLINK("https://oknesset.org/committee/meeting/14423/","https://oknesset.org/committee/meeting/14423/")</f>
        <v>https://oknesset.org/committee/meeting/14423/</v>
      </c>
    </row>
    <row r="681" ht="14.25" customHeight="1">
      <c r="A681" s="2" t="s">
        <v>11</v>
      </c>
      <c r="B681" s="1" t="s">
        <v>224</v>
      </c>
      <c r="C681" s="2" t="s">
        <v>235</v>
      </c>
      <c r="D681" s="2" t="s">
        <v>236</v>
      </c>
      <c r="E681" s="3" t="str">
        <f t="shared" si="125"/>
        <v>https://oknesset.org/committee/meeting/14423/</v>
      </c>
    </row>
    <row r="682" ht="14.25" customHeight="1">
      <c r="A682" s="2" t="s">
        <v>54</v>
      </c>
      <c r="B682" s="1" t="s">
        <v>224</v>
      </c>
      <c r="C682" s="2" t="s">
        <v>235</v>
      </c>
      <c r="D682" s="2" t="s">
        <v>236</v>
      </c>
      <c r="E682" s="3" t="str">
        <f t="shared" si="125"/>
        <v>https://oknesset.org/committee/meeting/14423/</v>
      </c>
    </row>
    <row r="683" ht="14.25" customHeight="1">
      <c r="A683" s="2" t="s">
        <v>121</v>
      </c>
      <c r="B683" s="1" t="s">
        <v>224</v>
      </c>
      <c r="C683" s="2" t="s">
        <v>235</v>
      </c>
      <c r="D683" s="2" t="s">
        <v>236</v>
      </c>
      <c r="E683" s="3" t="str">
        <f t="shared" si="125"/>
        <v>https://oknesset.org/committee/meeting/14423/</v>
      </c>
    </row>
    <row r="684" ht="14.25" customHeight="1">
      <c r="A684" s="2" t="s">
        <v>9</v>
      </c>
      <c r="B684" s="1" t="s">
        <v>224</v>
      </c>
      <c r="C684" s="2" t="s">
        <v>235</v>
      </c>
      <c r="D684" s="2" t="s">
        <v>236</v>
      </c>
      <c r="E684" s="3" t="str">
        <f t="shared" si="125"/>
        <v>https://oknesset.org/committee/meeting/14423/</v>
      </c>
    </row>
    <row r="685" ht="14.25" customHeight="1">
      <c r="A685" s="2" t="s">
        <v>237</v>
      </c>
      <c r="B685" s="1" t="s">
        <v>224</v>
      </c>
      <c r="C685" s="2" t="s">
        <v>235</v>
      </c>
      <c r="D685" s="2" t="s">
        <v>236</v>
      </c>
      <c r="E685" s="3" t="str">
        <f t="shared" si="125"/>
        <v>https://oknesset.org/committee/meeting/14423/</v>
      </c>
    </row>
    <row r="686" ht="14.25" customHeight="1">
      <c r="A686" s="2" t="s">
        <v>5</v>
      </c>
      <c r="B686" s="1" t="s">
        <v>224</v>
      </c>
      <c r="C686" s="2" t="s">
        <v>235</v>
      </c>
      <c r="D686" s="2" t="s">
        <v>236</v>
      </c>
      <c r="E686" s="3" t="str">
        <f t="shared" si="125"/>
        <v>https://oknesset.org/committee/meeting/14423/</v>
      </c>
    </row>
    <row r="687" ht="14.25" customHeight="1">
      <c r="A687" s="2" t="s">
        <v>80</v>
      </c>
      <c r="B687" s="1" t="s">
        <v>224</v>
      </c>
      <c r="C687" s="2" t="s">
        <v>235</v>
      </c>
      <c r="D687" s="2" t="s">
        <v>236</v>
      </c>
      <c r="E687" s="3" t="str">
        <f t="shared" si="125"/>
        <v>https://oknesset.org/committee/meeting/14423/</v>
      </c>
    </row>
    <row r="688" ht="14.25" customHeight="1">
      <c r="A688" s="2" t="s">
        <v>62</v>
      </c>
      <c r="B688" s="1" t="s">
        <v>224</v>
      </c>
      <c r="C688" s="2" t="s">
        <v>45</v>
      </c>
      <c r="D688" s="2" t="s">
        <v>226</v>
      </c>
      <c r="E688" s="3" t="str">
        <f t="shared" ref="E688:E691" si="126">HYPERLINK("https://oknesset.org/committee/meeting/14140/","https://oknesset.org/committee/meeting/14140/")</f>
        <v>https://oknesset.org/committee/meeting/14140/</v>
      </c>
    </row>
    <row r="689" ht="14.25" customHeight="1">
      <c r="A689" s="2" t="s">
        <v>9</v>
      </c>
      <c r="B689" s="1" t="s">
        <v>224</v>
      </c>
      <c r="C689" s="2" t="s">
        <v>45</v>
      </c>
      <c r="D689" s="2" t="s">
        <v>226</v>
      </c>
      <c r="E689" s="3" t="str">
        <f t="shared" si="126"/>
        <v>https://oknesset.org/committee/meeting/14140/</v>
      </c>
    </row>
    <row r="690" ht="14.25" customHeight="1">
      <c r="A690" s="2" t="s">
        <v>61</v>
      </c>
      <c r="B690" s="1" t="s">
        <v>224</v>
      </c>
      <c r="C690" s="2" t="s">
        <v>45</v>
      </c>
      <c r="D690" s="2" t="s">
        <v>226</v>
      </c>
      <c r="E690" s="3" t="str">
        <f t="shared" si="126"/>
        <v>https://oknesset.org/committee/meeting/14140/</v>
      </c>
    </row>
    <row r="691" ht="14.25" customHeight="1">
      <c r="A691" s="2" t="s">
        <v>126</v>
      </c>
      <c r="B691" s="1" t="s">
        <v>224</v>
      </c>
      <c r="C691" s="2" t="s">
        <v>45</v>
      </c>
      <c r="D691" s="2" t="s">
        <v>226</v>
      </c>
      <c r="E691" s="3" t="str">
        <f t="shared" si="126"/>
        <v>https://oknesset.org/committee/meeting/14140/</v>
      </c>
    </row>
    <row r="692" ht="14.25" customHeight="1">
      <c r="A692" s="2" t="s">
        <v>36</v>
      </c>
      <c r="B692" s="1" t="s">
        <v>224</v>
      </c>
      <c r="C692" s="2" t="s">
        <v>52</v>
      </c>
      <c r="D692" s="2" t="s">
        <v>162</v>
      </c>
      <c r="E692" s="3" t="str">
        <f>HYPERLINK("https://oknesset.org/committee/meeting/14251/","https://oknesset.org/committee/meeting/14251/")</f>
        <v>https://oknesset.org/committee/meeting/14251/</v>
      </c>
    </row>
    <row r="693" ht="14.25" customHeight="1">
      <c r="A693" s="2" t="s">
        <v>32</v>
      </c>
      <c r="B693" s="1" t="s">
        <v>224</v>
      </c>
      <c r="C693" s="2" t="s">
        <v>48</v>
      </c>
      <c r="D693" s="2" t="s">
        <v>231</v>
      </c>
      <c r="E693" s="3" t="str">
        <f>HYPERLINK("https://oknesset.org/committee/meeting/14190/","https://oknesset.org/committee/meeting/14190/")</f>
        <v>https://oknesset.org/committee/meeting/14190/</v>
      </c>
    </row>
    <row r="694" ht="14.25" customHeight="1">
      <c r="A694" s="2" t="s">
        <v>57</v>
      </c>
      <c r="B694" s="1" t="s">
        <v>224</v>
      </c>
      <c r="C694" s="2" t="s">
        <v>48</v>
      </c>
      <c r="D694" s="2" t="s">
        <v>238</v>
      </c>
      <c r="E694" s="3" t="str">
        <f>HYPERLINK("https://oknesset.org/committee/meeting/14188/","https://oknesset.org/committee/meeting/14188/")</f>
        <v>https://oknesset.org/committee/meeting/14188/</v>
      </c>
    </row>
    <row r="695" ht="14.25" customHeight="1">
      <c r="A695" s="2" t="s">
        <v>15</v>
      </c>
      <c r="B695" s="1" t="s">
        <v>224</v>
      </c>
      <c r="C695" s="2" t="s">
        <v>235</v>
      </c>
      <c r="D695" s="2" t="s">
        <v>236</v>
      </c>
      <c r="E695" s="3" t="str">
        <f t="shared" ref="E695:E697" si="127">HYPERLINK("https://oknesset.org/committee/meeting/14423/","https://oknesset.org/committee/meeting/14423/")</f>
        <v>https://oknesset.org/committee/meeting/14423/</v>
      </c>
    </row>
    <row r="696" ht="14.25" customHeight="1">
      <c r="A696" s="2" t="s">
        <v>83</v>
      </c>
      <c r="B696" s="1" t="s">
        <v>224</v>
      </c>
      <c r="C696" s="2" t="s">
        <v>235</v>
      </c>
      <c r="D696" s="2" t="s">
        <v>236</v>
      </c>
      <c r="E696" s="3" t="str">
        <f t="shared" si="127"/>
        <v>https://oknesset.org/committee/meeting/14423/</v>
      </c>
    </row>
    <row r="697" ht="14.25" customHeight="1">
      <c r="A697" s="2" t="s">
        <v>44</v>
      </c>
      <c r="B697" s="1" t="s">
        <v>224</v>
      </c>
      <c r="C697" s="2" t="s">
        <v>235</v>
      </c>
      <c r="D697" s="2" t="s">
        <v>236</v>
      </c>
      <c r="E697" s="3" t="str">
        <f t="shared" si="127"/>
        <v>https://oknesset.org/committee/meeting/14423/</v>
      </c>
    </row>
    <row r="698" ht="14.25" customHeight="1">
      <c r="A698" s="2" t="s">
        <v>61</v>
      </c>
      <c r="B698" s="1" t="s">
        <v>224</v>
      </c>
      <c r="C698" s="2" t="s">
        <v>48</v>
      </c>
      <c r="D698" s="2" t="s">
        <v>231</v>
      </c>
      <c r="E698" s="3" t="str">
        <f>HYPERLINK("https://oknesset.org/committee/meeting/14190/","https://oknesset.org/committee/meeting/14190/")</f>
        <v>https://oknesset.org/committee/meeting/14190/</v>
      </c>
    </row>
    <row r="699" ht="14.25" customHeight="1">
      <c r="A699" s="2" t="s">
        <v>27</v>
      </c>
      <c r="B699" s="1" t="s">
        <v>224</v>
      </c>
      <c r="C699" s="2" t="s">
        <v>25</v>
      </c>
      <c r="D699" s="2" t="s">
        <v>239</v>
      </c>
      <c r="E699" s="3" t="str">
        <f t="shared" ref="E699:E700" si="128">HYPERLINK("https://oknesset.org/committee/meeting/14281/","https://oknesset.org/committee/meeting/14281/")</f>
        <v>https://oknesset.org/committee/meeting/14281/</v>
      </c>
    </row>
    <row r="700" ht="14.25" customHeight="1">
      <c r="A700" s="2" t="s">
        <v>14</v>
      </c>
      <c r="B700" s="1" t="s">
        <v>224</v>
      </c>
      <c r="C700" s="2" t="s">
        <v>25</v>
      </c>
      <c r="D700" s="2" t="s">
        <v>239</v>
      </c>
      <c r="E700" s="3" t="str">
        <f t="shared" si="128"/>
        <v>https://oknesset.org/committee/meeting/14281/</v>
      </c>
    </row>
    <row r="701" ht="14.25" customHeight="1">
      <c r="A701" s="2" t="s">
        <v>50</v>
      </c>
      <c r="B701" s="1" t="s">
        <v>224</v>
      </c>
      <c r="C701" s="2" t="s">
        <v>25</v>
      </c>
      <c r="D701" s="2" t="s">
        <v>240</v>
      </c>
      <c r="E701" s="3" t="str">
        <f t="shared" ref="E701:E711" si="129">HYPERLINK("https://oknesset.org/committee/meeting/14282/","https://oknesset.org/committee/meeting/14282/")</f>
        <v>https://oknesset.org/committee/meeting/14282/</v>
      </c>
    </row>
    <row r="702" ht="14.25" customHeight="1">
      <c r="A702" s="2" t="s">
        <v>28</v>
      </c>
      <c r="B702" s="1" t="s">
        <v>224</v>
      </c>
      <c r="C702" s="2" t="s">
        <v>25</v>
      </c>
      <c r="D702" s="2" t="s">
        <v>240</v>
      </c>
      <c r="E702" s="3" t="str">
        <f t="shared" si="129"/>
        <v>https://oknesset.org/committee/meeting/14282/</v>
      </c>
    </row>
    <row r="703" ht="14.25" customHeight="1">
      <c r="A703" s="2" t="s">
        <v>17</v>
      </c>
      <c r="B703" s="1" t="s">
        <v>224</v>
      </c>
      <c r="C703" s="2" t="s">
        <v>25</v>
      </c>
      <c r="D703" s="2" t="s">
        <v>240</v>
      </c>
      <c r="E703" s="3" t="str">
        <f t="shared" si="129"/>
        <v>https://oknesset.org/committee/meeting/14282/</v>
      </c>
    </row>
    <row r="704" ht="14.25" customHeight="1">
      <c r="A704" s="2" t="s">
        <v>88</v>
      </c>
      <c r="B704" s="1" t="s">
        <v>224</v>
      </c>
      <c r="C704" s="2" t="s">
        <v>25</v>
      </c>
      <c r="D704" s="2" t="s">
        <v>240</v>
      </c>
      <c r="E704" s="3" t="str">
        <f t="shared" si="129"/>
        <v>https://oknesset.org/committee/meeting/14282/</v>
      </c>
    </row>
    <row r="705" ht="14.25" customHeight="1">
      <c r="A705" s="2" t="s">
        <v>115</v>
      </c>
      <c r="B705" s="1" t="s">
        <v>224</v>
      </c>
      <c r="C705" s="2" t="s">
        <v>25</v>
      </c>
      <c r="D705" s="2" t="s">
        <v>240</v>
      </c>
      <c r="E705" s="3" t="str">
        <f t="shared" si="129"/>
        <v>https://oknesset.org/committee/meeting/14282/</v>
      </c>
    </row>
    <row r="706" ht="14.25" customHeight="1">
      <c r="A706" s="2" t="s">
        <v>27</v>
      </c>
      <c r="B706" s="1" t="s">
        <v>224</v>
      </c>
      <c r="C706" s="2" t="s">
        <v>25</v>
      </c>
      <c r="D706" s="2" t="s">
        <v>240</v>
      </c>
      <c r="E706" s="3" t="str">
        <f t="shared" si="129"/>
        <v>https://oknesset.org/committee/meeting/14282/</v>
      </c>
    </row>
    <row r="707" ht="14.25" customHeight="1">
      <c r="A707" s="2" t="s">
        <v>62</v>
      </c>
      <c r="B707" s="1" t="s">
        <v>224</v>
      </c>
      <c r="C707" s="2" t="s">
        <v>25</v>
      </c>
      <c r="D707" s="2" t="s">
        <v>240</v>
      </c>
      <c r="E707" s="3" t="str">
        <f t="shared" si="129"/>
        <v>https://oknesset.org/committee/meeting/14282/</v>
      </c>
    </row>
    <row r="708" ht="14.25" customHeight="1">
      <c r="A708" s="2" t="s">
        <v>95</v>
      </c>
      <c r="B708" s="1" t="s">
        <v>224</v>
      </c>
      <c r="C708" s="2" t="s">
        <v>25</v>
      </c>
      <c r="D708" s="2" t="s">
        <v>240</v>
      </c>
      <c r="E708" s="3" t="str">
        <f t="shared" si="129"/>
        <v>https://oknesset.org/committee/meeting/14282/</v>
      </c>
    </row>
    <row r="709" ht="14.25" customHeight="1">
      <c r="A709" s="2" t="s">
        <v>86</v>
      </c>
      <c r="B709" s="1" t="s">
        <v>224</v>
      </c>
      <c r="C709" s="2" t="s">
        <v>25</v>
      </c>
      <c r="D709" s="2" t="s">
        <v>240</v>
      </c>
      <c r="E709" s="3" t="str">
        <f t="shared" si="129"/>
        <v>https://oknesset.org/committee/meeting/14282/</v>
      </c>
    </row>
    <row r="710" ht="14.25" customHeight="1">
      <c r="A710" s="2" t="s">
        <v>10</v>
      </c>
      <c r="B710" s="1" t="s">
        <v>224</v>
      </c>
      <c r="C710" s="2" t="s">
        <v>25</v>
      </c>
      <c r="D710" s="2" t="s">
        <v>240</v>
      </c>
      <c r="E710" s="3" t="str">
        <f t="shared" si="129"/>
        <v>https://oknesset.org/committee/meeting/14282/</v>
      </c>
    </row>
    <row r="711" ht="14.25" customHeight="1">
      <c r="A711" s="2" t="s">
        <v>61</v>
      </c>
      <c r="B711" s="1" t="s">
        <v>224</v>
      </c>
      <c r="C711" s="2" t="s">
        <v>25</v>
      </c>
      <c r="D711" s="2" t="s">
        <v>240</v>
      </c>
      <c r="E711" s="3" t="str">
        <f t="shared" si="129"/>
        <v>https://oknesset.org/committee/meeting/14282/</v>
      </c>
    </row>
    <row r="712" ht="14.25" customHeight="1">
      <c r="A712" s="2" t="s">
        <v>32</v>
      </c>
      <c r="B712" s="1" t="s">
        <v>224</v>
      </c>
      <c r="C712" s="2" t="s">
        <v>48</v>
      </c>
      <c r="D712" s="2" t="s">
        <v>230</v>
      </c>
      <c r="E712" s="3" t="str">
        <f t="shared" ref="E712:E714" si="130">HYPERLINK("https://oknesset.org/committee/meeting/14187/","https://oknesset.org/committee/meeting/14187/")</f>
        <v>https://oknesset.org/committee/meeting/14187/</v>
      </c>
    </row>
    <row r="713" ht="14.25" customHeight="1">
      <c r="A713" s="2" t="s">
        <v>67</v>
      </c>
      <c r="B713" s="1" t="s">
        <v>224</v>
      </c>
      <c r="C713" s="2" t="s">
        <v>48</v>
      </c>
      <c r="D713" s="2" t="s">
        <v>230</v>
      </c>
      <c r="E713" s="3" t="str">
        <f t="shared" si="130"/>
        <v>https://oknesset.org/committee/meeting/14187/</v>
      </c>
    </row>
    <row r="714" ht="14.25" customHeight="1">
      <c r="A714" s="2" t="s">
        <v>221</v>
      </c>
      <c r="B714" s="1" t="s">
        <v>224</v>
      </c>
      <c r="C714" s="2" t="s">
        <v>48</v>
      </c>
      <c r="D714" s="2" t="s">
        <v>230</v>
      </c>
      <c r="E714" s="3" t="str">
        <f t="shared" si="130"/>
        <v>https://oknesset.org/committee/meeting/14187/</v>
      </c>
    </row>
    <row r="715" ht="14.25" customHeight="1">
      <c r="A715" s="2" t="s">
        <v>107</v>
      </c>
      <c r="B715" s="1" t="s">
        <v>224</v>
      </c>
      <c r="C715" s="2" t="s">
        <v>241</v>
      </c>
      <c r="D715" s="2" t="s">
        <v>242</v>
      </c>
      <c r="E715" s="3" t="str">
        <f>HYPERLINK("https://oknesset.org/committee/meeting/14427/","https://oknesset.org/committee/meeting/14427/")</f>
        <v>https://oknesset.org/committee/meeting/14427/</v>
      </c>
    </row>
    <row r="716" ht="14.25" customHeight="1">
      <c r="A716" s="2" t="s">
        <v>44</v>
      </c>
      <c r="B716" s="1" t="s">
        <v>224</v>
      </c>
      <c r="C716" s="2" t="s">
        <v>48</v>
      </c>
      <c r="D716" s="2" t="s">
        <v>230</v>
      </c>
      <c r="E716" s="3" t="str">
        <f t="shared" ref="E716:E720" si="131">HYPERLINK("https://oknesset.org/committee/meeting/14187/","https://oknesset.org/committee/meeting/14187/")</f>
        <v>https://oknesset.org/committee/meeting/14187/</v>
      </c>
    </row>
    <row r="717" ht="14.25" customHeight="1">
      <c r="A717" s="2" t="s">
        <v>66</v>
      </c>
      <c r="B717" s="1" t="s">
        <v>224</v>
      </c>
      <c r="C717" s="2" t="s">
        <v>48</v>
      </c>
      <c r="D717" s="2" t="s">
        <v>230</v>
      </c>
      <c r="E717" s="3" t="str">
        <f t="shared" si="131"/>
        <v>https://oknesset.org/committee/meeting/14187/</v>
      </c>
    </row>
    <row r="718" ht="14.25" customHeight="1">
      <c r="A718" s="2" t="s">
        <v>58</v>
      </c>
      <c r="B718" s="1" t="s">
        <v>224</v>
      </c>
      <c r="C718" s="2" t="s">
        <v>48</v>
      </c>
      <c r="D718" s="2" t="s">
        <v>230</v>
      </c>
      <c r="E718" s="3" t="str">
        <f t="shared" si="131"/>
        <v>https://oknesset.org/committee/meeting/14187/</v>
      </c>
    </row>
    <row r="719" ht="14.25" customHeight="1">
      <c r="A719" s="2" t="s">
        <v>50</v>
      </c>
      <c r="B719" s="1" t="s">
        <v>224</v>
      </c>
      <c r="C719" s="2" t="s">
        <v>48</v>
      </c>
      <c r="D719" s="2" t="s">
        <v>230</v>
      </c>
      <c r="E719" s="3" t="str">
        <f t="shared" si="131"/>
        <v>https://oknesset.org/committee/meeting/14187/</v>
      </c>
    </row>
    <row r="720" ht="14.25" customHeight="1">
      <c r="A720" s="2" t="s">
        <v>39</v>
      </c>
      <c r="B720" s="1" t="s">
        <v>224</v>
      </c>
      <c r="C720" s="2" t="s">
        <v>48</v>
      </c>
      <c r="D720" s="2" t="s">
        <v>230</v>
      </c>
      <c r="E720" s="3" t="str">
        <f t="shared" si="131"/>
        <v>https://oknesset.org/committee/meeting/14187/</v>
      </c>
    </row>
    <row r="721" ht="14.25" customHeight="1">
      <c r="A721" s="2" t="s">
        <v>97</v>
      </c>
      <c r="B721" s="1" t="s">
        <v>224</v>
      </c>
      <c r="C721" s="2" t="s">
        <v>52</v>
      </c>
      <c r="D721" s="2" t="s">
        <v>162</v>
      </c>
      <c r="E721" s="3" t="str">
        <f t="shared" ref="E721:E724" si="132">HYPERLINK("https://oknesset.org/committee/meeting/14251/","https://oknesset.org/committee/meeting/14251/")</f>
        <v>https://oknesset.org/committee/meeting/14251/</v>
      </c>
    </row>
    <row r="722" ht="14.25" customHeight="1">
      <c r="A722" s="2" t="s">
        <v>17</v>
      </c>
      <c r="B722" s="1" t="s">
        <v>224</v>
      </c>
      <c r="C722" s="2" t="s">
        <v>52</v>
      </c>
      <c r="D722" s="2" t="s">
        <v>162</v>
      </c>
      <c r="E722" s="3" t="str">
        <f t="shared" si="132"/>
        <v>https://oknesset.org/committee/meeting/14251/</v>
      </c>
    </row>
    <row r="723" ht="14.25" customHeight="1">
      <c r="A723" s="2" t="s">
        <v>117</v>
      </c>
      <c r="B723" s="1" t="s">
        <v>224</v>
      </c>
      <c r="C723" s="2" t="s">
        <v>52</v>
      </c>
      <c r="D723" s="2" t="s">
        <v>162</v>
      </c>
      <c r="E723" s="3" t="str">
        <f t="shared" si="132"/>
        <v>https://oknesset.org/committee/meeting/14251/</v>
      </c>
    </row>
    <row r="724" ht="14.25" customHeight="1">
      <c r="A724" s="2" t="s">
        <v>20</v>
      </c>
      <c r="B724" s="1" t="s">
        <v>224</v>
      </c>
      <c r="C724" s="2" t="s">
        <v>52</v>
      </c>
      <c r="D724" s="2" t="s">
        <v>162</v>
      </c>
      <c r="E724" s="3" t="str">
        <f t="shared" si="132"/>
        <v>https://oknesset.org/committee/meeting/14251/</v>
      </c>
    </row>
    <row r="725" ht="14.25" customHeight="1">
      <c r="A725" s="2" t="s">
        <v>130</v>
      </c>
      <c r="B725" s="1" t="s">
        <v>224</v>
      </c>
      <c r="C725" s="2" t="s">
        <v>65</v>
      </c>
      <c r="D725" s="2" t="s">
        <v>225</v>
      </c>
      <c r="E725" s="3" t="str">
        <f>HYPERLINK("https://oknesset.org/committee/meeting/14172/","https://oknesset.org/committee/meeting/14172/")</f>
        <v>https://oknesset.org/committee/meeting/14172/</v>
      </c>
    </row>
    <row r="726" ht="14.25" customHeight="1">
      <c r="A726" s="2" t="s">
        <v>56</v>
      </c>
      <c r="B726" s="1" t="s">
        <v>224</v>
      </c>
      <c r="C726" s="2" t="s">
        <v>154</v>
      </c>
      <c r="D726" s="2" t="s">
        <v>243</v>
      </c>
      <c r="E726" s="3" t="str">
        <f t="shared" ref="E726:E730" si="133">HYPERLINK("https://oknesset.org/committee/meeting/14309/","https://oknesset.org/committee/meeting/14309/")</f>
        <v>https://oknesset.org/committee/meeting/14309/</v>
      </c>
    </row>
    <row r="727" ht="14.25" customHeight="1">
      <c r="A727" s="2" t="s">
        <v>36</v>
      </c>
      <c r="B727" s="1" t="s">
        <v>224</v>
      </c>
      <c r="C727" s="2" t="s">
        <v>154</v>
      </c>
      <c r="D727" s="2" t="s">
        <v>243</v>
      </c>
      <c r="E727" s="3" t="str">
        <f t="shared" si="133"/>
        <v>https://oknesset.org/committee/meeting/14309/</v>
      </c>
    </row>
    <row r="728" ht="14.25" customHeight="1">
      <c r="A728" s="2" t="s">
        <v>68</v>
      </c>
      <c r="B728" s="1" t="s">
        <v>224</v>
      </c>
      <c r="C728" s="2" t="s">
        <v>154</v>
      </c>
      <c r="D728" s="2" t="s">
        <v>243</v>
      </c>
      <c r="E728" s="3" t="str">
        <f t="shared" si="133"/>
        <v>https://oknesset.org/committee/meeting/14309/</v>
      </c>
    </row>
    <row r="729" ht="14.25" customHeight="1">
      <c r="A729" s="2" t="s">
        <v>117</v>
      </c>
      <c r="B729" s="1" t="s">
        <v>224</v>
      </c>
      <c r="C729" s="2" t="s">
        <v>154</v>
      </c>
      <c r="D729" s="2" t="s">
        <v>243</v>
      </c>
      <c r="E729" s="3" t="str">
        <f t="shared" si="133"/>
        <v>https://oknesset.org/committee/meeting/14309/</v>
      </c>
    </row>
    <row r="730" ht="14.25" customHeight="1">
      <c r="A730" s="2" t="s">
        <v>170</v>
      </c>
      <c r="B730" s="1" t="s">
        <v>224</v>
      </c>
      <c r="C730" s="2" t="s">
        <v>154</v>
      </c>
      <c r="D730" s="2" t="s">
        <v>243</v>
      </c>
      <c r="E730" s="3" t="str">
        <f t="shared" si="133"/>
        <v>https://oknesset.org/committee/meeting/14309/</v>
      </c>
    </row>
    <row r="731" ht="14.25" customHeight="1">
      <c r="A731" s="2" t="s">
        <v>61</v>
      </c>
      <c r="B731" s="1" t="s">
        <v>224</v>
      </c>
      <c r="C731" s="2" t="s">
        <v>204</v>
      </c>
      <c r="D731" s="2" t="s">
        <v>244</v>
      </c>
      <c r="E731" s="3" t="str">
        <f t="shared" ref="E731:E732" si="134">HYPERLINK("https://oknesset.org/committee/meeting/14295/","https://oknesset.org/committee/meeting/14295/")</f>
        <v>https://oknesset.org/committee/meeting/14295/</v>
      </c>
    </row>
    <row r="732" ht="14.25" customHeight="1">
      <c r="A732" s="2" t="s">
        <v>132</v>
      </c>
      <c r="B732" s="1" t="s">
        <v>224</v>
      </c>
      <c r="C732" s="2" t="s">
        <v>204</v>
      </c>
      <c r="D732" s="2" t="s">
        <v>244</v>
      </c>
      <c r="E732" s="3" t="str">
        <f t="shared" si="134"/>
        <v>https://oknesset.org/committee/meeting/14295/</v>
      </c>
    </row>
    <row r="733" ht="14.25" customHeight="1">
      <c r="A733" s="2" t="s">
        <v>34</v>
      </c>
      <c r="B733" s="1" t="s">
        <v>224</v>
      </c>
      <c r="C733" s="2" t="s">
        <v>52</v>
      </c>
      <c r="D733" s="2" t="s">
        <v>245</v>
      </c>
      <c r="E733" s="3" t="str">
        <f>HYPERLINK("https://oknesset.org/committee/meeting/14250/","https://oknesset.org/committee/meeting/14250/")</f>
        <v>https://oknesset.org/committee/meeting/14250/</v>
      </c>
    </row>
    <row r="734" ht="14.25" customHeight="1">
      <c r="A734" s="2" t="s">
        <v>156</v>
      </c>
      <c r="B734" s="1" t="s">
        <v>224</v>
      </c>
      <c r="C734" s="2" t="s">
        <v>241</v>
      </c>
      <c r="D734" s="2" t="s">
        <v>242</v>
      </c>
      <c r="E734" s="3" t="str">
        <f>HYPERLINK("https://oknesset.org/committee/meeting/14427/","https://oknesset.org/committee/meeting/14427/")</f>
        <v>https://oknesset.org/committee/meeting/14427/</v>
      </c>
    </row>
    <row r="735" ht="14.25" customHeight="1">
      <c r="A735" s="2" t="s">
        <v>85</v>
      </c>
      <c r="B735" s="1" t="s">
        <v>224</v>
      </c>
      <c r="C735" s="2" t="s">
        <v>246</v>
      </c>
      <c r="D735" s="2" t="s">
        <v>247</v>
      </c>
      <c r="E735" s="3" t="str">
        <f t="shared" ref="E735:E739" si="135">HYPERLINK("https://oknesset.org/committee/meeting/14437/","https://oknesset.org/committee/meeting/14437/")</f>
        <v>https://oknesset.org/committee/meeting/14437/</v>
      </c>
    </row>
    <row r="736" ht="14.25" customHeight="1">
      <c r="A736" s="2" t="s">
        <v>13</v>
      </c>
      <c r="B736" s="1" t="s">
        <v>224</v>
      </c>
      <c r="C736" s="2" t="s">
        <v>246</v>
      </c>
      <c r="D736" s="2" t="s">
        <v>247</v>
      </c>
      <c r="E736" s="3" t="str">
        <f t="shared" si="135"/>
        <v>https://oknesset.org/committee/meeting/14437/</v>
      </c>
    </row>
    <row r="737" ht="14.25" customHeight="1">
      <c r="A737" s="2" t="s">
        <v>95</v>
      </c>
      <c r="B737" s="1" t="s">
        <v>224</v>
      </c>
      <c r="C737" s="2" t="s">
        <v>246</v>
      </c>
      <c r="D737" s="2" t="s">
        <v>247</v>
      </c>
      <c r="E737" s="3" t="str">
        <f t="shared" si="135"/>
        <v>https://oknesset.org/committee/meeting/14437/</v>
      </c>
    </row>
    <row r="738" ht="14.25" customHeight="1">
      <c r="A738" s="2" t="s">
        <v>76</v>
      </c>
      <c r="B738" s="1" t="s">
        <v>224</v>
      </c>
      <c r="C738" s="2" t="s">
        <v>246</v>
      </c>
      <c r="D738" s="2" t="s">
        <v>247</v>
      </c>
      <c r="E738" s="3" t="str">
        <f t="shared" si="135"/>
        <v>https://oknesset.org/committee/meeting/14437/</v>
      </c>
    </row>
    <row r="739" ht="14.25" customHeight="1">
      <c r="A739" s="2" t="s">
        <v>34</v>
      </c>
      <c r="B739" s="1" t="s">
        <v>224</v>
      </c>
      <c r="C739" s="2" t="s">
        <v>246</v>
      </c>
      <c r="D739" s="2" t="s">
        <v>247</v>
      </c>
      <c r="E739" s="3" t="str">
        <f t="shared" si="135"/>
        <v>https://oknesset.org/committee/meeting/14437/</v>
      </c>
    </row>
    <row r="740" ht="14.25" customHeight="1">
      <c r="A740" s="2" t="s">
        <v>17</v>
      </c>
      <c r="B740" s="1" t="s">
        <v>224</v>
      </c>
      <c r="C740" s="2" t="s">
        <v>241</v>
      </c>
      <c r="D740" s="2" t="s">
        <v>242</v>
      </c>
      <c r="E740" s="3" t="str">
        <f>HYPERLINK("https://oknesset.org/committee/meeting/14427/","https://oknesset.org/committee/meeting/14427/")</f>
        <v>https://oknesset.org/committee/meeting/14427/</v>
      </c>
    </row>
    <row r="741" ht="14.25" customHeight="1">
      <c r="A741" s="2" t="s">
        <v>80</v>
      </c>
      <c r="B741" s="1" t="s">
        <v>224</v>
      </c>
      <c r="C741" s="2" t="s">
        <v>52</v>
      </c>
      <c r="D741" s="2" t="s">
        <v>245</v>
      </c>
      <c r="E741" s="3" t="str">
        <f t="shared" ref="E741:E742" si="136">HYPERLINK("https://oknesset.org/committee/meeting/14250/","https://oknesset.org/committee/meeting/14250/")</f>
        <v>https://oknesset.org/committee/meeting/14250/</v>
      </c>
    </row>
    <row r="742" ht="14.25" customHeight="1">
      <c r="A742" s="2" t="s">
        <v>97</v>
      </c>
      <c r="B742" s="1" t="s">
        <v>224</v>
      </c>
      <c r="C742" s="2" t="s">
        <v>52</v>
      </c>
      <c r="D742" s="2" t="s">
        <v>245</v>
      </c>
      <c r="E742" s="3" t="str">
        <f t="shared" si="136"/>
        <v>https://oknesset.org/committee/meeting/14250/</v>
      </c>
    </row>
    <row r="743" ht="14.25" customHeight="1">
      <c r="A743" s="2" t="s">
        <v>58</v>
      </c>
      <c r="B743" s="1" t="s">
        <v>224</v>
      </c>
      <c r="C743" s="2" t="s">
        <v>65</v>
      </c>
      <c r="D743" s="2" t="s">
        <v>225</v>
      </c>
      <c r="E743" s="3" t="str">
        <f t="shared" ref="E743:E744" si="137">HYPERLINK("https://oknesset.org/committee/meeting/14172/","https://oknesset.org/committee/meeting/14172/")</f>
        <v>https://oknesset.org/committee/meeting/14172/</v>
      </c>
    </row>
    <row r="744" ht="14.25" customHeight="1">
      <c r="A744" s="2" t="s">
        <v>59</v>
      </c>
      <c r="B744" s="1" t="s">
        <v>224</v>
      </c>
      <c r="C744" s="2" t="s">
        <v>65</v>
      </c>
      <c r="D744" s="2" t="s">
        <v>225</v>
      </c>
      <c r="E744" s="3" t="str">
        <f t="shared" si="137"/>
        <v>https://oknesset.org/committee/meeting/14172/</v>
      </c>
    </row>
    <row r="745" ht="14.25" customHeight="1">
      <c r="A745" s="2" t="s">
        <v>126</v>
      </c>
      <c r="B745" s="1" t="s">
        <v>224</v>
      </c>
      <c r="C745" s="2" t="s">
        <v>48</v>
      </c>
      <c r="D745" s="2" t="s">
        <v>230</v>
      </c>
      <c r="E745" s="3" t="str">
        <f>HYPERLINK("https://oknesset.org/committee/meeting/14187/","https://oknesset.org/committee/meeting/14187/")</f>
        <v>https://oknesset.org/committee/meeting/14187/</v>
      </c>
    </row>
    <row r="746" ht="14.25" customHeight="1">
      <c r="A746" s="2" t="s">
        <v>39</v>
      </c>
      <c r="B746" s="1" t="s">
        <v>224</v>
      </c>
      <c r="C746" s="2" t="s">
        <v>235</v>
      </c>
      <c r="D746" s="2" t="s">
        <v>236</v>
      </c>
      <c r="E746" s="3" t="str">
        <f>HYPERLINK("https://oknesset.org/committee/meeting/14423/","https://oknesset.org/committee/meeting/14423/")</f>
        <v>https://oknesset.org/committee/meeting/14423/</v>
      </c>
    </row>
    <row r="747" ht="14.25" customHeight="1">
      <c r="A747" s="2" t="s">
        <v>50</v>
      </c>
      <c r="B747" s="1" t="s">
        <v>224</v>
      </c>
      <c r="C747" s="2" t="s">
        <v>65</v>
      </c>
      <c r="D747" s="2" t="s">
        <v>225</v>
      </c>
      <c r="E747" s="3" t="str">
        <f>HYPERLINK("https://oknesset.org/committee/meeting/14172/","https://oknesset.org/committee/meeting/14172/")</f>
        <v>https://oknesset.org/committee/meeting/14172/</v>
      </c>
    </row>
    <row r="748" ht="14.25" customHeight="1">
      <c r="A748" s="2" t="s">
        <v>22</v>
      </c>
      <c r="B748" s="1" t="s">
        <v>224</v>
      </c>
      <c r="C748" s="2" t="s">
        <v>235</v>
      </c>
      <c r="D748" s="2" t="s">
        <v>236</v>
      </c>
      <c r="E748" s="3" t="str">
        <f t="shared" ref="E748:E749" si="138">HYPERLINK("https://oknesset.org/committee/meeting/14423/","https://oknesset.org/committee/meeting/14423/")</f>
        <v>https://oknesset.org/committee/meeting/14423/</v>
      </c>
    </row>
    <row r="749" ht="14.25" customHeight="1">
      <c r="A749" s="2" t="s">
        <v>66</v>
      </c>
      <c r="B749" s="1" t="s">
        <v>224</v>
      </c>
      <c r="C749" s="2" t="s">
        <v>235</v>
      </c>
      <c r="D749" s="2" t="s">
        <v>236</v>
      </c>
      <c r="E749" s="3" t="str">
        <f t="shared" si="138"/>
        <v>https://oknesset.org/committee/meeting/14423/</v>
      </c>
    </row>
    <row r="750" ht="14.25" customHeight="1">
      <c r="A750" s="2" t="s">
        <v>5</v>
      </c>
      <c r="B750" s="1" t="s">
        <v>224</v>
      </c>
      <c r="C750" s="2" t="s">
        <v>241</v>
      </c>
      <c r="D750" s="2" t="s">
        <v>242</v>
      </c>
      <c r="E750" s="3" t="str">
        <f>HYPERLINK("https://oknesset.org/committee/meeting/14427/","https://oknesset.org/committee/meeting/14427/")</f>
        <v>https://oknesset.org/committee/meeting/14427/</v>
      </c>
    </row>
    <row r="751" ht="14.25" customHeight="1">
      <c r="A751" s="2" t="s">
        <v>54</v>
      </c>
      <c r="B751" s="1" t="s">
        <v>224</v>
      </c>
      <c r="C751" s="2" t="s">
        <v>48</v>
      </c>
      <c r="D751" s="2" t="s">
        <v>225</v>
      </c>
      <c r="E751" s="3" t="str">
        <f t="shared" ref="E751:E756" si="139">HYPERLINK("https://oknesset.org/committee/meeting/14189/","https://oknesset.org/committee/meeting/14189/")</f>
        <v>https://oknesset.org/committee/meeting/14189/</v>
      </c>
    </row>
    <row r="752" ht="14.25" customHeight="1">
      <c r="A752" s="2" t="s">
        <v>16</v>
      </c>
      <c r="B752" s="1" t="s">
        <v>224</v>
      </c>
      <c r="C752" s="2" t="s">
        <v>48</v>
      </c>
      <c r="D752" s="2" t="s">
        <v>225</v>
      </c>
      <c r="E752" s="3" t="str">
        <f t="shared" si="139"/>
        <v>https://oknesset.org/committee/meeting/14189/</v>
      </c>
    </row>
    <row r="753" ht="14.25" customHeight="1">
      <c r="A753" s="2" t="s">
        <v>88</v>
      </c>
      <c r="B753" s="1" t="s">
        <v>224</v>
      </c>
      <c r="C753" s="2" t="s">
        <v>48</v>
      </c>
      <c r="D753" s="2" t="s">
        <v>225</v>
      </c>
      <c r="E753" s="3" t="str">
        <f t="shared" si="139"/>
        <v>https://oknesset.org/committee/meeting/14189/</v>
      </c>
    </row>
    <row r="754" ht="14.25" customHeight="1">
      <c r="A754" s="2" t="s">
        <v>97</v>
      </c>
      <c r="B754" s="1" t="s">
        <v>224</v>
      </c>
      <c r="C754" s="2" t="s">
        <v>48</v>
      </c>
      <c r="D754" s="2" t="s">
        <v>225</v>
      </c>
      <c r="E754" s="3" t="str">
        <f t="shared" si="139"/>
        <v>https://oknesset.org/committee/meeting/14189/</v>
      </c>
    </row>
    <row r="755" ht="14.25" customHeight="1">
      <c r="A755" s="2" t="s">
        <v>130</v>
      </c>
      <c r="B755" s="1" t="s">
        <v>224</v>
      </c>
      <c r="C755" s="2" t="s">
        <v>48</v>
      </c>
      <c r="D755" s="2" t="s">
        <v>225</v>
      </c>
      <c r="E755" s="3" t="str">
        <f t="shared" si="139"/>
        <v>https://oknesset.org/committee/meeting/14189/</v>
      </c>
    </row>
    <row r="756" ht="14.25" customHeight="1">
      <c r="A756" s="2" t="s">
        <v>58</v>
      </c>
      <c r="B756" s="1" t="s">
        <v>224</v>
      </c>
      <c r="C756" s="2" t="s">
        <v>48</v>
      </c>
      <c r="D756" s="2" t="s">
        <v>225</v>
      </c>
      <c r="E756" s="3" t="str">
        <f t="shared" si="139"/>
        <v>https://oknesset.org/committee/meeting/14189/</v>
      </c>
    </row>
    <row r="757" ht="14.25" customHeight="1">
      <c r="A757" s="2" t="s">
        <v>130</v>
      </c>
      <c r="B757" s="1" t="s">
        <v>224</v>
      </c>
      <c r="C757" s="2" t="s">
        <v>65</v>
      </c>
      <c r="D757" s="2" t="s">
        <v>248</v>
      </c>
      <c r="E757" s="3" t="str">
        <f t="shared" ref="E757:E762" si="140">HYPERLINK("https://oknesset.org/committee/meeting/14173/","https://oknesset.org/committee/meeting/14173/")</f>
        <v>https://oknesset.org/committee/meeting/14173/</v>
      </c>
    </row>
    <row r="758" ht="14.25" customHeight="1">
      <c r="A758" s="2" t="s">
        <v>68</v>
      </c>
      <c r="B758" s="1" t="s">
        <v>224</v>
      </c>
      <c r="C758" s="2" t="s">
        <v>65</v>
      </c>
      <c r="D758" s="2" t="s">
        <v>248</v>
      </c>
      <c r="E758" s="3" t="str">
        <f t="shared" si="140"/>
        <v>https://oknesset.org/committee/meeting/14173/</v>
      </c>
    </row>
    <row r="759" ht="14.25" customHeight="1">
      <c r="A759" s="2" t="s">
        <v>58</v>
      </c>
      <c r="B759" s="1" t="s">
        <v>224</v>
      </c>
      <c r="C759" s="2" t="s">
        <v>65</v>
      </c>
      <c r="D759" s="2" t="s">
        <v>248</v>
      </c>
      <c r="E759" s="3" t="str">
        <f t="shared" si="140"/>
        <v>https://oknesset.org/committee/meeting/14173/</v>
      </c>
    </row>
    <row r="760" ht="14.25" customHeight="1">
      <c r="A760" s="2" t="s">
        <v>249</v>
      </c>
      <c r="B760" s="1" t="s">
        <v>224</v>
      </c>
      <c r="C760" s="2" t="s">
        <v>65</v>
      </c>
      <c r="D760" s="2" t="s">
        <v>248</v>
      </c>
      <c r="E760" s="3" t="str">
        <f t="shared" si="140"/>
        <v>https://oknesset.org/committee/meeting/14173/</v>
      </c>
    </row>
    <row r="761" ht="14.25" customHeight="1">
      <c r="A761" s="2" t="s">
        <v>19</v>
      </c>
      <c r="B761" s="1" t="s">
        <v>224</v>
      </c>
      <c r="C761" s="2" t="s">
        <v>65</v>
      </c>
      <c r="D761" s="2" t="s">
        <v>248</v>
      </c>
      <c r="E761" s="3" t="str">
        <f t="shared" si="140"/>
        <v>https://oknesset.org/committee/meeting/14173/</v>
      </c>
    </row>
    <row r="762" ht="14.25" customHeight="1">
      <c r="A762" s="2" t="s">
        <v>21</v>
      </c>
      <c r="B762" s="1" t="s">
        <v>224</v>
      </c>
      <c r="C762" s="2" t="s">
        <v>65</v>
      </c>
      <c r="D762" s="2" t="s">
        <v>248</v>
      </c>
      <c r="E762" s="3" t="str">
        <f t="shared" si="140"/>
        <v>https://oknesset.org/committee/meeting/14173/</v>
      </c>
    </row>
    <row r="763" ht="14.25" customHeight="1">
      <c r="A763" s="2" t="s">
        <v>237</v>
      </c>
      <c r="B763" s="1" t="s">
        <v>224</v>
      </c>
      <c r="C763" s="2" t="s">
        <v>42</v>
      </c>
      <c r="D763" s="2" t="s">
        <v>250</v>
      </c>
      <c r="E763" s="3" t="str">
        <f t="shared" ref="E763:E767" si="141">HYPERLINK("https://oknesset.org/committee/meeting/14360/","https://oknesset.org/committee/meeting/14360/")</f>
        <v>https://oknesset.org/committee/meeting/14360/</v>
      </c>
    </row>
    <row r="764" ht="14.25" customHeight="1">
      <c r="A764" s="2" t="s">
        <v>41</v>
      </c>
      <c r="B764" s="1" t="s">
        <v>224</v>
      </c>
      <c r="C764" s="2" t="s">
        <v>42</v>
      </c>
      <c r="D764" s="2" t="s">
        <v>250</v>
      </c>
      <c r="E764" s="3" t="str">
        <f t="shared" si="141"/>
        <v>https://oknesset.org/committee/meeting/14360/</v>
      </c>
    </row>
    <row r="765" ht="14.25" customHeight="1">
      <c r="A765" s="2" t="s">
        <v>73</v>
      </c>
      <c r="B765" s="1" t="s">
        <v>224</v>
      </c>
      <c r="C765" s="2" t="s">
        <v>42</v>
      </c>
      <c r="D765" s="2" t="s">
        <v>250</v>
      </c>
      <c r="E765" s="3" t="str">
        <f t="shared" si="141"/>
        <v>https://oknesset.org/committee/meeting/14360/</v>
      </c>
    </row>
    <row r="766" ht="14.25" customHeight="1">
      <c r="A766" s="2" t="s">
        <v>74</v>
      </c>
      <c r="B766" s="1" t="s">
        <v>224</v>
      </c>
      <c r="C766" s="2" t="s">
        <v>42</v>
      </c>
      <c r="D766" s="2" t="s">
        <v>250</v>
      </c>
      <c r="E766" s="3" t="str">
        <f t="shared" si="141"/>
        <v>https://oknesset.org/committee/meeting/14360/</v>
      </c>
    </row>
    <row r="767" ht="14.25" customHeight="1">
      <c r="A767" s="2" t="s">
        <v>114</v>
      </c>
      <c r="B767" s="1" t="s">
        <v>224</v>
      </c>
      <c r="C767" s="2" t="s">
        <v>42</v>
      </c>
      <c r="D767" s="2" t="s">
        <v>250</v>
      </c>
      <c r="E767" s="3" t="str">
        <f t="shared" si="141"/>
        <v>https://oknesset.org/committee/meeting/14360/</v>
      </c>
    </row>
    <row r="768" ht="14.25" customHeight="1">
      <c r="A768" s="2" t="s">
        <v>104</v>
      </c>
      <c r="B768" s="1" t="s">
        <v>224</v>
      </c>
      <c r="C768" s="2" t="s">
        <v>251</v>
      </c>
      <c r="D768" s="2" t="s">
        <v>227</v>
      </c>
      <c r="E768" s="3" t="str">
        <f t="shared" ref="E768:E770" si="142">HYPERLINK("https://oknesset.org/committee/meeting/14396/","https://oknesset.org/committee/meeting/14396/")</f>
        <v>https://oknesset.org/committee/meeting/14396/</v>
      </c>
    </row>
    <row r="769" ht="14.25" customHeight="1">
      <c r="A769" s="2" t="s">
        <v>13</v>
      </c>
      <c r="B769" s="1" t="s">
        <v>224</v>
      </c>
      <c r="C769" s="2" t="s">
        <v>251</v>
      </c>
      <c r="D769" s="2" t="s">
        <v>227</v>
      </c>
      <c r="E769" s="3" t="str">
        <f t="shared" si="142"/>
        <v>https://oknesset.org/committee/meeting/14396/</v>
      </c>
    </row>
    <row r="770" ht="14.25" customHeight="1">
      <c r="A770" s="2" t="s">
        <v>95</v>
      </c>
      <c r="B770" s="1" t="s">
        <v>224</v>
      </c>
      <c r="C770" s="2" t="s">
        <v>251</v>
      </c>
      <c r="D770" s="2" t="s">
        <v>227</v>
      </c>
      <c r="E770" s="3" t="str">
        <f t="shared" si="142"/>
        <v>https://oknesset.org/committee/meeting/14396/</v>
      </c>
    </row>
    <row r="771" ht="14.25" customHeight="1">
      <c r="A771" s="2" t="s">
        <v>59</v>
      </c>
      <c r="B771" s="1" t="s">
        <v>224</v>
      </c>
      <c r="C771" s="2" t="s">
        <v>65</v>
      </c>
      <c r="D771" s="2" t="s">
        <v>248</v>
      </c>
      <c r="E771" s="3" t="str">
        <f>HYPERLINK("https://oknesset.org/committee/meeting/14173/","https://oknesset.org/committee/meeting/14173/")</f>
        <v>https://oknesset.org/committee/meeting/14173/</v>
      </c>
    </row>
    <row r="772" ht="14.25" customHeight="1">
      <c r="A772" s="2" t="s">
        <v>10</v>
      </c>
      <c r="B772" s="1" t="s">
        <v>224</v>
      </c>
      <c r="C772" s="2" t="s">
        <v>65</v>
      </c>
      <c r="D772" s="2" t="s">
        <v>225</v>
      </c>
      <c r="E772" s="3" t="str">
        <f>HYPERLINK("https://oknesset.org/committee/meeting/14172/","https://oknesset.org/committee/meeting/14172/")</f>
        <v>https://oknesset.org/committee/meeting/14172/</v>
      </c>
    </row>
    <row r="773" ht="14.25" customHeight="1">
      <c r="A773" s="2" t="s">
        <v>50</v>
      </c>
      <c r="B773" s="1" t="s">
        <v>224</v>
      </c>
      <c r="C773" s="2" t="s">
        <v>48</v>
      </c>
      <c r="D773" s="2" t="s">
        <v>225</v>
      </c>
      <c r="E773" s="3" t="str">
        <f t="shared" ref="E773:E774" si="143">HYPERLINK("https://oknesset.org/committee/meeting/14189/","https://oknesset.org/committee/meeting/14189/")</f>
        <v>https://oknesset.org/committee/meeting/14189/</v>
      </c>
    </row>
    <row r="774" ht="14.25" customHeight="1">
      <c r="A774" s="2" t="s">
        <v>59</v>
      </c>
      <c r="B774" s="1" t="s">
        <v>224</v>
      </c>
      <c r="C774" s="2" t="s">
        <v>48</v>
      </c>
      <c r="D774" s="2" t="s">
        <v>225</v>
      </c>
      <c r="E774" s="3" t="str">
        <f t="shared" si="143"/>
        <v>https://oknesset.org/committee/meeting/14189/</v>
      </c>
    </row>
    <row r="775" ht="14.25" customHeight="1">
      <c r="A775" s="2" t="s">
        <v>80</v>
      </c>
      <c r="B775" s="1" t="s">
        <v>224</v>
      </c>
      <c r="C775" s="2" t="s">
        <v>48</v>
      </c>
      <c r="D775" s="2" t="s">
        <v>230</v>
      </c>
      <c r="E775" s="3" t="str">
        <f>HYPERLINK("https://oknesset.org/committee/meeting/14187/","https://oknesset.org/committee/meeting/14187/")</f>
        <v>https://oknesset.org/committee/meeting/14187/</v>
      </c>
    </row>
    <row r="776" ht="14.25" customHeight="1">
      <c r="A776" s="2" t="s">
        <v>168</v>
      </c>
      <c r="B776" s="1" t="s">
        <v>224</v>
      </c>
      <c r="C776" s="2" t="s">
        <v>42</v>
      </c>
      <c r="D776" s="2" t="s">
        <v>250</v>
      </c>
      <c r="E776" s="3" t="str">
        <f>HYPERLINK("https://oknesset.org/committee/meeting/14360/","https://oknesset.org/committee/meeting/14360/")</f>
        <v>https://oknesset.org/committee/meeting/14360/</v>
      </c>
    </row>
    <row r="777" ht="14.25" customHeight="1">
      <c r="A777" s="2" t="s">
        <v>168</v>
      </c>
      <c r="B777" s="1" t="s">
        <v>224</v>
      </c>
      <c r="C777" s="2" t="s">
        <v>166</v>
      </c>
      <c r="D777" s="2" t="s">
        <v>252</v>
      </c>
      <c r="E777" s="3" t="str">
        <f>HYPERLINK("https://oknesset.org/committee/meeting/14404/","https://oknesset.org/committee/meeting/14404/")</f>
        <v>https://oknesset.org/committee/meeting/14404/</v>
      </c>
    </row>
    <row r="778" ht="14.25" customHeight="1">
      <c r="A778" s="2" t="s">
        <v>121</v>
      </c>
      <c r="B778" s="1" t="s">
        <v>224</v>
      </c>
      <c r="C778" s="2" t="s">
        <v>48</v>
      </c>
      <c r="D778" s="2" t="s">
        <v>230</v>
      </c>
      <c r="E778" s="3" t="str">
        <f t="shared" ref="E778:E779" si="144">HYPERLINK("https://oknesset.org/committee/meeting/14187/","https://oknesset.org/committee/meeting/14187/")</f>
        <v>https://oknesset.org/committee/meeting/14187/</v>
      </c>
    </row>
    <row r="779" ht="14.25" customHeight="1">
      <c r="A779" s="2" t="s">
        <v>10</v>
      </c>
      <c r="B779" s="1" t="s">
        <v>224</v>
      </c>
      <c r="C779" s="2" t="s">
        <v>48</v>
      </c>
      <c r="D779" s="2" t="s">
        <v>230</v>
      </c>
      <c r="E779" s="3" t="str">
        <f t="shared" si="144"/>
        <v>https://oknesset.org/committee/meeting/14187/</v>
      </c>
    </row>
    <row r="780" ht="14.25" customHeight="1">
      <c r="A780" s="2" t="s">
        <v>28</v>
      </c>
      <c r="B780" s="1" t="s">
        <v>224</v>
      </c>
      <c r="C780" s="2" t="s">
        <v>42</v>
      </c>
      <c r="D780" s="2" t="s">
        <v>250</v>
      </c>
      <c r="E780" s="3" t="str">
        <f t="shared" ref="E780:E781" si="145">HYPERLINK("https://oknesset.org/committee/meeting/14360/","https://oknesset.org/committee/meeting/14360/")</f>
        <v>https://oknesset.org/committee/meeting/14360/</v>
      </c>
    </row>
    <row r="781" ht="14.25" customHeight="1">
      <c r="A781" s="2" t="s">
        <v>58</v>
      </c>
      <c r="B781" s="1" t="s">
        <v>224</v>
      </c>
      <c r="C781" s="2" t="s">
        <v>42</v>
      </c>
      <c r="D781" s="2" t="s">
        <v>250</v>
      </c>
      <c r="E781" s="3" t="str">
        <f t="shared" si="145"/>
        <v>https://oknesset.org/committee/meeting/14360/</v>
      </c>
    </row>
    <row r="782" ht="14.25" customHeight="1">
      <c r="A782" s="2" t="s">
        <v>41</v>
      </c>
      <c r="B782" s="1" t="s">
        <v>224</v>
      </c>
      <c r="C782" s="2" t="s">
        <v>42</v>
      </c>
      <c r="D782" s="2" t="s">
        <v>253</v>
      </c>
      <c r="E782" s="3" t="str">
        <f t="shared" ref="E782:E784" si="146">HYPERLINK("https://oknesset.org/committee/meeting/14359/","https://oknesset.org/committee/meeting/14359/")</f>
        <v>https://oknesset.org/committee/meeting/14359/</v>
      </c>
    </row>
    <row r="783" ht="14.25" customHeight="1">
      <c r="A783" s="2" t="s">
        <v>54</v>
      </c>
      <c r="B783" s="1" t="s">
        <v>224</v>
      </c>
      <c r="C783" s="2" t="s">
        <v>42</v>
      </c>
      <c r="D783" s="2" t="s">
        <v>253</v>
      </c>
      <c r="E783" s="3" t="str">
        <f t="shared" si="146"/>
        <v>https://oknesset.org/committee/meeting/14359/</v>
      </c>
    </row>
    <row r="784" ht="14.25" customHeight="1">
      <c r="A784" s="2" t="s">
        <v>72</v>
      </c>
      <c r="B784" s="1" t="s">
        <v>224</v>
      </c>
      <c r="C784" s="2" t="s">
        <v>42</v>
      </c>
      <c r="D784" s="2" t="s">
        <v>253</v>
      </c>
      <c r="E784" s="3" t="str">
        <f t="shared" si="146"/>
        <v>https://oknesset.org/committee/meeting/14359/</v>
      </c>
    </row>
    <row r="785" ht="14.25" customHeight="1">
      <c r="A785" s="2" t="s">
        <v>59</v>
      </c>
      <c r="B785" s="1" t="s">
        <v>224</v>
      </c>
      <c r="C785" s="2" t="s">
        <v>254</v>
      </c>
      <c r="D785" s="2" t="s">
        <v>225</v>
      </c>
      <c r="E785" s="3" t="str">
        <f t="shared" ref="E785:E795" si="147">HYPERLINK("https://oknesset.org/committee/meeting/14406/","https://oknesset.org/committee/meeting/14406/")</f>
        <v>https://oknesset.org/committee/meeting/14406/</v>
      </c>
    </row>
    <row r="786" ht="14.25" customHeight="1">
      <c r="A786" s="2" t="s">
        <v>50</v>
      </c>
      <c r="B786" s="1" t="s">
        <v>224</v>
      </c>
      <c r="C786" s="2" t="s">
        <v>254</v>
      </c>
      <c r="D786" s="2" t="s">
        <v>225</v>
      </c>
      <c r="E786" s="3" t="str">
        <f t="shared" si="147"/>
        <v>https://oknesset.org/committee/meeting/14406/</v>
      </c>
    </row>
    <row r="787" ht="14.25" customHeight="1">
      <c r="A787" s="2" t="s">
        <v>58</v>
      </c>
      <c r="B787" s="1" t="s">
        <v>224</v>
      </c>
      <c r="C787" s="2" t="s">
        <v>254</v>
      </c>
      <c r="D787" s="2" t="s">
        <v>225</v>
      </c>
      <c r="E787" s="3" t="str">
        <f t="shared" si="147"/>
        <v>https://oknesset.org/committee/meeting/14406/</v>
      </c>
    </row>
    <row r="788" ht="14.25" customHeight="1">
      <c r="A788" s="2" t="s">
        <v>130</v>
      </c>
      <c r="B788" s="1" t="s">
        <v>224</v>
      </c>
      <c r="C788" s="2" t="s">
        <v>254</v>
      </c>
      <c r="D788" s="2" t="s">
        <v>225</v>
      </c>
      <c r="E788" s="3" t="str">
        <f t="shared" si="147"/>
        <v>https://oknesset.org/committee/meeting/14406/</v>
      </c>
    </row>
    <row r="789" ht="14.25" customHeight="1">
      <c r="A789" s="2" t="s">
        <v>97</v>
      </c>
      <c r="B789" s="1" t="s">
        <v>224</v>
      </c>
      <c r="C789" s="2" t="s">
        <v>254</v>
      </c>
      <c r="D789" s="2" t="s">
        <v>225</v>
      </c>
      <c r="E789" s="3" t="str">
        <f t="shared" si="147"/>
        <v>https://oknesset.org/committee/meeting/14406/</v>
      </c>
    </row>
    <row r="790" ht="14.25" customHeight="1">
      <c r="A790" s="2" t="s">
        <v>88</v>
      </c>
      <c r="B790" s="1" t="s">
        <v>224</v>
      </c>
      <c r="C790" s="2" t="s">
        <v>254</v>
      </c>
      <c r="D790" s="2" t="s">
        <v>225</v>
      </c>
      <c r="E790" s="3" t="str">
        <f t="shared" si="147"/>
        <v>https://oknesset.org/committee/meeting/14406/</v>
      </c>
    </row>
    <row r="791" ht="14.25" customHeight="1">
      <c r="A791" s="2" t="s">
        <v>16</v>
      </c>
      <c r="B791" s="1" t="s">
        <v>224</v>
      </c>
      <c r="C791" s="2" t="s">
        <v>254</v>
      </c>
      <c r="D791" s="2" t="s">
        <v>225</v>
      </c>
      <c r="E791" s="3" t="str">
        <f t="shared" si="147"/>
        <v>https://oknesset.org/committee/meeting/14406/</v>
      </c>
    </row>
    <row r="792" ht="14.25" customHeight="1">
      <c r="A792" s="2" t="s">
        <v>54</v>
      </c>
      <c r="B792" s="1" t="s">
        <v>224</v>
      </c>
      <c r="C792" s="2" t="s">
        <v>254</v>
      </c>
      <c r="D792" s="2" t="s">
        <v>225</v>
      </c>
      <c r="E792" s="3" t="str">
        <f t="shared" si="147"/>
        <v>https://oknesset.org/committee/meeting/14406/</v>
      </c>
    </row>
    <row r="793" ht="14.25" customHeight="1">
      <c r="A793" s="2" t="s">
        <v>10</v>
      </c>
      <c r="B793" s="1" t="s">
        <v>224</v>
      </c>
      <c r="C793" s="2" t="s">
        <v>254</v>
      </c>
      <c r="D793" s="2" t="s">
        <v>225</v>
      </c>
      <c r="E793" s="3" t="str">
        <f t="shared" si="147"/>
        <v>https://oknesset.org/committee/meeting/14406/</v>
      </c>
    </row>
    <row r="794" ht="14.25" customHeight="1">
      <c r="A794" s="2" t="s">
        <v>126</v>
      </c>
      <c r="B794" s="1" t="s">
        <v>224</v>
      </c>
      <c r="C794" s="2" t="s">
        <v>254</v>
      </c>
      <c r="D794" s="2" t="s">
        <v>225</v>
      </c>
      <c r="E794" s="3" t="str">
        <f t="shared" si="147"/>
        <v>https://oknesset.org/committee/meeting/14406/</v>
      </c>
    </row>
    <row r="795" ht="14.25" customHeight="1">
      <c r="A795" s="2" t="s">
        <v>35</v>
      </c>
      <c r="B795" s="1" t="s">
        <v>224</v>
      </c>
      <c r="C795" s="2" t="s">
        <v>254</v>
      </c>
      <c r="D795" s="2" t="s">
        <v>225</v>
      </c>
      <c r="E795" s="3" t="str">
        <f t="shared" si="147"/>
        <v>https://oknesset.org/committee/meeting/14406/</v>
      </c>
    </row>
    <row r="796" ht="14.25" customHeight="1">
      <c r="A796" s="2" t="s">
        <v>114</v>
      </c>
      <c r="B796" s="1" t="s">
        <v>224</v>
      </c>
      <c r="C796" s="2" t="s">
        <v>42</v>
      </c>
      <c r="D796" s="2" t="s">
        <v>253</v>
      </c>
      <c r="E796" s="3" t="str">
        <f t="shared" ref="E796:E797" si="148">HYPERLINK("https://oknesset.org/committee/meeting/14359/","https://oknesset.org/committee/meeting/14359/")</f>
        <v>https://oknesset.org/committee/meeting/14359/</v>
      </c>
    </row>
    <row r="797" ht="14.25" customHeight="1">
      <c r="A797" s="2" t="s">
        <v>115</v>
      </c>
      <c r="B797" s="1" t="s">
        <v>224</v>
      </c>
      <c r="C797" s="2" t="s">
        <v>42</v>
      </c>
      <c r="D797" s="2" t="s">
        <v>253</v>
      </c>
      <c r="E797" s="3" t="str">
        <f t="shared" si="148"/>
        <v>https://oknesset.org/committee/meeting/14359/</v>
      </c>
    </row>
    <row r="798" ht="14.25" customHeight="1">
      <c r="A798" s="2" t="s">
        <v>88</v>
      </c>
      <c r="B798" s="1" t="s">
        <v>224</v>
      </c>
      <c r="C798" s="2" t="s">
        <v>65</v>
      </c>
      <c r="D798" s="2" t="s">
        <v>248</v>
      </c>
      <c r="E798" s="3" t="str">
        <f t="shared" ref="E798:E804" si="149">HYPERLINK("https://oknesset.org/committee/meeting/14173/","https://oknesset.org/committee/meeting/14173/")</f>
        <v>https://oknesset.org/committee/meeting/14173/</v>
      </c>
    </row>
    <row r="799" ht="14.25" customHeight="1">
      <c r="A799" s="2" t="s">
        <v>15</v>
      </c>
      <c r="B799" s="1" t="s">
        <v>224</v>
      </c>
      <c r="C799" s="2" t="s">
        <v>65</v>
      </c>
      <c r="D799" s="2" t="s">
        <v>248</v>
      </c>
      <c r="E799" s="3" t="str">
        <f t="shared" si="149"/>
        <v>https://oknesset.org/committee/meeting/14173/</v>
      </c>
    </row>
    <row r="800" ht="14.25" customHeight="1">
      <c r="A800" s="2" t="s">
        <v>13</v>
      </c>
      <c r="B800" s="1" t="s">
        <v>224</v>
      </c>
      <c r="C800" s="2" t="s">
        <v>65</v>
      </c>
      <c r="D800" s="2" t="s">
        <v>248</v>
      </c>
      <c r="E800" s="3" t="str">
        <f t="shared" si="149"/>
        <v>https://oknesset.org/committee/meeting/14173/</v>
      </c>
    </row>
    <row r="801" ht="14.25" customHeight="1">
      <c r="A801" s="2" t="s">
        <v>86</v>
      </c>
      <c r="B801" s="1" t="s">
        <v>224</v>
      </c>
      <c r="C801" s="2" t="s">
        <v>65</v>
      </c>
      <c r="D801" s="2" t="s">
        <v>248</v>
      </c>
      <c r="E801" s="3" t="str">
        <f t="shared" si="149"/>
        <v>https://oknesset.org/committee/meeting/14173/</v>
      </c>
    </row>
    <row r="802" ht="14.25" customHeight="1">
      <c r="A802" s="2" t="s">
        <v>67</v>
      </c>
      <c r="B802" s="1" t="s">
        <v>224</v>
      </c>
      <c r="C802" s="2" t="s">
        <v>65</v>
      </c>
      <c r="D802" s="2" t="s">
        <v>248</v>
      </c>
      <c r="E802" s="3" t="str">
        <f t="shared" si="149"/>
        <v>https://oknesset.org/committee/meeting/14173/</v>
      </c>
    </row>
    <row r="803" ht="14.25" customHeight="1">
      <c r="A803" s="2" t="s">
        <v>80</v>
      </c>
      <c r="B803" s="1" t="s">
        <v>224</v>
      </c>
      <c r="C803" s="2" t="s">
        <v>65</v>
      </c>
      <c r="D803" s="2" t="s">
        <v>248</v>
      </c>
      <c r="E803" s="3" t="str">
        <f t="shared" si="149"/>
        <v>https://oknesset.org/committee/meeting/14173/</v>
      </c>
    </row>
    <row r="804" ht="14.25" customHeight="1">
      <c r="A804" s="2" t="s">
        <v>10</v>
      </c>
      <c r="B804" s="1" t="s">
        <v>224</v>
      </c>
      <c r="C804" s="2" t="s">
        <v>65</v>
      </c>
      <c r="D804" s="2" t="s">
        <v>248</v>
      </c>
      <c r="E804" s="3" t="str">
        <f t="shared" si="149"/>
        <v>https://oknesset.org/committee/meeting/14173/</v>
      </c>
    </row>
    <row r="805" ht="14.25" customHeight="1">
      <c r="A805" s="2" t="s">
        <v>32</v>
      </c>
      <c r="B805" s="1" t="s">
        <v>224</v>
      </c>
      <c r="C805" s="2" t="s">
        <v>48</v>
      </c>
      <c r="D805" s="2" t="s">
        <v>238</v>
      </c>
      <c r="E805" s="3" t="str">
        <f>HYPERLINK("https://oknesset.org/committee/meeting/14188/","https://oknesset.org/committee/meeting/14188/")</f>
        <v>https://oknesset.org/committee/meeting/14188/</v>
      </c>
    </row>
    <row r="806" ht="14.25" customHeight="1">
      <c r="A806" s="2" t="s">
        <v>118</v>
      </c>
      <c r="B806" s="1" t="s">
        <v>255</v>
      </c>
      <c r="C806" s="2" t="s">
        <v>48</v>
      </c>
      <c r="D806" s="2" t="s">
        <v>256</v>
      </c>
      <c r="E806" s="3" t="str">
        <f>HYPERLINK("https://oknesset.org/committee/meeting/14186/","https://oknesset.org/committee/meeting/14186/")</f>
        <v>https://oknesset.org/committee/meeting/14186/</v>
      </c>
    </row>
    <row r="807" ht="14.25" customHeight="1">
      <c r="A807" s="2" t="s">
        <v>39</v>
      </c>
      <c r="B807" s="1" t="s">
        <v>255</v>
      </c>
      <c r="C807" s="2" t="s">
        <v>70</v>
      </c>
      <c r="D807" s="2" t="s">
        <v>257</v>
      </c>
      <c r="E807" s="3" t="str">
        <f t="shared" ref="E807:E818" si="150">HYPERLINK("https://oknesset.org/committee/meeting/14087/","https://oknesset.org/committee/meeting/14087/")</f>
        <v>https://oknesset.org/committee/meeting/14087/</v>
      </c>
    </row>
    <row r="808" ht="14.25" customHeight="1">
      <c r="A808" s="2" t="s">
        <v>85</v>
      </c>
      <c r="B808" s="1" t="s">
        <v>255</v>
      </c>
      <c r="C808" s="2" t="s">
        <v>70</v>
      </c>
      <c r="D808" s="2" t="s">
        <v>257</v>
      </c>
      <c r="E808" s="3" t="str">
        <f t="shared" si="150"/>
        <v>https://oknesset.org/committee/meeting/14087/</v>
      </c>
    </row>
    <row r="809" ht="14.25" customHeight="1">
      <c r="A809" s="2" t="s">
        <v>44</v>
      </c>
      <c r="B809" s="1" t="s">
        <v>255</v>
      </c>
      <c r="C809" s="2" t="s">
        <v>70</v>
      </c>
      <c r="D809" s="2" t="s">
        <v>257</v>
      </c>
      <c r="E809" s="3" t="str">
        <f t="shared" si="150"/>
        <v>https://oknesset.org/committee/meeting/14087/</v>
      </c>
    </row>
    <row r="810" ht="14.25" customHeight="1">
      <c r="A810" s="2" t="s">
        <v>104</v>
      </c>
      <c r="B810" s="1" t="s">
        <v>255</v>
      </c>
      <c r="C810" s="2" t="s">
        <v>70</v>
      </c>
      <c r="D810" s="2" t="s">
        <v>257</v>
      </c>
      <c r="E810" s="3" t="str">
        <f t="shared" si="150"/>
        <v>https://oknesset.org/committee/meeting/14087/</v>
      </c>
    </row>
    <row r="811" ht="14.25" customHeight="1">
      <c r="A811" s="2" t="s">
        <v>106</v>
      </c>
      <c r="B811" s="1" t="s">
        <v>255</v>
      </c>
      <c r="C811" s="2" t="s">
        <v>70</v>
      </c>
      <c r="D811" s="2" t="s">
        <v>257</v>
      </c>
      <c r="E811" s="3" t="str">
        <f t="shared" si="150"/>
        <v>https://oknesset.org/committee/meeting/14087/</v>
      </c>
    </row>
    <row r="812" ht="14.25" customHeight="1">
      <c r="A812" s="2" t="s">
        <v>84</v>
      </c>
      <c r="B812" s="1" t="s">
        <v>255</v>
      </c>
      <c r="C812" s="2" t="s">
        <v>70</v>
      </c>
      <c r="D812" s="2" t="s">
        <v>257</v>
      </c>
      <c r="E812" s="3" t="str">
        <f t="shared" si="150"/>
        <v>https://oknesset.org/committee/meeting/14087/</v>
      </c>
    </row>
    <row r="813" ht="14.25" customHeight="1">
      <c r="A813" s="2" t="s">
        <v>14</v>
      </c>
      <c r="B813" s="1" t="s">
        <v>255</v>
      </c>
      <c r="C813" s="2" t="s">
        <v>70</v>
      </c>
      <c r="D813" s="2" t="s">
        <v>257</v>
      </c>
      <c r="E813" s="3" t="str">
        <f t="shared" si="150"/>
        <v>https://oknesset.org/committee/meeting/14087/</v>
      </c>
    </row>
    <row r="814" ht="14.25" customHeight="1">
      <c r="A814" s="2" t="s">
        <v>95</v>
      </c>
      <c r="B814" s="1" t="s">
        <v>255</v>
      </c>
      <c r="C814" s="2" t="s">
        <v>70</v>
      </c>
      <c r="D814" s="2" t="s">
        <v>257</v>
      </c>
      <c r="E814" s="3" t="str">
        <f t="shared" si="150"/>
        <v>https://oknesset.org/committee/meeting/14087/</v>
      </c>
    </row>
    <row r="815" ht="14.25" customHeight="1">
      <c r="A815" s="2" t="s">
        <v>86</v>
      </c>
      <c r="B815" s="1" t="s">
        <v>255</v>
      </c>
      <c r="C815" s="2" t="s">
        <v>70</v>
      </c>
      <c r="D815" s="2" t="s">
        <v>257</v>
      </c>
      <c r="E815" s="3" t="str">
        <f t="shared" si="150"/>
        <v>https://oknesset.org/committee/meeting/14087/</v>
      </c>
    </row>
    <row r="816" ht="14.25" customHeight="1">
      <c r="A816" s="2" t="s">
        <v>75</v>
      </c>
      <c r="B816" s="1" t="s">
        <v>255</v>
      </c>
      <c r="C816" s="2" t="s">
        <v>70</v>
      </c>
      <c r="D816" s="2" t="s">
        <v>257</v>
      </c>
      <c r="E816" s="3" t="str">
        <f t="shared" si="150"/>
        <v>https://oknesset.org/committee/meeting/14087/</v>
      </c>
    </row>
    <row r="817" ht="14.25" customHeight="1">
      <c r="A817" s="2" t="s">
        <v>54</v>
      </c>
      <c r="B817" s="1" t="s">
        <v>255</v>
      </c>
      <c r="C817" s="2" t="s">
        <v>70</v>
      </c>
      <c r="D817" s="2" t="s">
        <v>257</v>
      </c>
      <c r="E817" s="3" t="str">
        <f t="shared" si="150"/>
        <v>https://oknesset.org/committee/meeting/14087/</v>
      </c>
    </row>
    <row r="818" ht="14.25" customHeight="1">
      <c r="A818" s="2" t="s">
        <v>34</v>
      </c>
      <c r="B818" s="1" t="s">
        <v>255</v>
      </c>
      <c r="C818" s="2" t="s">
        <v>70</v>
      </c>
      <c r="D818" s="2" t="s">
        <v>257</v>
      </c>
      <c r="E818" s="3" t="str">
        <f t="shared" si="150"/>
        <v>https://oknesset.org/committee/meeting/14087/</v>
      </c>
    </row>
    <row r="819" ht="14.25" customHeight="1">
      <c r="A819" s="2" t="s">
        <v>118</v>
      </c>
      <c r="B819" s="1" t="s">
        <v>255</v>
      </c>
      <c r="C819" s="2" t="s">
        <v>45</v>
      </c>
      <c r="D819" s="2" t="s">
        <v>258</v>
      </c>
      <c r="E819" s="3" t="str">
        <f t="shared" ref="E819:E820" si="151">HYPERLINK("https://oknesset.org/committee/meeting/14137/","https://oknesset.org/committee/meeting/14137/")</f>
        <v>https://oknesset.org/committee/meeting/14137/</v>
      </c>
    </row>
    <row r="820" ht="14.25" customHeight="1">
      <c r="A820" s="2" t="s">
        <v>9</v>
      </c>
      <c r="B820" s="1" t="s">
        <v>255</v>
      </c>
      <c r="C820" s="2" t="s">
        <v>45</v>
      </c>
      <c r="D820" s="2" t="s">
        <v>258</v>
      </c>
      <c r="E820" s="3" t="str">
        <f t="shared" si="151"/>
        <v>https://oknesset.org/committee/meeting/14137/</v>
      </c>
    </row>
    <row r="821" ht="14.25" customHeight="1">
      <c r="A821" s="2" t="s">
        <v>66</v>
      </c>
      <c r="B821" s="1" t="s">
        <v>255</v>
      </c>
      <c r="C821" s="2" t="s">
        <v>45</v>
      </c>
      <c r="D821" s="2" t="s">
        <v>259</v>
      </c>
      <c r="E821" s="3" t="str">
        <f t="shared" ref="E821:E823" si="152">HYPERLINK("https://oknesset.org/committee/meeting/14138/","https://oknesset.org/committee/meeting/14138/")</f>
        <v>https://oknesset.org/committee/meeting/14138/</v>
      </c>
    </row>
    <row r="822" ht="14.25" customHeight="1">
      <c r="A822" s="2" t="s">
        <v>15</v>
      </c>
      <c r="B822" s="1" t="s">
        <v>255</v>
      </c>
      <c r="C822" s="2" t="s">
        <v>45</v>
      </c>
      <c r="D822" s="2" t="s">
        <v>259</v>
      </c>
      <c r="E822" s="3" t="str">
        <f t="shared" si="152"/>
        <v>https://oknesset.org/committee/meeting/14138/</v>
      </c>
    </row>
    <row r="823" ht="14.25" customHeight="1">
      <c r="A823" s="2" t="s">
        <v>9</v>
      </c>
      <c r="B823" s="1" t="s">
        <v>255</v>
      </c>
      <c r="C823" s="2" t="s">
        <v>45</v>
      </c>
      <c r="D823" s="2" t="s">
        <v>259</v>
      </c>
      <c r="E823" s="3" t="str">
        <f t="shared" si="152"/>
        <v>https://oknesset.org/committee/meeting/14138/</v>
      </c>
    </row>
    <row r="824" ht="14.25" customHeight="1">
      <c r="A824" s="2" t="s">
        <v>66</v>
      </c>
      <c r="B824" s="1" t="s">
        <v>255</v>
      </c>
      <c r="C824" s="2" t="s">
        <v>45</v>
      </c>
      <c r="D824" s="2" t="s">
        <v>119</v>
      </c>
      <c r="E824" s="3" t="str">
        <f t="shared" ref="E824:E828" si="153">HYPERLINK("https://oknesset.org/committee/meeting/14139/","https://oknesset.org/committee/meeting/14139/")</f>
        <v>https://oknesset.org/committee/meeting/14139/</v>
      </c>
    </row>
    <row r="825" ht="14.25" customHeight="1">
      <c r="A825" s="2" t="s">
        <v>22</v>
      </c>
      <c r="B825" s="1" t="s">
        <v>255</v>
      </c>
      <c r="C825" s="2" t="s">
        <v>45</v>
      </c>
      <c r="D825" s="2" t="s">
        <v>119</v>
      </c>
      <c r="E825" s="3" t="str">
        <f t="shared" si="153"/>
        <v>https://oknesset.org/committee/meeting/14139/</v>
      </c>
    </row>
    <row r="826" ht="14.25" customHeight="1">
      <c r="A826" s="2" t="s">
        <v>19</v>
      </c>
      <c r="B826" s="1" t="s">
        <v>255</v>
      </c>
      <c r="C826" s="2" t="s">
        <v>45</v>
      </c>
      <c r="D826" s="2" t="s">
        <v>119</v>
      </c>
      <c r="E826" s="3" t="str">
        <f t="shared" si="153"/>
        <v>https://oknesset.org/committee/meeting/14139/</v>
      </c>
    </row>
    <row r="827" ht="14.25" customHeight="1">
      <c r="A827" s="2" t="s">
        <v>73</v>
      </c>
      <c r="B827" s="1" t="s">
        <v>255</v>
      </c>
      <c r="C827" s="2" t="s">
        <v>45</v>
      </c>
      <c r="D827" s="2" t="s">
        <v>119</v>
      </c>
      <c r="E827" s="3" t="str">
        <f t="shared" si="153"/>
        <v>https://oknesset.org/committee/meeting/14139/</v>
      </c>
    </row>
    <row r="828" ht="14.25" customHeight="1">
      <c r="A828" s="2" t="s">
        <v>9</v>
      </c>
      <c r="B828" s="1" t="s">
        <v>255</v>
      </c>
      <c r="C828" s="2" t="s">
        <v>45</v>
      </c>
      <c r="D828" s="2" t="s">
        <v>119</v>
      </c>
      <c r="E828" s="3" t="str">
        <f t="shared" si="153"/>
        <v>https://oknesset.org/committee/meeting/14139/</v>
      </c>
    </row>
    <row r="829" ht="14.25" customHeight="1">
      <c r="A829" s="2" t="s">
        <v>85</v>
      </c>
      <c r="B829" s="1" t="s">
        <v>255</v>
      </c>
      <c r="C829" s="2" t="s">
        <v>48</v>
      </c>
      <c r="D829" s="2" t="s">
        <v>256</v>
      </c>
      <c r="E829" s="3" t="str">
        <f t="shared" ref="E829:E833" si="154">HYPERLINK("https://oknesset.org/committee/meeting/14186/","https://oknesset.org/committee/meeting/14186/")</f>
        <v>https://oknesset.org/committee/meeting/14186/</v>
      </c>
    </row>
    <row r="830" ht="14.25" customHeight="1">
      <c r="A830" s="2" t="s">
        <v>64</v>
      </c>
      <c r="B830" s="1" t="s">
        <v>255</v>
      </c>
      <c r="C830" s="2" t="s">
        <v>48</v>
      </c>
      <c r="D830" s="2" t="s">
        <v>256</v>
      </c>
      <c r="E830" s="3" t="str">
        <f t="shared" si="154"/>
        <v>https://oknesset.org/committee/meeting/14186/</v>
      </c>
    </row>
    <row r="831" ht="14.25" customHeight="1">
      <c r="A831" s="2" t="s">
        <v>221</v>
      </c>
      <c r="B831" s="1" t="s">
        <v>255</v>
      </c>
      <c r="C831" s="2" t="s">
        <v>48</v>
      </c>
      <c r="D831" s="2" t="s">
        <v>256</v>
      </c>
      <c r="E831" s="3" t="str">
        <f t="shared" si="154"/>
        <v>https://oknesset.org/committee/meeting/14186/</v>
      </c>
    </row>
    <row r="832" ht="14.25" customHeight="1">
      <c r="A832" s="2" t="s">
        <v>32</v>
      </c>
      <c r="B832" s="1" t="s">
        <v>255</v>
      </c>
      <c r="C832" s="2" t="s">
        <v>48</v>
      </c>
      <c r="D832" s="2" t="s">
        <v>256</v>
      </c>
      <c r="E832" s="3" t="str">
        <f t="shared" si="154"/>
        <v>https://oknesset.org/committee/meeting/14186/</v>
      </c>
    </row>
    <row r="833" ht="14.25" customHeight="1">
      <c r="A833" s="2" t="s">
        <v>76</v>
      </c>
      <c r="B833" s="1" t="s">
        <v>255</v>
      </c>
      <c r="C833" s="2" t="s">
        <v>48</v>
      </c>
      <c r="D833" s="2" t="s">
        <v>256</v>
      </c>
      <c r="E833" s="3" t="str">
        <f t="shared" si="154"/>
        <v>https://oknesset.org/committee/meeting/14186/</v>
      </c>
    </row>
    <row r="834" ht="14.25" customHeight="1">
      <c r="A834" s="2" t="s">
        <v>260</v>
      </c>
      <c r="B834" s="1" t="s">
        <v>255</v>
      </c>
      <c r="C834" s="2" t="s">
        <v>204</v>
      </c>
      <c r="D834" s="2" t="s">
        <v>261</v>
      </c>
      <c r="E834" s="3" t="str">
        <f t="shared" ref="E834:E838" si="155">HYPERLINK("https://oknesset.org/committee/meeting/14294/","https://oknesset.org/committee/meeting/14294/")</f>
        <v>https://oknesset.org/committee/meeting/14294/</v>
      </c>
    </row>
    <row r="835" ht="14.25" customHeight="1">
      <c r="A835" s="2" t="s">
        <v>44</v>
      </c>
      <c r="B835" s="1" t="s">
        <v>255</v>
      </c>
      <c r="C835" s="2" t="s">
        <v>204</v>
      </c>
      <c r="D835" s="2" t="s">
        <v>261</v>
      </c>
      <c r="E835" s="3" t="str">
        <f t="shared" si="155"/>
        <v>https://oknesset.org/committee/meeting/14294/</v>
      </c>
    </row>
    <row r="836" ht="14.25" customHeight="1">
      <c r="A836" s="2" t="s">
        <v>17</v>
      </c>
      <c r="B836" s="1" t="s">
        <v>255</v>
      </c>
      <c r="C836" s="2" t="s">
        <v>204</v>
      </c>
      <c r="D836" s="2" t="s">
        <v>261</v>
      </c>
      <c r="E836" s="3" t="str">
        <f t="shared" si="155"/>
        <v>https://oknesset.org/committee/meeting/14294/</v>
      </c>
    </row>
    <row r="837" ht="14.25" customHeight="1">
      <c r="A837" s="2" t="s">
        <v>41</v>
      </c>
      <c r="B837" s="1" t="s">
        <v>255</v>
      </c>
      <c r="C837" s="2" t="s">
        <v>204</v>
      </c>
      <c r="D837" s="2" t="s">
        <v>261</v>
      </c>
      <c r="E837" s="3" t="str">
        <f t="shared" si="155"/>
        <v>https://oknesset.org/committee/meeting/14294/</v>
      </c>
    </row>
    <row r="838" ht="14.25" customHeight="1">
      <c r="A838" s="2" t="s">
        <v>121</v>
      </c>
      <c r="B838" s="1" t="s">
        <v>255</v>
      </c>
      <c r="C838" s="2" t="s">
        <v>204</v>
      </c>
      <c r="D838" s="2" t="s">
        <v>261</v>
      </c>
      <c r="E838" s="3" t="str">
        <f t="shared" si="155"/>
        <v>https://oknesset.org/committee/meeting/14294/</v>
      </c>
    </row>
    <row r="839" ht="14.25" customHeight="1">
      <c r="A839" s="2" t="s">
        <v>260</v>
      </c>
      <c r="B839" s="1" t="s">
        <v>255</v>
      </c>
      <c r="C839" s="2" t="s">
        <v>42</v>
      </c>
      <c r="D839" s="2" t="s">
        <v>262</v>
      </c>
      <c r="E839" s="3" t="str">
        <f t="shared" ref="E839:E843" si="156">HYPERLINK("https://oknesset.org/committee/meeting/14357/","https://oknesset.org/committee/meeting/14357/")</f>
        <v>https://oknesset.org/committee/meeting/14357/</v>
      </c>
    </row>
    <row r="840" ht="14.25" customHeight="1">
      <c r="A840" s="2" t="s">
        <v>44</v>
      </c>
      <c r="B840" s="1" t="s">
        <v>255</v>
      </c>
      <c r="C840" s="2" t="s">
        <v>42</v>
      </c>
      <c r="D840" s="2" t="s">
        <v>262</v>
      </c>
      <c r="E840" s="3" t="str">
        <f t="shared" si="156"/>
        <v>https://oknesset.org/committee/meeting/14357/</v>
      </c>
    </row>
    <row r="841" ht="14.25" customHeight="1">
      <c r="A841" s="2" t="s">
        <v>17</v>
      </c>
      <c r="B841" s="1" t="s">
        <v>255</v>
      </c>
      <c r="C841" s="2" t="s">
        <v>42</v>
      </c>
      <c r="D841" s="2" t="s">
        <v>262</v>
      </c>
      <c r="E841" s="3" t="str">
        <f t="shared" si="156"/>
        <v>https://oknesset.org/committee/meeting/14357/</v>
      </c>
    </row>
    <row r="842" ht="14.25" customHeight="1">
      <c r="A842" s="2" t="s">
        <v>41</v>
      </c>
      <c r="B842" s="1" t="s">
        <v>255</v>
      </c>
      <c r="C842" s="2" t="s">
        <v>42</v>
      </c>
      <c r="D842" s="2" t="s">
        <v>262</v>
      </c>
      <c r="E842" s="3" t="str">
        <f t="shared" si="156"/>
        <v>https://oknesset.org/committee/meeting/14357/</v>
      </c>
    </row>
    <row r="843" ht="14.25" customHeight="1">
      <c r="A843" s="2" t="s">
        <v>121</v>
      </c>
      <c r="B843" s="1" t="s">
        <v>255</v>
      </c>
      <c r="C843" s="2" t="s">
        <v>42</v>
      </c>
      <c r="D843" s="2" t="s">
        <v>262</v>
      </c>
      <c r="E843" s="3" t="str">
        <f t="shared" si="156"/>
        <v>https://oknesset.org/committee/meeting/14357/</v>
      </c>
    </row>
    <row r="844" ht="14.25" customHeight="1">
      <c r="A844" s="2" t="s">
        <v>50</v>
      </c>
      <c r="B844" s="1" t="s">
        <v>255</v>
      </c>
      <c r="C844" s="2" t="s">
        <v>70</v>
      </c>
      <c r="D844" s="2" t="s">
        <v>263</v>
      </c>
      <c r="E844" s="3" t="str">
        <f t="shared" ref="E844:E847" si="157">HYPERLINK("https://oknesset.org/committee/meeting/14085/","https://oknesset.org/committee/meeting/14085/")</f>
        <v>https://oknesset.org/committee/meeting/14085/</v>
      </c>
    </row>
    <row r="845" ht="14.25" customHeight="1">
      <c r="A845" s="2" t="s">
        <v>44</v>
      </c>
      <c r="B845" s="1" t="s">
        <v>255</v>
      </c>
      <c r="C845" s="2" t="s">
        <v>70</v>
      </c>
      <c r="D845" s="2" t="s">
        <v>263</v>
      </c>
      <c r="E845" s="3" t="str">
        <f t="shared" si="157"/>
        <v>https://oknesset.org/committee/meeting/14085/</v>
      </c>
    </row>
    <row r="846" ht="14.25" customHeight="1">
      <c r="A846" s="2" t="s">
        <v>14</v>
      </c>
      <c r="B846" s="1" t="s">
        <v>255</v>
      </c>
      <c r="C846" s="2" t="s">
        <v>70</v>
      </c>
      <c r="D846" s="2" t="s">
        <v>263</v>
      </c>
      <c r="E846" s="3" t="str">
        <f t="shared" si="157"/>
        <v>https://oknesset.org/committee/meeting/14085/</v>
      </c>
    </row>
    <row r="847" ht="14.25" customHeight="1">
      <c r="A847" s="2" t="s">
        <v>73</v>
      </c>
      <c r="B847" s="1" t="s">
        <v>255</v>
      </c>
      <c r="C847" s="2" t="s">
        <v>70</v>
      </c>
      <c r="D847" s="2" t="s">
        <v>263</v>
      </c>
      <c r="E847" s="3" t="str">
        <f t="shared" si="157"/>
        <v>https://oknesset.org/committee/meeting/14085/</v>
      </c>
    </row>
    <row r="848" ht="14.25" customHeight="1">
      <c r="A848" s="2" t="s">
        <v>50</v>
      </c>
      <c r="B848" s="1" t="s">
        <v>255</v>
      </c>
      <c r="C848" s="2" t="s">
        <v>70</v>
      </c>
      <c r="D848" s="2" t="s">
        <v>264</v>
      </c>
      <c r="E848" s="3" t="str">
        <f t="shared" ref="E848:E855" si="158">HYPERLINK("https://oknesset.org/committee/meeting/14086/","https://oknesset.org/committee/meeting/14086/")</f>
        <v>https://oknesset.org/committee/meeting/14086/</v>
      </c>
    </row>
    <row r="849" ht="14.25" customHeight="1">
      <c r="A849" s="2" t="s">
        <v>104</v>
      </c>
      <c r="B849" s="1" t="s">
        <v>255</v>
      </c>
      <c r="C849" s="2" t="s">
        <v>70</v>
      </c>
      <c r="D849" s="2" t="s">
        <v>264</v>
      </c>
      <c r="E849" s="3" t="str">
        <f t="shared" si="158"/>
        <v>https://oknesset.org/committee/meeting/14086/</v>
      </c>
    </row>
    <row r="850" ht="14.25" customHeight="1">
      <c r="A850" s="2" t="s">
        <v>106</v>
      </c>
      <c r="B850" s="1" t="s">
        <v>255</v>
      </c>
      <c r="C850" s="2" t="s">
        <v>70</v>
      </c>
      <c r="D850" s="2" t="s">
        <v>264</v>
      </c>
      <c r="E850" s="3" t="str">
        <f t="shared" si="158"/>
        <v>https://oknesset.org/committee/meeting/14086/</v>
      </c>
    </row>
    <row r="851" ht="14.25" customHeight="1">
      <c r="A851" s="2" t="s">
        <v>14</v>
      </c>
      <c r="B851" s="1" t="s">
        <v>255</v>
      </c>
      <c r="C851" s="2" t="s">
        <v>70</v>
      </c>
      <c r="D851" s="2" t="s">
        <v>264</v>
      </c>
      <c r="E851" s="3" t="str">
        <f t="shared" si="158"/>
        <v>https://oknesset.org/committee/meeting/14086/</v>
      </c>
    </row>
    <row r="852" ht="14.25" customHeight="1">
      <c r="A852" s="2" t="s">
        <v>73</v>
      </c>
      <c r="B852" s="1" t="s">
        <v>255</v>
      </c>
      <c r="C852" s="2" t="s">
        <v>70</v>
      </c>
      <c r="D852" s="2" t="s">
        <v>264</v>
      </c>
      <c r="E852" s="3" t="str">
        <f t="shared" si="158"/>
        <v>https://oknesset.org/committee/meeting/14086/</v>
      </c>
    </row>
    <row r="853" ht="14.25" customHeight="1">
      <c r="A853" s="2" t="s">
        <v>75</v>
      </c>
      <c r="B853" s="1" t="s">
        <v>255</v>
      </c>
      <c r="C853" s="2" t="s">
        <v>70</v>
      </c>
      <c r="D853" s="2" t="s">
        <v>264</v>
      </c>
      <c r="E853" s="3" t="str">
        <f t="shared" si="158"/>
        <v>https://oknesset.org/committee/meeting/14086/</v>
      </c>
    </row>
    <row r="854" ht="14.25" customHeight="1">
      <c r="A854" s="2" t="s">
        <v>54</v>
      </c>
      <c r="B854" s="1" t="s">
        <v>255</v>
      </c>
      <c r="C854" s="2" t="s">
        <v>70</v>
      </c>
      <c r="D854" s="2" t="s">
        <v>264</v>
      </c>
      <c r="E854" s="3" t="str">
        <f t="shared" si="158"/>
        <v>https://oknesset.org/committee/meeting/14086/</v>
      </c>
    </row>
    <row r="855" ht="14.25" customHeight="1">
      <c r="A855" s="2" t="s">
        <v>34</v>
      </c>
      <c r="B855" s="1" t="s">
        <v>255</v>
      </c>
      <c r="C855" s="2" t="s">
        <v>70</v>
      </c>
      <c r="D855" s="2" t="s">
        <v>264</v>
      </c>
      <c r="E855" s="3" t="str">
        <f t="shared" si="158"/>
        <v>https://oknesset.org/committee/meeting/14086/</v>
      </c>
    </row>
    <row r="856" ht="14.25" customHeight="1">
      <c r="A856" s="2" t="s">
        <v>118</v>
      </c>
      <c r="B856" s="1" t="s">
        <v>255</v>
      </c>
      <c r="C856" s="2" t="s">
        <v>48</v>
      </c>
      <c r="D856" s="2" t="s">
        <v>265</v>
      </c>
      <c r="E856" s="3" t="str">
        <f t="shared" ref="E856:E862" si="159">HYPERLINK("https://oknesset.org/committee/meeting/14184/","https://oknesset.org/committee/meeting/14184/")</f>
        <v>https://oknesset.org/committee/meeting/14184/</v>
      </c>
    </row>
    <row r="857" ht="14.25" customHeight="1">
      <c r="A857" s="2" t="s">
        <v>17</v>
      </c>
      <c r="B857" s="1" t="s">
        <v>255</v>
      </c>
      <c r="C857" s="2" t="s">
        <v>48</v>
      </c>
      <c r="D857" s="2" t="s">
        <v>265</v>
      </c>
      <c r="E857" s="3" t="str">
        <f t="shared" si="159"/>
        <v>https://oknesset.org/committee/meeting/14184/</v>
      </c>
    </row>
    <row r="858" ht="14.25" customHeight="1">
      <c r="A858" s="2" t="s">
        <v>114</v>
      </c>
      <c r="B858" s="1" t="s">
        <v>255</v>
      </c>
      <c r="C858" s="2" t="s">
        <v>48</v>
      </c>
      <c r="D858" s="2" t="s">
        <v>265</v>
      </c>
      <c r="E858" s="3" t="str">
        <f t="shared" si="159"/>
        <v>https://oknesset.org/committee/meeting/14184/</v>
      </c>
    </row>
    <row r="859" ht="14.25" customHeight="1">
      <c r="A859" s="2" t="s">
        <v>67</v>
      </c>
      <c r="B859" s="1" t="s">
        <v>255</v>
      </c>
      <c r="C859" s="2" t="s">
        <v>48</v>
      </c>
      <c r="D859" s="2" t="s">
        <v>265</v>
      </c>
      <c r="E859" s="3" t="str">
        <f t="shared" si="159"/>
        <v>https://oknesset.org/committee/meeting/14184/</v>
      </c>
    </row>
    <row r="860" ht="14.25" customHeight="1">
      <c r="A860" s="2" t="s">
        <v>57</v>
      </c>
      <c r="B860" s="1" t="s">
        <v>255</v>
      </c>
      <c r="C860" s="2" t="s">
        <v>48</v>
      </c>
      <c r="D860" s="2" t="s">
        <v>265</v>
      </c>
      <c r="E860" s="3" t="str">
        <f t="shared" si="159"/>
        <v>https://oknesset.org/committee/meeting/14184/</v>
      </c>
    </row>
    <row r="861" ht="14.25" customHeight="1">
      <c r="A861" s="2" t="s">
        <v>32</v>
      </c>
      <c r="B861" s="1" t="s">
        <v>255</v>
      </c>
      <c r="C861" s="2" t="s">
        <v>48</v>
      </c>
      <c r="D861" s="2" t="s">
        <v>265</v>
      </c>
      <c r="E861" s="3" t="str">
        <f t="shared" si="159"/>
        <v>https://oknesset.org/committee/meeting/14184/</v>
      </c>
    </row>
    <row r="862" ht="14.25" customHeight="1">
      <c r="A862" s="2" t="s">
        <v>121</v>
      </c>
      <c r="B862" s="1" t="s">
        <v>255</v>
      </c>
      <c r="C862" s="2" t="s">
        <v>48</v>
      </c>
      <c r="D862" s="2" t="s">
        <v>265</v>
      </c>
      <c r="E862" s="3" t="str">
        <f t="shared" si="159"/>
        <v>https://oknesset.org/committee/meeting/14184/</v>
      </c>
    </row>
    <row r="863" ht="14.25" customHeight="1">
      <c r="A863" s="2" t="s">
        <v>114</v>
      </c>
      <c r="B863" s="1" t="s">
        <v>255</v>
      </c>
      <c r="C863" s="2" t="s">
        <v>48</v>
      </c>
      <c r="D863" s="2" t="s">
        <v>266</v>
      </c>
      <c r="E863" s="3" t="str">
        <f t="shared" ref="E863:E866" si="160">HYPERLINK("https://oknesset.org/committee/meeting/14185/","https://oknesset.org/committee/meeting/14185/")</f>
        <v>https://oknesset.org/committee/meeting/14185/</v>
      </c>
    </row>
    <row r="864" ht="14.25" customHeight="1">
      <c r="A864" s="2" t="s">
        <v>32</v>
      </c>
      <c r="B864" s="1" t="s">
        <v>255</v>
      </c>
      <c r="C864" s="2" t="s">
        <v>48</v>
      </c>
      <c r="D864" s="2" t="s">
        <v>266</v>
      </c>
      <c r="E864" s="3" t="str">
        <f t="shared" si="160"/>
        <v>https://oknesset.org/committee/meeting/14185/</v>
      </c>
    </row>
    <row r="865" ht="14.25" customHeight="1">
      <c r="A865" s="2" t="s">
        <v>54</v>
      </c>
      <c r="B865" s="1" t="s">
        <v>255</v>
      </c>
      <c r="C865" s="2" t="s">
        <v>48</v>
      </c>
      <c r="D865" s="2" t="s">
        <v>266</v>
      </c>
      <c r="E865" s="3" t="str">
        <f t="shared" si="160"/>
        <v>https://oknesset.org/committee/meeting/14185/</v>
      </c>
    </row>
    <row r="866" ht="14.25" customHeight="1">
      <c r="A866" s="2" t="s">
        <v>121</v>
      </c>
      <c r="B866" s="1" t="s">
        <v>255</v>
      </c>
      <c r="C866" s="2" t="s">
        <v>48</v>
      </c>
      <c r="D866" s="2" t="s">
        <v>266</v>
      </c>
      <c r="E866" s="3" t="str">
        <f t="shared" si="160"/>
        <v>https://oknesset.org/committee/meeting/14185/</v>
      </c>
    </row>
    <row r="867" ht="14.25" customHeight="1">
      <c r="A867" s="2" t="s">
        <v>21</v>
      </c>
      <c r="B867" s="1" t="s">
        <v>255</v>
      </c>
      <c r="C867" s="2" t="s">
        <v>52</v>
      </c>
      <c r="D867" s="2" t="s">
        <v>267</v>
      </c>
      <c r="E867" s="3" t="str">
        <f t="shared" ref="E867:E869" si="161">HYPERLINK("https://oknesset.org/committee/meeting/14247/","https://oknesset.org/committee/meeting/14247/")</f>
        <v>https://oknesset.org/committee/meeting/14247/</v>
      </c>
    </row>
    <row r="868" ht="14.25" customHeight="1">
      <c r="A868" s="2" t="s">
        <v>108</v>
      </c>
      <c r="B868" s="1" t="s">
        <v>255</v>
      </c>
      <c r="C868" s="2" t="s">
        <v>52</v>
      </c>
      <c r="D868" s="2" t="s">
        <v>267</v>
      </c>
      <c r="E868" s="3" t="str">
        <f t="shared" si="161"/>
        <v>https://oknesset.org/committee/meeting/14247/</v>
      </c>
    </row>
    <row r="869" ht="14.25" customHeight="1">
      <c r="A869" s="2" t="s">
        <v>34</v>
      </c>
      <c r="B869" s="1" t="s">
        <v>255</v>
      </c>
      <c r="C869" s="2" t="s">
        <v>52</v>
      </c>
      <c r="D869" s="2" t="s">
        <v>267</v>
      </c>
      <c r="E869" s="3" t="str">
        <f t="shared" si="161"/>
        <v>https://oknesset.org/committee/meeting/14247/</v>
      </c>
    </row>
    <row r="870" ht="14.25" customHeight="1">
      <c r="A870" s="2" t="s">
        <v>108</v>
      </c>
      <c r="B870" s="1" t="s">
        <v>255</v>
      </c>
      <c r="C870" s="2" t="s">
        <v>52</v>
      </c>
      <c r="D870" s="2" t="s">
        <v>268</v>
      </c>
      <c r="E870" s="3" t="str">
        <f t="shared" ref="E870:E872" si="162">HYPERLINK("https://oknesset.org/committee/meeting/14248/","https://oknesset.org/committee/meeting/14248/")</f>
        <v>https://oknesset.org/committee/meeting/14248/</v>
      </c>
    </row>
    <row r="871" ht="14.25" customHeight="1">
      <c r="A871" s="2" t="s">
        <v>17</v>
      </c>
      <c r="B871" s="1" t="s">
        <v>255</v>
      </c>
      <c r="C871" s="2" t="s">
        <v>52</v>
      </c>
      <c r="D871" s="2" t="s">
        <v>268</v>
      </c>
      <c r="E871" s="3" t="str">
        <f t="shared" si="162"/>
        <v>https://oknesset.org/committee/meeting/14248/</v>
      </c>
    </row>
    <row r="872" ht="14.25" customHeight="1">
      <c r="A872" s="2" t="s">
        <v>97</v>
      </c>
      <c r="B872" s="1" t="s">
        <v>255</v>
      </c>
      <c r="C872" s="2" t="s">
        <v>52</v>
      </c>
      <c r="D872" s="2" t="s">
        <v>268</v>
      </c>
      <c r="E872" s="3" t="str">
        <f t="shared" si="162"/>
        <v>https://oknesset.org/committee/meeting/14248/</v>
      </c>
    </row>
    <row r="873" ht="14.25" customHeight="1">
      <c r="A873" s="2" t="s">
        <v>28</v>
      </c>
      <c r="B873" s="1" t="s">
        <v>255</v>
      </c>
      <c r="C873" s="2" t="s">
        <v>52</v>
      </c>
      <c r="D873" s="2" t="s">
        <v>137</v>
      </c>
      <c r="E873" s="3" t="str">
        <f t="shared" ref="E873:E876" si="163">HYPERLINK("https://oknesset.org/committee/meeting/14249/","https://oknesset.org/committee/meeting/14249/")</f>
        <v>https://oknesset.org/committee/meeting/14249/</v>
      </c>
    </row>
    <row r="874" ht="14.25" customHeight="1">
      <c r="A874" s="2" t="s">
        <v>108</v>
      </c>
      <c r="B874" s="1" t="s">
        <v>255</v>
      </c>
      <c r="C874" s="2" t="s">
        <v>52</v>
      </c>
      <c r="D874" s="2" t="s">
        <v>137</v>
      </c>
      <c r="E874" s="3" t="str">
        <f t="shared" si="163"/>
        <v>https://oknesset.org/committee/meeting/14249/</v>
      </c>
    </row>
    <row r="875" ht="14.25" customHeight="1">
      <c r="A875" s="2" t="s">
        <v>74</v>
      </c>
      <c r="B875" s="1" t="s">
        <v>255</v>
      </c>
      <c r="C875" s="2" t="s">
        <v>52</v>
      </c>
      <c r="D875" s="2" t="s">
        <v>137</v>
      </c>
      <c r="E875" s="3" t="str">
        <f t="shared" si="163"/>
        <v>https://oknesset.org/committee/meeting/14249/</v>
      </c>
    </row>
    <row r="876" ht="14.25" customHeight="1">
      <c r="A876" s="2" t="s">
        <v>34</v>
      </c>
      <c r="B876" s="1" t="s">
        <v>255</v>
      </c>
      <c r="C876" s="2" t="s">
        <v>52</v>
      </c>
      <c r="D876" s="2" t="s">
        <v>137</v>
      </c>
      <c r="E876" s="3" t="str">
        <f t="shared" si="163"/>
        <v>https://oknesset.org/committee/meeting/14249/</v>
      </c>
    </row>
    <row r="877" ht="14.25" customHeight="1">
      <c r="A877" s="2" t="s">
        <v>21</v>
      </c>
      <c r="B877" s="1" t="s">
        <v>255</v>
      </c>
      <c r="C877" s="2" t="s">
        <v>42</v>
      </c>
      <c r="D877" s="2" t="s">
        <v>269</v>
      </c>
      <c r="E877" s="3" t="str">
        <f t="shared" ref="E877:E886" si="164">HYPERLINK("https://oknesset.org/committee/meeting/14358/","https://oknesset.org/committee/meeting/14358/")</f>
        <v>https://oknesset.org/committee/meeting/14358/</v>
      </c>
    </row>
    <row r="878" ht="14.25" customHeight="1">
      <c r="A878" s="2" t="s">
        <v>103</v>
      </c>
      <c r="B878" s="1" t="s">
        <v>255</v>
      </c>
      <c r="C878" s="2" t="s">
        <v>42</v>
      </c>
      <c r="D878" s="2" t="s">
        <v>269</v>
      </c>
      <c r="E878" s="3" t="str">
        <f t="shared" si="164"/>
        <v>https://oknesset.org/committee/meeting/14358/</v>
      </c>
    </row>
    <row r="879" ht="14.25" customHeight="1">
      <c r="A879" s="2" t="s">
        <v>68</v>
      </c>
      <c r="B879" s="1" t="s">
        <v>255</v>
      </c>
      <c r="C879" s="2" t="s">
        <v>42</v>
      </c>
      <c r="D879" s="2" t="s">
        <v>269</v>
      </c>
      <c r="E879" s="3" t="str">
        <f t="shared" si="164"/>
        <v>https://oknesset.org/committee/meeting/14358/</v>
      </c>
    </row>
    <row r="880" ht="14.25" customHeight="1">
      <c r="A880" s="2" t="s">
        <v>44</v>
      </c>
      <c r="B880" s="1" t="s">
        <v>255</v>
      </c>
      <c r="C880" s="2" t="s">
        <v>42</v>
      </c>
      <c r="D880" s="2" t="s">
        <v>269</v>
      </c>
      <c r="E880" s="3" t="str">
        <f t="shared" si="164"/>
        <v>https://oknesset.org/committee/meeting/14358/</v>
      </c>
    </row>
    <row r="881" ht="14.25" customHeight="1">
      <c r="A881" s="2" t="s">
        <v>17</v>
      </c>
      <c r="B881" s="1" t="s">
        <v>255</v>
      </c>
      <c r="C881" s="2" t="s">
        <v>42</v>
      </c>
      <c r="D881" s="2" t="s">
        <v>269</v>
      </c>
      <c r="E881" s="3" t="str">
        <f t="shared" si="164"/>
        <v>https://oknesset.org/committee/meeting/14358/</v>
      </c>
    </row>
    <row r="882" ht="14.25" customHeight="1">
      <c r="A882" s="2" t="s">
        <v>101</v>
      </c>
      <c r="B882" s="1" t="s">
        <v>255</v>
      </c>
      <c r="C882" s="2" t="s">
        <v>42</v>
      </c>
      <c r="D882" s="2" t="s">
        <v>269</v>
      </c>
      <c r="E882" s="3" t="str">
        <f t="shared" si="164"/>
        <v>https://oknesset.org/committee/meeting/14358/</v>
      </c>
    </row>
    <row r="883" ht="14.25" customHeight="1">
      <c r="A883" s="2" t="s">
        <v>16</v>
      </c>
      <c r="B883" s="1" t="s">
        <v>255</v>
      </c>
      <c r="C883" s="2" t="s">
        <v>42</v>
      </c>
      <c r="D883" s="2" t="s">
        <v>269</v>
      </c>
      <c r="E883" s="3" t="str">
        <f t="shared" si="164"/>
        <v>https://oknesset.org/committee/meeting/14358/</v>
      </c>
    </row>
    <row r="884" ht="14.25" customHeight="1">
      <c r="A884" s="2" t="s">
        <v>115</v>
      </c>
      <c r="B884" s="1" t="s">
        <v>255</v>
      </c>
      <c r="C884" s="2" t="s">
        <v>42</v>
      </c>
      <c r="D884" s="2" t="s">
        <v>269</v>
      </c>
      <c r="E884" s="3" t="str">
        <f t="shared" si="164"/>
        <v>https://oknesset.org/committee/meeting/14358/</v>
      </c>
    </row>
    <row r="885" ht="14.25" customHeight="1">
      <c r="A885" s="2" t="s">
        <v>85</v>
      </c>
      <c r="B885" s="1" t="s">
        <v>255</v>
      </c>
      <c r="C885" s="2" t="s">
        <v>42</v>
      </c>
      <c r="D885" s="2" t="s">
        <v>269</v>
      </c>
      <c r="E885" s="3" t="str">
        <f t="shared" si="164"/>
        <v>https://oknesset.org/committee/meeting/14358/</v>
      </c>
    </row>
    <row r="886" ht="14.25" customHeight="1">
      <c r="A886" s="2" t="s">
        <v>41</v>
      </c>
      <c r="B886" s="1" t="s">
        <v>255</v>
      </c>
      <c r="C886" s="2" t="s">
        <v>42</v>
      </c>
      <c r="D886" s="2" t="s">
        <v>269</v>
      </c>
      <c r="E886" s="3" t="str">
        <f t="shared" si="164"/>
        <v>https://oknesset.org/committee/meeting/14358/</v>
      </c>
    </row>
    <row r="887" ht="14.25" customHeight="1">
      <c r="A887" s="2" t="s">
        <v>61</v>
      </c>
      <c r="B887" s="1" t="s">
        <v>270</v>
      </c>
      <c r="C887" s="2" t="s">
        <v>70</v>
      </c>
      <c r="D887" s="2" t="s">
        <v>271</v>
      </c>
      <c r="E887" s="3" t="str">
        <f>HYPERLINK("https://oknesset.org/committee/meeting/14084/","https://oknesset.org/committee/meeting/14084/")</f>
        <v>https://oknesset.org/committee/meeting/14084/</v>
      </c>
    </row>
    <row r="888" ht="14.25" customHeight="1">
      <c r="A888" s="2" t="s">
        <v>34</v>
      </c>
      <c r="B888" s="1" t="s">
        <v>270</v>
      </c>
      <c r="C888" s="2" t="s">
        <v>159</v>
      </c>
      <c r="D888" s="2" t="s">
        <v>272</v>
      </c>
      <c r="E888" s="3" t="str">
        <f>HYPERLINK("https://oknesset.org/committee/meeting/14333/","https://oknesset.org/committee/meeting/14333/")</f>
        <v>https://oknesset.org/committee/meeting/14333/</v>
      </c>
    </row>
    <row r="889" ht="14.25" customHeight="1">
      <c r="A889" s="2" t="s">
        <v>41</v>
      </c>
      <c r="B889" s="1" t="s">
        <v>270</v>
      </c>
      <c r="C889" s="2" t="s">
        <v>42</v>
      </c>
      <c r="D889" s="2" t="s">
        <v>273</v>
      </c>
      <c r="E889" s="3" t="str">
        <f t="shared" ref="E889:E890" si="165">HYPERLINK("https://oknesset.org/committee/meeting/14356/","https://oknesset.org/committee/meeting/14356/")</f>
        <v>https://oknesset.org/committee/meeting/14356/</v>
      </c>
    </row>
    <row r="890" ht="14.25" customHeight="1">
      <c r="A890" s="2" t="s">
        <v>34</v>
      </c>
      <c r="B890" s="1" t="s">
        <v>270</v>
      </c>
      <c r="C890" s="2" t="s">
        <v>42</v>
      </c>
      <c r="D890" s="2" t="s">
        <v>273</v>
      </c>
      <c r="E890" s="3" t="str">
        <f t="shared" si="165"/>
        <v>https://oknesset.org/committee/meeting/14356/</v>
      </c>
    </row>
    <row r="891" ht="14.25" customHeight="1">
      <c r="A891" s="2" t="s">
        <v>15</v>
      </c>
      <c r="B891" s="1" t="s">
        <v>270</v>
      </c>
      <c r="C891" s="2" t="s">
        <v>274</v>
      </c>
      <c r="D891" s="2" t="s">
        <v>275</v>
      </c>
      <c r="E891" s="3" t="str">
        <f t="shared" ref="E891:E892" si="166">HYPERLINK("https://oknesset.org/committee/meeting/14397/","https://oknesset.org/committee/meeting/14397/")</f>
        <v>https://oknesset.org/committee/meeting/14397/</v>
      </c>
    </row>
    <row r="892" ht="14.25" customHeight="1">
      <c r="A892" s="2" t="s">
        <v>62</v>
      </c>
      <c r="B892" s="1" t="s">
        <v>270</v>
      </c>
      <c r="C892" s="2" t="s">
        <v>274</v>
      </c>
      <c r="D892" s="2" t="s">
        <v>275</v>
      </c>
      <c r="E892" s="3" t="str">
        <f t="shared" si="166"/>
        <v>https://oknesset.org/committee/meeting/14397/</v>
      </c>
    </row>
    <row r="893" ht="14.25" customHeight="1">
      <c r="A893" s="2" t="s">
        <v>85</v>
      </c>
      <c r="B893" s="1" t="s">
        <v>270</v>
      </c>
      <c r="C893" s="2" t="s">
        <v>99</v>
      </c>
      <c r="D893" s="2" t="s">
        <v>276</v>
      </c>
      <c r="E893" s="3" t="str">
        <f t="shared" ref="E893:E894" si="167">HYPERLINK("https://oknesset.org/committee/meeting/14401/","https://oknesset.org/committee/meeting/14401/")</f>
        <v>https://oknesset.org/committee/meeting/14401/</v>
      </c>
    </row>
    <row r="894" ht="14.25" customHeight="1">
      <c r="A894" s="2" t="s">
        <v>54</v>
      </c>
      <c r="B894" s="1" t="s">
        <v>270</v>
      </c>
      <c r="C894" s="2" t="s">
        <v>99</v>
      </c>
      <c r="D894" s="2" t="s">
        <v>276</v>
      </c>
      <c r="E894" s="3" t="str">
        <f t="shared" si="167"/>
        <v>https://oknesset.org/committee/meeting/14401/</v>
      </c>
    </row>
    <row r="895" ht="14.25" customHeight="1">
      <c r="A895" s="2" t="s">
        <v>17</v>
      </c>
      <c r="B895" s="1" t="s">
        <v>270</v>
      </c>
      <c r="C895" s="2" t="s">
        <v>37</v>
      </c>
      <c r="D895" s="2" t="s">
        <v>277</v>
      </c>
      <c r="E895" s="3" t="str">
        <f t="shared" ref="E895:E896" si="168">HYPERLINK("https://oknesset.org/committee/meeting/14414/","https://oknesset.org/committee/meeting/14414/")</f>
        <v>https://oknesset.org/committee/meeting/14414/</v>
      </c>
    </row>
    <row r="896" ht="14.25" customHeight="1">
      <c r="A896" s="2" t="s">
        <v>54</v>
      </c>
      <c r="B896" s="1" t="s">
        <v>270</v>
      </c>
      <c r="C896" s="2" t="s">
        <v>37</v>
      </c>
      <c r="D896" s="2" t="s">
        <v>277</v>
      </c>
      <c r="E896" s="3" t="str">
        <f t="shared" si="168"/>
        <v>https://oknesset.org/committee/meeting/14414/</v>
      </c>
    </row>
    <row r="897" ht="14.25" customHeight="1">
      <c r="A897" s="2" t="s">
        <v>28</v>
      </c>
      <c r="B897" s="1" t="s">
        <v>270</v>
      </c>
      <c r="C897" s="2" t="s">
        <v>70</v>
      </c>
      <c r="D897" s="2" t="s">
        <v>271</v>
      </c>
      <c r="E897" s="3" t="str">
        <f t="shared" ref="E897:E898" si="169">HYPERLINK("https://oknesset.org/committee/meeting/14084/","https://oknesset.org/committee/meeting/14084/")</f>
        <v>https://oknesset.org/committee/meeting/14084/</v>
      </c>
    </row>
    <row r="898" ht="14.25" customHeight="1">
      <c r="A898" s="2" t="s">
        <v>5</v>
      </c>
      <c r="B898" s="1" t="s">
        <v>270</v>
      </c>
      <c r="C898" s="2" t="s">
        <v>70</v>
      </c>
      <c r="D898" s="2" t="s">
        <v>271</v>
      </c>
      <c r="E898" s="3" t="str">
        <f t="shared" si="169"/>
        <v>https://oknesset.org/committee/meeting/14084/</v>
      </c>
    </row>
    <row r="899" ht="14.25" customHeight="1">
      <c r="A899" s="2" t="s">
        <v>15</v>
      </c>
      <c r="B899" s="1" t="s">
        <v>270</v>
      </c>
      <c r="C899" s="2" t="s">
        <v>45</v>
      </c>
      <c r="D899" s="2" t="s">
        <v>275</v>
      </c>
      <c r="E899" s="3" t="str">
        <f t="shared" ref="E899:E900" si="170">HYPERLINK("https://oknesset.org/committee/meeting/14132/","https://oknesset.org/committee/meeting/14132/")</f>
        <v>https://oknesset.org/committee/meeting/14132/</v>
      </c>
    </row>
    <row r="900" ht="14.25" customHeight="1">
      <c r="A900" s="2" t="s">
        <v>62</v>
      </c>
      <c r="B900" s="1" t="s">
        <v>270</v>
      </c>
      <c r="C900" s="2" t="s">
        <v>45</v>
      </c>
      <c r="D900" s="2" t="s">
        <v>275</v>
      </c>
      <c r="E900" s="3" t="str">
        <f t="shared" si="170"/>
        <v>https://oknesset.org/committee/meeting/14132/</v>
      </c>
    </row>
    <row r="901" ht="14.25" customHeight="1">
      <c r="A901" s="2" t="s">
        <v>15</v>
      </c>
      <c r="B901" s="1" t="s">
        <v>270</v>
      </c>
      <c r="C901" s="2" t="s">
        <v>45</v>
      </c>
      <c r="D901" s="2" t="s">
        <v>129</v>
      </c>
      <c r="E901" s="3" t="str">
        <f t="shared" ref="E901:E902" si="171">HYPERLINK("https://oknesset.org/committee/meeting/14133/","https://oknesset.org/committee/meeting/14133/")</f>
        <v>https://oknesset.org/committee/meeting/14133/</v>
      </c>
    </row>
    <row r="902" ht="14.25" customHeight="1">
      <c r="A902" s="2" t="s">
        <v>9</v>
      </c>
      <c r="B902" s="1" t="s">
        <v>270</v>
      </c>
      <c r="C902" s="2" t="s">
        <v>45</v>
      </c>
      <c r="D902" s="2" t="s">
        <v>129</v>
      </c>
      <c r="E902" s="3" t="str">
        <f t="shared" si="171"/>
        <v>https://oknesset.org/committee/meeting/14133/</v>
      </c>
    </row>
    <row r="903" ht="14.25" customHeight="1">
      <c r="A903" s="2" t="s">
        <v>21</v>
      </c>
      <c r="B903" s="1" t="s">
        <v>270</v>
      </c>
      <c r="C903" s="2" t="s">
        <v>29</v>
      </c>
      <c r="D903" s="2" t="s">
        <v>278</v>
      </c>
      <c r="E903" s="3" t="str">
        <f t="shared" ref="E903:E910" si="172">HYPERLINK("https://oknesset.org/committee/meeting/14030/","https://oknesset.org/committee/meeting/14030/")</f>
        <v>https://oknesset.org/committee/meeting/14030/</v>
      </c>
    </row>
    <row r="904" ht="14.25" customHeight="1">
      <c r="A904" s="2" t="s">
        <v>130</v>
      </c>
      <c r="B904" s="1" t="s">
        <v>270</v>
      </c>
      <c r="C904" s="2" t="s">
        <v>29</v>
      </c>
      <c r="D904" s="2" t="s">
        <v>278</v>
      </c>
      <c r="E904" s="3" t="str">
        <f t="shared" si="172"/>
        <v>https://oknesset.org/committee/meeting/14030/</v>
      </c>
    </row>
    <row r="905" ht="14.25" customHeight="1">
      <c r="A905" s="2" t="s">
        <v>219</v>
      </c>
      <c r="B905" s="1" t="s">
        <v>270</v>
      </c>
      <c r="C905" s="2" t="s">
        <v>29</v>
      </c>
      <c r="D905" s="2" t="s">
        <v>278</v>
      </c>
      <c r="E905" s="3" t="str">
        <f t="shared" si="172"/>
        <v>https://oknesset.org/committee/meeting/14030/</v>
      </c>
    </row>
    <row r="906" ht="14.25" customHeight="1">
      <c r="A906" s="2" t="s">
        <v>95</v>
      </c>
      <c r="B906" s="1" t="s">
        <v>270</v>
      </c>
      <c r="C906" s="2" t="s">
        <v>29</v>
      </c>
      <c r="D906" s="2" t="s">
        <v>278</v>
      </c>
      <c r="E906" s="3" t="str">
        <f t="shared" si="172"/>
        <v>https://oknesset.org/committee/meeting/14030/</v>
      </c>
    </row>
    <row r="907" ht="14.25" customHeight="1">
      <c r="A907" s="2" t="s">
        <v>76</v>
      </c>
      <c r="B907" s="1" t="s">
        <v>270</v>
      </c>
      <c r="C907" s="2" t="s">
        <v>29</v>
      </c>
      <c r="D907" s="2" t="s">
        <v>278</v>
      </c>
      <c r="E907" s="3" t="str">
        <f t="shared" si="172"/>
        <v>https://oknesset.org/committee/meeting/14030/</v>
      </c>
    </row>
    <row r="908" ht="14.25" customHeight="1">
      <c r="A908" s="2" t="s">
        <v>10</v>
      </c>
      <c r="B908" s="1" t="s">
        <v>270</v>
      </c>
      <c r="C908" s="2" t="s">
        <v>29</v>
      </c>
      <c r="D908" s="2" t="s">
        <v>278</v>
      </c>
      <c r="E908" s="3" t="str">
        <f t="shared" si="172"/>
        <v>https://oknesset.org/committee/meeting/14030/</v>
      </c>
    </row>
    <row r="909" ht="14.25" customHeight="1">
      <c r="A909" s="2" t="s">
        <v>218</v>
      </c>
      <c r="B909" s="1" t="s">
        <v>270</v>
      </c>
      <c r="C909" s="2" t="s">
        <v>29</v>
      </c>
      <c r="D909" s="2" t="s">
        <v>278</v>
      </c>
      <c r="E909" s="3" t="str">
        <f t="shared" si="172"/>
        <v>https://oknesset.org/committee/meeting/14030/</v>
      </c>
    </row>
    <row r="910" ht="14.25" customHeight="1">
      <c r="A910" s="2" t="s">
        <v>35</v>
      </c>
      <c r="B910" s="1" t="s">
        <v>270</v>
      </c>
      <c r="C910" s="2" t="s">
        <v>29</v>
      </c>
      <c r="D910" s="2" t="s">
        <v>278</v>
      </c>
      <c r="E910" s="3" t="str">
        <f t="shared" si="172"/>
        <v>https://oknesset.org/committee/meeting/14030/</v>
      </c>
    </row>
    <row r="911" ht="14.25" customHeight="1">
      <c r="A911" s="2" t="s">
        <v>76</v>
      </c>
      <c r="B911" s="1" t="s">
        <v>270</v>
      </c>
      <c r="C911" s="2" t="s">
        <v>52</v>
      </c>
      <c r="D911" s="2" t="s">
        <v>161</v>
      </c>
      <c r="E911" s="3" t="str">
        <f t="shared" ref="E911:E914" si="173">HYPERLINK("https://oknesset.org/committee/meeting/14246/","https://oknesset.org/committee/meeting/14246/")</f>
        <v>https://oknesset.org/committee/meeting/14246/</v>
      </c>
    </row>
    <row r="912" ht="14.25" customHeight="1">
      <c r="A912" s="2" t="s">
        <v>57</v>
      </c>
      <c r="B912" s="1" t="s">
        <v>270</v>
      </c>
      <c r="C912" s="2" t="s">
        <v>52</v>
      </c>
      <c r="D912" s="2" t="s">
        <v>161</v>
      </c>
      <c r="E912" s="3" t="str">
        <f t="shared" si="173"/>
        <v>https://oknesset.org/committee/meeting/14246/</v>
      </c>
    </row>
    <row r="913" ht="14.25" customHeight="1">
      <c r="A913" s="2" t="s">
        <v>64</v>
      </c>
      <c r="B913" s="1" t="s">
        <v>270</v>
      </c>
      <c r="C913" s="2" t="s">
        <v>52</v>
      </c>
      <c r="D913" s="2" t="s">
        <v>161</v>
      </c>
      <c r="E913" s="3" t="str">
        <f t="shared" si="173"/>
        <v>https://oknesset.org/committee/meeting/14246/</v>
      </c>
    </row>
    <row r="914" ht="14.25" customHeight="1">
      <c r="A914" s="2" t="s">
        <v>108</v>
      </c>
      <c r="B914" s="1" t="s">
        <v>270</v>
      </c>
      <c r="C914" s="2" t="s">
        <v>52</v>
      </c>
      <c r="D914" s="2" t="s">
        <v>161</v>
      </c>
      <c r="E914" s="3" t="str">
        <f t="shared" si="173"/>
        <v>https://oknesset.org/committee/meeting/14246/</v>
      </c>
    </row>
    <row r="915" ht="14.25" customHeight="1">
      <c r="A915" s="2" t="s">
        <v>64</v>
      </c>
      <c r="B915" s="1" t="s">
        <v>270</v>
      </c>
      <c r="C915" s="2" t="s">
        <v>52</v>
      </c>
      <c r="D915" s="2" t="s">
        <v>279</v>
      </c>
      <c r="E915" s="3" t="str">
        <f t="shared" ref="E915:E917" si="174">HYPERLINK("https://oknesset.org/committee/meeting/14245/","https://oknesset.org/committee/meeting/14245/")</f>
        <v>https://oknesset.org/committee/meeting/14245/</v>
      </c>
    </row>
    <row r="916" ht="14.25" customHeight="1">
      <c r="A916" s="2" t="s">
        <v>127</v>
      </c>
      <c r="B916" s="1" t="s">
        <v>270</v>
      </c>
      <c r="C916" s="2" t="s">
        <v>52</v>
      </c>
      <c r="D916" s="2" t="s">
        <v>279</v>
      </c>
      <c r="E916" s="3" t="str">
        <f t="shared" si="174"/>
        <v>https://oknesset.org/committee/meeting/14245/</v>
      </c>
    </row>
    <row r="917" ht="14.25" customHeight="1">
      <c r="A917" s="2" t="s">
        <v>97</v>
      </c>
      <c r="B917" s="1" t="s">
        <v>270</v>
      </c>
      <c r="C917" s="2" t="s">
        <v>52</v>
      </c>
      <c r="D917" s="2" t="s">
        <v>279</v>
      </c>
      <c r="E917" s="3" t="str">
        <f t="shared" si="174"/>
        <v>https://oknesset.org/committee/meeting/14245/</v>
      </c>
    </row>
    <row r="918" ht="14.25" customHeight="1">
      <c r="A918" s="2" t="s">
        <v>34</v>
      </c>
      <c r="B918" s="1" t="s">
        <v>270</v>
      </c>
      <c r="C918" s="2" t="s">
        <v>52</v>
      </c>
      <c r="D918" s="2" t="s">
        <v>116</v>
      </c>
      <c r="E918" s="3" t="str">
        <f t="shared" ref="E918:E923" si="175">HYPERLINK("https://oknesset.org/committee/meeting/14244/","https://oknesset.org/committee/meeting/14244/")</f>
        <v>https://oknesset.org/committee/meeting/14244/</v>
      </c>
    </row>
    <row r="919" ht="14.25" customHeight="1">
      <c r="A919" s="2" t="s">
        <v>57</v>
      </c>
      <c r="B919" s="1" t="s">
        <v>270</v>
      </c>
      <c r="C919" s="2" t="s">
        <v>52</v>
      </c>
      <c r="D919" s="2" t="s">
        <v>116</v>
      </c>
      <c r="E919" s="3" t="str">
        <f t="shared" si="175"/>
        <v>https://oknesset.org/committee/meeting/14244/</v>
      </c>
    </row>
    <row r="920" ht="14.25" customHeight="1">
      <c r="A920" s="2" t="s">
        <v>95</v>
      </c>
      <c r="B920" s="1" t="s">
        <v>270</v>
      </c>
      <c r="C920" s="2" t="s">
        <v>52</v>
      </c>
      <c r="D920" s="2" t="s">
        <v>116</v>
      </c>
      <c r="E920" s="3" t="str">
        <f t="shared" si="175"/>
        <v>https://oknesset.org/committee/meeting/14244/</v>
      </c>
    </row>
    <row r="921" ht="14.25" customHeight="1">
      <c r="A921" s="2" t="s">
        <v>101</v>
      </c>
      <c r="B921" s="1" t="s">
        <v>270</v>
      </c>
      <c r="C921" s="2" t="s">
        <v>52</v>
      </c>
      <c r="D921" s="2" t="s">
        <v>116</v>
      </c>
      <c r="E921" s="3" t="str">
        <f t="shared" si="175"/>
        <v>https://oknesset.org/committee/meeting/14244/</v>
      </c>
    </row>
    <row r="922" ht="14.25" customHeight="1">
      <c r="A922" s="2" t="s">
        <v>97</v>
      </c>
      <c r="B922" s="1" t="s">
        <v>270</v>
      </c>
      <c r="C922" s="2" t="s">
        <v>52</v>
      </c>
      <c r="D922" s="2" t="s">
        <v>116</v>
      </c>
      <c r="E922" s="3" t="str">
        <f t="shared" si="175"/>
        <v>https://oknesset.org/committee/meeting/14244/</v>
      </c>
    </row>
    <row r="923" ht="14.25" customHeight="1">
      <c r="A923" s="2" t="s">
        <v>108</v>
      </c>
      <c r="B923" s="1" t="s">
        <v>270</v>
      </c>
      <c r="C923" s="2" t="s">
        <v>52</v>
      </c>
      <c r="D923" s="2" t="s">
        <v>116</v>
      </c>
      <c r="E923" s="3" t="str">
        <f t="shared" si="175"/>
        <v>https://oknesset.org/committee/meeting/14244/</v>
      </c>
    </row>
    <row r="924" ht="14.25" customHeight="1">
      <c r="A924" s="2" t="s">
        <v>196</v>
      </c>
      <c r="B924" s="1" t="s">
        <v>270</v>
      </c>
      <c r="C924" s="2" t="s">
        <v>42</v>
      </c>
      <c r="D924" s="2" t="s">
        <v>280</v>
      </c>
      <c r="E924" s="3" t="str">
        <f t="shared" ref="E924:E927" si="176">HYPERLINK("https://oknesset.org/committee/meeting/14355/","https://oknesset.org/committee/meeting/14355/")</f>
        <v>https://oknesset.org/committee/meeting/14355/</v>
      </c>
    </row>
    <row r="925" ht="14.25" customHeight="1">
      <c r="A925" s="2" t="s">
        <v>16</v>
      </c>
      <c r="B925" s="1" t="s">
        <v>270</v>
      </c>
      <c r="C925" s="2" t="s">
        <v>42</v>
      </c>
      <c r="D925" s="2" t="s">
        <v>280</v>
      </c>
      <c r="E925" s="3" t="str">
        <f t="shared" si="176"/>
        <v>https://oknesset.org/committee/meeting/14355/</v>
      </c>
    </row>
    <row r="926" ht="14.25" customHeight="1">
      <c r="A926" s="2" t="s">
        <v>64</v>
      </c>
      <c r="B926" s="1" t="s">
        <v>270</v>
      </c>
      <c r="C926" s="2" t="s">
        <v>42</v>
      </c>
      <c r="D926" s="2" t="s">
        <v>280</v>
      </c>
      <c r="E926" s="3" t="str">
        <f t="shared" si="176"/>
        <v>https://oknesset.org/committee/meeting/14355/</v>
      </c>
    </row>
    <row r="927" ht="14.25" customHeight="1">
      <c r="A927" s="2" t="s">
        <v>74</v>
      </c>
      <c r="B927" s="1" t="s">
        <v>270</v>
      </c>
      <c r="C927" s="2" t="s">
        <v>42</v>
      </c>
      <c r="D927" s="2" t="s">
        <v>280</v>
      </c>
      <c r="E927" s="3" t="str">
        <f t="shared" si="176"/>
        <v>https://oknesset.org/committee/meeting/14355/</v>
      </c>
    </row>
    <row r="928" ht="14.25" customHeight="1">
      <c r="A928" s="2" t="s">
        <v>85</v>
      </c>
      <c r="B928" s="1" t="s">
        <v>270</v>
      </c>
      <c r="C928" s="2" t="s">
        <v>45</v>
      </c>
      <c r="D928" s="2" t="s">
        <v>281</v>
      </c>
      <c r="E928" s="3" t="str">
        <f t="shared" ref="E928:E937" si="177">HYPERLINK("https://oknesset.org/committee/meeting/14134/","https://oknesset.org/committee/meeting/14134/")</f>
        <v>https://oknesset.org/committee/meeting/14134/</v>
      </c>
    </row>
    <row r="929" ht="14.25" customHeight="1">
      <c r="A929" s="2" t="s">
        <v>20</v>
      </c>
      <c r="B929" s="1" t="s">
        <v>270</v>
      </c>
      <c r="C929" s="2" t="s">
        <v>45</v>
      </c>
      <c r="D929" s="2" t="s">
        <v>281</v>
      </c>
      <c r="E929" s="3" t="str">
        <f t="shared" si="177"/>
        <v>https://oknesset.org/committee/meeting/14134/</v>
      </c>
    </row>
    <row r="930" ht="14.25" customHeight="1">
      <c r="A930" s="2" t="s">
        <v>17</v>
      </c>
      <c r="B930" s="1" t="s">
        <v>270</v>
      </c>
      <c r="C930" s="2" t="s">
        <v>45</v>
      </c>
      <c r="D930" s="2" t="s">
        <v>281</v>
      </c>
      <c r="E930" s="3" t="str">
        <f t="shared" si="177"/>
        <v>https://oknesset.org/committee/meeting/14134/</v>
      </c>
    </row>
    <row r="931" ht="14.25" customHeight="1">
      <c r="A931" s="2" t="s">
        <v>107</v>
      </c>
      <c r="B931" s="1" t="s">
        <v>270</v>
      </c>
      <c r="C931" s="2" t="s">
        <v>45</v>
      </c>
      <c r="D931" s="2" t="s">
        <v>281</v>
      </c>
      <c r="E931" s="3" t="str">
        <f t="shared" si="177"/>
        <v>https://oknesset.org/committee/meeting/14134/</v>
      </c>
    </row>
    <row r="932" ht="14.25" customHeight="1">
      <c r="A932" s="2" t="s">
        <v>14</v>
      </c>
      <c r="B932" s="1" t="s">
        <v>270</v>
      </c>
      <c r="C932" s="2" t="s">
        <v>45</v>
      </c>
      <c r="D932" s="2" t="s">
        <v>281</v>
      </c>
      <c r="E932" s="3" t="str">
        <f t="shared" si="177"/>
        <v>https://oknesset.org/committee/meeting/14134/</v>
      </c>
    </row>
    <row r="933" ht="14.25" customHeight="1">
      <c r="A933" s="2" t="s">
        <v>114</v>
      </c>
      <c r="B933" s="1" t="s">
        <v>270</v>
      </c>
      <c r="C933" s="2" t="s">
        <v>45</v>
      </c>
      <c r="D933" s="2" t="s">
        <v>281</v>
      </c>
      <c r="E933" s="3" t="str">
        <f t="shared" si="177"/>
        <v>https://oknesset.org/committee/meeting/14134/</v>
      </c>
    </row>
    <row r="934" ht="14.25" customHeight="1">
      <c r="A934" s="2" t="s">
        <v>86</v>
      </c>
      <c r="B934" s="1" t="s">
        <v>270</v>
      </c>
      <c r="C934" s="2" t="s">
        <v>45</v>
      </c>
      <c r="D934" s="2" t="s">
        <v>281</v>
      </c>
      <c r="E934" s="3" t="str">
        <f t="shared" si="177"/>
        <v>https://oknesset.org/committee/meeting/14134/</v>
      </c>
    </row>
    <row r="935" ht="14.25" customHeight="1">
      <c r="A935" s="2" t="s">
        <v>76</v>
      </c>
      <c r="B935" s="1" t="s">
        <v>270</v>
      </c>
      <c r="C935" s="2" t="s">
        <v>45</v>
      </c>
      <c r="D935" s="2" t="s">
        <v>281</v>
      </c>
      <c r="E935" s="3" t="str">
        <f t="shared" si="177"/>
        <v>https://oknesset.org/committee/meeting/14134/</v>
      </c>
    </row>
    <row r="936" ht="14.25" customHeight="1">
      <c r="A936" s="2" t="s">
        <v>9</v>
      </c>
      <c r="B936" s="1" t="s">
        <v>270</v>
      </c>
      <c r="C936" s="2" t="s">
        <v>45</v>
      </c>
      <c r="D936" s="2" t="s">
        <v>281</v>
      </c>
      <c r="E936" s="3" t="str">
        <f t="shared" si="177"/>
        <v>https://oknesset.org/committee/meeting/14134/</v>
      </c>
    </row>
    <row r="937" ht="14.25" customHeight="1">
      <c r="A937" s="2" t="s">
        <v>5</v>
      </c>
      <c r="B937" s="1" t="s">
        <v>270</v>
      </c>
      <c r="C937" s="2" t="s">
        <v>45</v>
      </c>
      <c r="D937" s="2" t="s">
        <v>281</v>
      </c>
      <c r="E937" s="3" t="str">
        <f t="shared" si="177"/>
        <v>https://oknesset.org/committee/meeting/14134/</v>
      </c>
    </row>
    <row r="938" ht="14.25" customHeight="1">
      <c r="A938" s="2" t="s">
        <v>15</v>
      </c>
      <c r="B938" s="1" t="s">
        <v>270</v>
      </c>
      <c r="C938" s="2" t="s">
        <v>45</v>
      </c>
      <c r="D938" s="2" t="s">
        <v>282</v>
      </c>
      <c r="E938" s="3" t="str">
        <f t="shared" ref="E938:E939" si="178">HYPERLINK("https://oknesset.org/committee/meeting/14135/","https://oknesset.org/committee/meeting/14135/")</f>
        <v>https://oknesset.org/committee/meeting/14135/</v>
      </c>
    </row>
    <row r="939" ht="14.25" customHeight="1">
      <c r="A939" s="2" t="s">
        <v>9</v>
      </c>
      <c r="B939" s="1" t="s">
        <v>270</v>
      </c>
      <c r="C939" s="2" t="s">
        <v>45</v>
      </c>
      <c r="D939" s="2" t="s">
        <v>282</v>
      </c>
      <c r="E939" s="3" t="str">
        <f t="shared" si="178"/>
        <v>https://oknesset.org/committee/meeting/14135/</v>
      </c>
    </row>
    <row r="940" ht="14.25" customHeight="1">
      <c r="A940" s="2" t="s">
        <v>85</v>
      </c>
      <c r="B940" s="1" t="s">
        <v>270</v>
      </c>
      <c r="C940" s="2" t="s">
        <v>45</v>
      </c>
      <c r="D940" s="2" t="s">
        <v>276</v>
      </c>
      <c r="E940" s="3" t="str">
        <f t="shared" ref="E940:E941" si="179">HYPERLINK("https://oknesset.org/committee/meeting/14136/","https://oknesset.org/committee/meeting/14136/")</f>
        <v>https://oknesset.org/committee/meeting/14136/</v>
      </c>
    </row>
    <row r="941" ht="14.25" customHeight="1">
      <c r="A941" s="2" t="s">
        <v>54</v>
      </c>
      <c r="B941" s="1" t="s">
        <v>270</v>
      </c>
      <c r="C941" s="2" t="s">
        <v>45</v>
      </c>
      <c r="D941" s="2" t="s">
        <v>276</v>
      </c>
      <c r="E941" s="3" t="str">
        <f t="shared" si="179"/>
        <v>https://oknesset.org/committee/meeting/14136/</v>
      </c>
    </row>
    <row r="942" ht="14.25" customHeight="1">
      <c r="A942" s="2" t="s">
        <v>61</v>
      </c>
      <c r="B942" s="1" t="s">
        <v>270</v>
      </c>
      <c r="C942" s="2" t="s">
        <v>48</v>
      </c>
      <c r="D942" s="2" t="s">
        <v>283</v>
      </c>
      <c r="E942" s="3" t="str">
        <f t="shared" ref="E942:E944" si="180">HYPERLINK("https://oknesset.org/committee/meeting/14183/","https://oknesset.org/committee/meeting/14183/")</f>
        <v>https://oknesset.org/committee/meeting/14183/</v>
      </c>
    </row>
    <row r="943" ht="14.25" customHeight="1">
      <c r="A943" s="2" t="s">
        <v>32</v>
      </c>
      <c r="B943" s="1" t="s">
        <v>270</v>
      </c>
      <c r="C943" s="2" t="s">
        <v>48</v>
      </c>
      <c r="D943" s="2" t="s">
        <v>283</v>
      </c>
      <c r="E943" s="3" t="str">
        <f t="shared" si="180"/>
        <v>https://oknesset.org/committee/meeting/14183/</v>
      </c>
    </row>
    <row r="944" ht="14.25" customHeight="1">
      <c r="A944" s="2" t="s">
        <v>284</v>
      </c>
      <c r="B944" s="1" t="s">
        <v>270</v>
      </c>
      <c r="C944" s="2" t="s">
        <v>48</v>
      </c>
      <c r="D944" s="2" t="s">
        <v>283</v>
      </c>
      <c r="E944" s="3" t="str">
        <f t="shared" si="180"/>
        <v>https://oknesset.org/committee/meeting/14183/</v>
      </c>
    </row>
    <row r="945" ht="14.25" customHeight="1">
      <c r="A945" s="2" t="s">
        <v>196</v>
      </c>
      <c r="B945" s="1" t="s">
        <v>270</v>
      </c>
      <c r="C945" s="2" t="s">
        <v>29</v>
      </c>
      <c r="D945" s="2" t="s">
        <v>278</v>
      </c>
      <c r="E945" s="3" t="str">
        <f>HYPERLINK("https://oknesset.org/committee/meeting/14030/","https://oknesset.org/committee/meeting/14030/")</f>
        <v>https://oknesset.org/committee/meeting/14030/</v>
      </c>
    </row>
    <row r="946" ht="14.25" customHeight="1">
      <c r="A946" s="2" t="s">
        <v>127</v>
      </c>
      <c r="B946" s="1" t="s">
        <v>270</v>
      </c>
      <c r="C946" s="2" t="s">
        <v>159</v>
      </c>
      <c r="D946" s="2" t="s">
        <v>272</v>
      </c>
      <c r="E946" s="3" t="str">
        <f t="shared" ref="E946:E947" si="181">HYPERLINK("https://oknesset.org/committee/meeting/14333/","https://oknesset.org/committee/meeting/14333/")</f>
        <v>https://oknesset.org/committee/meeting/14333/</v>
      </c>
    </row>
    <row r="947" ht="14.25" customHeight="1">
      <c r="A947" s="2" t="s">
        <v>95</v>
      </c>
      <c r="B947" s="1" t="s">
        <v>270</v>
      </c>
      <c r="C947" s="2" t="s">
        <v>159</v>
      </c>
      <c r="D947" s="2" t="s">
        <v>272</v>
      </c>
      <c r="E947" s="3" t="str">
        <f t="shared" si="181"/>
        <v>https://oknesset.org/committee/meeting/14333/</v>
      </c>
    </row>
    <row r="948" ht="14.25" customHeight="1">
      <c r="A948" s="2" t="s">
        <v>104</v>
      </c>
      <c r="B948" s="1" t="s">
        <v>270</v>
      </c>
      <c r="C948" s="2" t="s">
        <v>70</v>
      </c>
      <c r="D948" s="2" t="s">
        <v>271</v>
      </c>
      <c r="E948" s="3" t="str">
        <f t="shared" ref="E948:E953" si="182">HYPERLINK("https://oknesset.org/committee/meeting/14084/","https://oknesset.org/committee/meeting/14084/")</f>
        <v>https://oknesset.org/committee/meeting/14084/</v>
      </c>
    </row>
    <row r="949" ht="14.25" customHeight="1">
      <c r="A949" s="2" t="s">
        <v>107</v>
      </c>
      <c r="B949" s="1" t="s">
        <v>270</v>
      </c>
      <c r="C949" s="2" t="s">
        <v>70</v>
      </c>
      <c r="D949" s="2" t="s">
        <v>271</v>
      </c>
      <c r="E949" s="3" t="str">
        <f t="shared" si="182"/>
        <v>https://oknesset.org/committee/meeting/14084/</v>
      </c>
    </row>
    <row r="950" ht="14.25" customHeight="1">
      <c r="A950" s="2" t="s">
        <v>84</v>
      </c>
      <c r="B950" s="1" t="s">
        <v>270</v>
      </c>
      <c r="C950" s="2" t="s">
        <v>70</v>
      </c>
      <c r="D950" s="2" t="s">
        <v>271</v>
      </c>
      <c r="E950" s="3" t="str">
        <f t="shared" si="182"/>
        <v>https://oknesset.org/committee/meeting/14084/</v>
      </c>
    </row>
    <row r="951" ht="14.25" customHeight="1">
      <c r="A951" s="2" t="s">
        <v>15</v>
      </c>
      <c r="B951" s="1" t="s">
        <v>270</v>
      </c>
      <c r="C951" s="2" t="s">
        <v>70</v>
      </c>
      <c r="D951" s="2" t="s">
        <v>271</v>
      </c>
      <c r="E951" s="3" t="str">
        <f t="shared" si="182"/>
        <v>https://oknesset.org/committee/meeting/14084/</v>
      </c>
    </row>
    <row r="952" ht="14.25" customHeight="1">
      <c r="A952" s="2" t="s">
        <v>114</v>
      </c>
      <c r="B952" s="1" t="s">
        <v>270</v>
      </c>
      <c r="C952" s="2" t="s">
        <v>70</v>
      </c>
      <c r="D952" s="2" t="s">
        <v>271</v>
      </c>
      <c r="E952" s="3" t="str">
        <f t="shared" si="182"/>
        <v>https://oknesset.org/committee/meeting/14084/</v>
      </c>
    </row>
    <row r="953" ht="14.25" customHeight="1">
      <c r="A953" s="2" t="s">
        <v>54</v>
      </c>
      <c r="B953" s="1" t="s">
        <v>270</v>
      </c>
      <c r="C953" s="2" t="s">
        <v>70</v>
      </c>
      <c r="D953" s="2" t="s">
        <v>271</v>
      </c>
      <c r="E953" s="3" t="str">
        <f t="shared" si="182"/>
        <v>https://oknesset.org/committee/meeting/14084/</v>
      </c>
    </row>
    <row r="954" ht="14.25" customHeight="1">
      <c r="A954" s="2" t="s">
        <v>34</v>
      </c>
      <c r="B954" s="1" t="s">
        <v>285</v>
      </c>
      <c r="C954" s="2" t="s">
        <v>70</v>
      </c>
      <c r="D954" s="2" t="s">
        <v>286</v>
      </c>
      <c r="E954" s="3" t="str">
        <f t="shared" ref="E954:E963" si="183">HYPERLINK("https://oknesset.org/committee/meeting/14081/","https://oknesset.org/committee/meeting/14081/")</f>
        <v>https://oknesset.org/committee/meeting/14081/</v>
      </c>
    </row>
    <row r="955" ht="14.25" customHeight="1">
      <c r="A955" s="2" t="s">
        <v>61</v>
      </c>
      <c r="B955" s="1" t="s">
        <v>285</v>
      </c>
      <c r="C955" s="2" t="s">
        <v>70</v>
      </c>
      <c r="D955" s="2" t="s">
        <v>286</v>
      </c>
      <c r="E955" s="3" t="str">
        <f t="shared" si="183"/>
        <v>https://oknesset.org/committee/meeting/14081/</v>
      </c>
    </row>
    <row r="956" ht="14.25" customHeight="1">
      <c r="A956" s="2" t="s">
        <v>31</v>
      </c>
      <c r="B956" s="1" t="s">
        <v>285</v>
      </c>
      <c r="C956" s="2" t="s">
        <v>70</v>
      </c>
      <c r="D956" s="2" t="s">
        <v>286</v>
      </c>
      <c r="E956" s="3" t="str">
        <f t="shared" si="183"/>
        <v>https://oknesset.org/committee/meeting/14081/</v>
      </c>
    </row>
    <row r="957" ht="14.25" customHeight="1">
      <c r="A957" s="2" t="s">
        <v>36</v>
      </c>
      <c r="B957" s="1" t="s">
        <v>285</v>
      </c>
      <c r="C957" s="2" t="s">
        <v>70</v>
      </c>
      <c r="D957" s="2" t="s">
        <v>286</v>
      </c>
      <c r="E957" s="3" t="str">
        <f t="shared" si="183"/>
        <v>https://oknesset.org/committee/meeting/14081/</v>
      </c>
    </row>
    <row r="958" ht="14.25" customHeight="1">
      <c r="A958" s="2" t="s">
        <v>107</v>
      </c>
      <c r="B958" s="1" t="s">
        <v>285</v>
      </c>
      <c r="C958" s="2" t="s">
        <v>70</v>
      </c>
      <c r="D958" s="2" t="s">
        <v>286</v>
      </c>
      <c r="E958" s="3" t="str">
        <f t="shared" si="183"/>
        <v>https://oknesset.org/committee/meeting/14081/</v>
      </c>
    </row>
    <row r="959" ht="14.25" customHeight="1">
      <c r="A959" s="2" t="s">
        <v>106</v>
      </c>
      <c r="B959" s="1" t="s">
        <v>285</v>
      </c>
      <c r="C959" s="2" t="s">
        <v>70</v>
      </c>
      <c r="D959" s="2" t="s">
        <v>286</v>
      </c>
      <c r="E959" s="3" t="str">
        <f t="shared" si="183"/>
        <v>https://oknesset.org/committee/meeting/14081/</v>
      </c>
    </row>
    <row r="960" ht="14.25" customHeight="1">
      <c r="A960" s="2" t="s">
        <v>88</v>
      </c>
      <c r="B960" s="1" t="s">
        <v>285</v>
      </c>
      <c r="C960" s="2" t="s">
        <v>70</v>
      </c>
      <c r="D960" s="2" t="s">
        <v>286</v>
      </c>
      <c r="E960" s="3" t="str">
        <f t="shared" si="183"/>
        <v>https://oknesset.org/committee/meeting/14081/</v>
      </c>
    </row>
    <row r="961" ht="14.25" customHeight="1">
      <c r="A961" s="2" t="s">
        <v>104</v>
      </c>
      <c r="B961" s="1" t="s">
        <v>285</v>
      </c>
      <c r="C961" s="2" t="s">
        <v>70</v>
      </c>
      <c r="D961" s="2" t="s">
        <v>286</v>
      </c>
      <c r="E961" s="3" t="str">
        <f t="shared" si="183"/>
        <v>https://oknesset.org/committee/meeting/14081/</v>
      </c>
    </row>
    <row r="962" ht="14.25" customHeight="1">
      <c r="A962" s="2" t="s">
        <v>103</v>
      </c>
      <c r="B962" s="1" t="s">
        <v>285</v>
      </c>
      <c r="C962" s="2" t="s">
        <v>70</v>
      </c>
      <c r="D962" s="2" t="s">
        <v>286</v>
      </c>
      <c r="E962" s="3" t="str">
        <f t="shared" si="183"/>
        <v>https://oknesset.org/committee/meeting/14081/</v>
      </c>
    </row>
    <row r="963" ht="14.25" customHeight="1">
      <c r="A963" s="2" t="s">
        <v>95</v>
      </c>
      <c r="B963" s="1" t="s">
        <v>285</v>
      </c>
      <c r="C963" s="2" t="s">
        <v>70</v>
      </c>
      <c r="D963" s="2" t="s">
        <v>286</v>
      </c>
      <c r="E963" s="3" t="str">
        <f t="shared" si="183"/>
        <v>https://oknesset.org/committee/meeting/14081/</v>
      </c>
    </row>
    <row r="964" ht="14.25" customHeight="1">
      <c r="A964" s="2" t="s">
        <v>41</v>
      </c>
      <c r="B964" s="1" t="s">
        <v>285</v>
      </c>
      <c r="C964" s="2" t="s">
        <v>42</v>
      </c>
      <c r="D964" s="2" t="s">
        <v>287</v>
      </c>
      <c r="E964" s="3" t="str">
        <f t="shared" ref="E964:E967" si="184">HYPERLINK("https://oknesset.org/committee/meeting/14354/","https://oknesset.org/committee/meeting/14354/")</f>
        <v>https://oknesset.org/committee/meeting/14354/</v>
      </c>
    </row>
    <row r="965" ht="14.25" customHeight="1">
      <c r="A965" s="2" t="s">
        <v>288</v>
      </c>
      <c r="B965" s="1" t="s">
        <v>285</v>
      </c>
      <c r="C965" s="2" t="s">
        <v>42</v>
      </c>
      <c r="D965" s="2" t="s">
        <v>287</v>
      </c>
      <c r="E965" s="3" t="str">
        <f t="shared" si="184"/>
        <v>https://oknesset.org/committee/meeting/14354/</v>
      </c>
    </row>
    <row r="966" ht="14.25" customHeight="1">
      <c r="A966" s="2" t="s">
        <v>115</v>
      </c>
      <c r="B966" s="1" t="s">
        <v>285</v>
      </c>
      <c r="C966" s="2" t="s">
        <v>42</v>
      </c>
      <c r="D966" s="2" t="s">
        <v>287</v>
      </c>
      <c r="E966" s="3" t="str">
        <f t="shared" si="184"/>
        <v>https://oknesset.org/committee/meeting/14354/</v>
      </c>
    </row>
    <row r="967" ht="14.25" customHeight="1">
      <c r="A967" s="2" t="s">
        <v>17</v>
      </c>
      <c r="B967" s="1" t="s">
        <v>285</v>
      </c>
      <c r="C967" s="2" t="s">
        <v>42</v>
      </c>
      <c r="D967" s="2" t="s">
        <v>287</v>
      </c>
      <c r="E967" s="3" t="str">
        <f t="shared" si="184"/>
        <v>https://oknesset.org/committee/meeting/14354/</v>
      </c>
    </row>
    <row r="968" ht="14.25" customHeight="1">
      <c r="A968" s="2" t="s">
        <v>47</v>
      </c>
      <c r="B968" s="1" t="s">
        <v>285</v>
      </c>
      <c r="C968" s="2" t="s">
        <v>65</v>
      </c>
      <c r="D968" s="2" t="s">
        <v>289</v>
      </c>
      <c r="E968" s="3" t="str">
        <f>HYPERLINK("https://oknesset.org/committee/meeting/14171/","https://oknesset.org/committee/meeting/14171/")</f>
        <v>https://oknesset.org/committee/meeting/14171/</v>
      </c>
    </row>
    <row r="969" ht="14.25" customHeight="1">
      <c r="A969" s="2" t="s">
        <v>108</v>
      </c>
      <c r="B969" s="1" t="s">
        <v>285</v>
      </c>
      <c r="C969" s="2" t="s">
        <v>52</v>
      </c>
      <c r="D969" s="2" t="s">
        <v>290</v>
      </c>
      <c r="E969" s="3" t="str">
        <f t="shared" ref="E969:E972" si="185">HYPERLINK("https://oknesset.org/committee/meeting/14243/","https://oknesset.org/committee/meeting/14243/")</f>
        <v>https://oknesset.org/committee/meeting/14243/</v>
      </c>
    </row>
    <row r="970" ht="14.25" customHeight="1">
      <c r="A970" s="2" t="s">
        <v>97</v>
      </c>
      <c r="B970" s="1" t="s">
        <v>285</v>
      </c>
      <c r="C970" s="2" t="s">
        <v>52</v>
      </c>
      <c r="D970" s="2" t="s">
        <v>290</v>
      </c>
      <c r="E970" s="3" t="str">
        <f t="shared" si="185"/>
        <v>https://oknesset.org/committee/meeting/14243/</v>
      </c>
    </row>
    <row r="971" ht="14.25" customHeight="1">
      <c r="A971" s="2" t="s">
        <v>64</v>
      </c>
      <c r="B971" s="1" t="s">
        <v>285</v>
      </c>
      <c r="C971" s="2" t="s">
        <v>52</v>
      </c>
      <c r="D971" s="2" t="s">
        <v>290</v>
      </c>
      <c r="E971" s="3" t="str">
        <f t="shared" si="185"/>
        <v>https://oknesset.org/committee/meeting/14243/</v>
      </c>
    </row>
    <row r="972" ht="14.25" customHeight="1">
      <c r="A972" s="2" t="s">
        <v>11</v>
      </c>
      <c r="B972" s="1" t="s">
        <v>285</v>
      </c>
      <c r="C972" s="2" t="s">
        <v>52</v>
      </c>
      <c r="D972" s="2" t="s">
        <v>290</v>
      </c>
      <c r="E972" s="3" t="str">
        <f t="shared" si="185"/>
        <v>https://oknesset.org/committee/meeting/14243/</v>
      </c>
    </row>
    <row r="973" ht="14.25" customHeight="1">
      <c r="A973" s="2" t="s">
        <v>61</v>
      </c>
      <c r="B973" s="1" t="s">
        <v>285</v>
      </c>
      <c r="C973" s="2" t="s">
        <v>45</v>
      </c>
      <c r="D973" s="2" t="s">
        <v>291</v>
      </c>
      <c r="E973" s="3" t="str">
        <f t="shared" ref="E973:E974" si="186">HYPERLINK("https://oknesset.org/committee/meeting/14131/","https://oknesset.org/committee/meeting/14131/")</f>
        <v>https://oknesset.org/committee/meeting/14131/</v>
      </c>
    </row>
    <row r="974" ht="14.25" customHeight="1">
      <c r="A974" s="2" t="s">
        <v>9</v>
      </c>
      <c r="B974" s="1" t="s">
        <v>285</v>
      </c>
      <c r="C974" s="2" t="s">
        <v>45</v>
      </c>
      <c r="D974" s="2" t="s">
        <v>291</v>
      </c>
      <c r="E974" s="3" t="str">
        <f t="shared" si="186"/>
        <v>https://oknesset.org/committee/meeting/14131/</v>
      </c>
    </row>
    <row r="975" ht="14.25" customHeight="1">
      <c r="A975" s="2" t="s">
        <v>64</v>
      </c>
      <c r="B975" s="1" t="s">
        <v>285</v>
      </c>
      <c r="C975" s="2" t="s">
        <v>70</v>
      </c>
      <c r="D975" s="2" t="s">
        <v>292</v>
      </c>
      <c r="E975" s="3" t="str">
        <f t="shared" ref="E975:E982" si="187">HYPERLINK("https://oknesset.org/committee/meeting/14083/","https://oknesset.org/committee/meeting/14083/")</f>
        <v>https://oknesset.org/committee/meeting/14083/</v>
      </c>
    </row>
    <row r="976" ht="14.25" customHeight="1">
      <c r="A976" s="2" t="s">
        <v>85</v>
      </c>
      <c r="B976" s="1" t="s">
        <v>285</v>
      </c>
      <c r="C976" s="2" t="s">
        <v>70</v>
      </c>
      <c r="D976" s="2" t="s">
        <v>292</v>
      </c>
      <c r="E976" s="3" t="str">
        <f t="shared" si="187"/>
        <v>https://oknesset.org/committee/meeting/14083/</v>
      </c>
    </row>
    <row r="977" ht="14.25" customHeight="1">
      <c r="A977" s="2" t="s">
        <v>36</v>
      </c>
      <c r="B977" s="1" t="s">
        <v>285</v>
      </c>
      <c r="C977" s="2" t="s">
        <v>70</v>
      </c>
      <c r="D977" s="2" t="s">
        <v>292</v>
      </c>
      <c r="E977" s="3" t="str">
        <f t="shared" si="187"/>
        <v>https://oknesset.org/committee/meeting/14083/</v>
      </c>
    </row>
    <row r="978" ht="14.25" customHeight="1">
      <c r="A978" s="2" t="s">
        <v>107</v>
      </c>
      <c r="B978" s="1" t="s">
        <v>285</v>
      </c>
      <c r="C978" s="2" t="s">
        <v>70</v>
      </c>
      <c r="D978" s="2" t="s">
        <v>292</v>
      </c>
      <c r="E978" s="3" t="str">
        <f t="shared" si="187"/>
        <v>https://oknesset.org/committee/meeting/14083/</v>
      </c>
    </row>
    <row r="979" ht="14.25" customHeight="1">
      <c r="A979" s="2" t="s">
        <v>106</v>
      </c>
      <c r="B979" s="1" t="s">
        <v>285</v>
      </c>
      <c r="C979" s="2" t="s">
        <v>70</v>
      </c>
      <c r="D979" s="2" t="s">
        <v>292</v>
      </c>
      <c r="E979" s="3" t="str">
        <f t="shared" si="187"/>
        <v>https://oknesset.org/committee/meeting/14083/</v>
      </c>
    </row>
    <row r="980" ht="14.25" customHeight="1">
      <c r="A980" s="2" t="s">
        <v>104</v>
      </c>
      <c r="B980" s="1" t="s">
        <v>285</v>
      </c>
      <c r="C980" s="2" t="s">
        <v>70</v>
      </c>
      <c r="D980" s="2" t="s">
        <v>292</v>
      </c>
      <c r="E980" s="3" t="str">
        <f t="shared" si="187"/>
        <v>https://oknesset.org/committee/meeting/14083/</v>
      </c>
    </row>
    <row r="981" ht="14.25" customHeight="1">
      <c r="A981" s="2" t="s">
        <v>103</v>
      </c>
      <c r="B981" s="1" t="s">
        <v>285</v>
      </c>
      <c r="C981" s="2" t="s">
        <v>70</v>
      </c>
      <c r="D981" s="2" t="s">
        <v>292</v>
      </c>
      <c r="E981" s="3" t="str">
        <f t="shared" si="187"/>
        <v>https://oknesset.org/committee/meeting/14083/</v>
      </c>
    </row>
    <row r="982" ht="14.25" customHeight="1">
      <c r="A982" s="2" t="s">
        <v>118</v>
      </c>
      <c r="B982" s="1" t="s">
        <v>285</v>
      </c>
      <c r="C982" s="2" t="s">
        <v>70</v>
      </c>
      <c r="D982" s="2" t="s">
        <v>292</v>
      </c>
      <c r="E982" s="3" t="str">
        <f t="shared" si="187"/>
        <v>https://oknesset.org/committee/meeting/14083/</v>
      </c>
    </row>
    <row r="983" ht="14.25" customHeight="1">
      <c r="A983" s="2" t="s">
        <v>34</v>
      </c>
      <c r="B983" s="1" t="s">
        <v>285</v>
      </c>
      <c r="C983" s="2" t="s">
        <v>70</v>
      </c>
      <c r="D983" s="2" t="s">
        <v>293</v>
      </c>
      <c r="E983" s="3" t="str">
        <f t="shared" ref="E983:E992" si="188">HYPERLINK("https://oknesset.org/committee/meeting/14082/","https://oknesset.org/committee/meeting/14082/")</f>
        <v>https://oknesset.org/committee/meeting/14082/</v>
      </c>
    </row>
    <row r="984" ht="14.25" customHeight="1">
      <c r="A984" s="2" t="s">
        <v>61</v>
      </c>
      <c r="B984" s="1" t="s">
        <v>285</v>
      </c>
      <c r="C984" s="2" t="s">
        <v>70</v>
      </c>
      <c r="D984" s="2" t="s">
        <v>293</v>
      </c>
      <c r="E984" s="3" t="str">
        <f t="shared" si="188"/>
        <v>https://oknesset.org/committee/meeting/14082/</v>
      </c>
    </row>
    <row r="985" ht="14.25" customHeight="1">
      <c r="A985" s="2" t="s">
        <v>31</v>
      </c>
      <c r="B985" s="1" t="s">
        <v>285</v>
      </c>
      <c r="C985" s="2" t="s">
        <v>70</v>
      </c>
      <c r="D985" s="2" t="s">
        <v>293</v>
      </c>
      <c r="E985" s="3" t="str">
        <f t="shared" si="188"/>
        <v>https://oknesset.org/committee/meeting/14082/</v>
      </c>
    </row>
    <row r="986" ht="14.25" customHeight="1">
      <c r="A986" s="2" t="s">
        <v>36</v>
      </c>
      <c r="B986" s="1" t="s">
        <v>285</v>
      </c>
      <c r="C986" s="2" t="s">
        <v>70</v>
      </c>
      <c r="D986" s="2" t="s">
        <v>293</v>
      </c>
      <c r="E986" s="3" t="str">
        <f t="shared" si="188"/>
        <v>https://oknesset.org/committee/meeting/14082/</v>
      </c>
    </row>
    <row r="987" ht="14.25" customHeight="1">
      <c r="A987" s="2" t="s">
        <v>107</v>
      </c>
      <c r="B987" s="1" t="s">
        <v>285</v>
      </c>
      <c r="C987" s="2" t="s">
        <v>70</v>
      </c>
      <c r="D987" s="2" t="s">
        <v>293</v>
      </c>
      <c r="E987" s="3" t="str">
        <f t="shared" si="188"/>
        <v>https://oknesset.org/committee/meeting/14082/</v>
      </c>
    </row>
    <row r="988" ht="14.25" customHeight="1">
      <c r="A988" s="2" t="s">
        <v>106</v>
      </c>
      <c r="B988" s="1" t="s">
        <v>285</v>
      </c>
      <c r="C988" s="2" t="s">
        <v>70</v>
      </c>
      <c r="D988" s="2" t="s">
        <v>293</v>
      </c>
      <c r="E988" s="3" t="str">
        <f t="shared" si="188"/>
        <v>https://oknesset.org/committee/meeting/14082/</v>
      </c>
    </row>
    <row r="989" ht="14.25" customHeight="1">
      <c r="A989" s="2" t="s">
        <v>88</v>
      </c>
      <c r="B989" s="1" t="s">
        <v>285</v>
      </c>
      <c r="C989" s="2" t="s">
        <v>70</v>
      </c>
      <c r="D989" s="2" t="s">
        <v>293</v>
      </c>
      <c r="E989" s="3" t="str">
        <f t="shared" si="188"/>
        <v>https://oknesset.org/committee/meeting/14082/</v>
      </c>
    </row>
    <row r="990" ht="14.25" customHeight="1">
      <c r="A990" s="2" t="s">
        <v>104</v>
      </c>
      <c r="B990" s="1" t="s">
        <v>285</v>
      </c>
      <c r="C990" s="2" t="s">
        <v>70</v>
      </c>
      <c r="D990" s="2" t="s">
        <v>293</v>
      </c>
      <c r="E990" s="3" t="str">
        <f t="shared" si="188"/>
        <v>https://oknesset.org/committee/meeting/14082/</v>
      </c>
    </row>
    <row r="991" ht="14.25" customHeight="1">
      <c r="A991" s="2" t="s">
        <v>103</v>
      </c>
      <c r="B991" s="1" t="s">
        <v>285</v>
      </c>
      <c r="C991" s="2" t="s">
        <v>70</v>
      </c>
      <c r="D991" s="2" t="s">
        <v>293</v>
      </c>
      <c r="E991" s="3" t="str">
        <f t="shared" si="188"/>
        <v>https://oknesset.org/committee/meeting/14082/</v>
      </c>
    </row>
    <row r="992" ht="14.25" customHeight="1">
      <c r="A992" s="2" t="s">
        <v>95</v>
      </c>
      <c r="B992" s="1" t="s">
        <v>285</v>
      </c>
      <c r="C992" s="2" t="s">
        <v>70</v>
      </c>
      <c r="D992" s="2" t="s">
        <v>293</v>
      </c>
      <c r="E992" s="3" t="str">
        <f t="shared" si="188"/>
        <v>https://oknesset.org/committee/meeting/14082/</v>
      </c>
    </row>
    <row r="993" ht="14.25" customHeight="1">
      <c r="A993" s="2" t="s">
        <v>61</v>
      </c>
      <c r="B993" s="1" t="s">
        <v>294</v>
      </c>
      <c r="C993" s="2" t="s">
        <v>70</v>
      </c>
      <c r="D993" s="2" t="s">
        <v>295</v>
      </c>
      <c r="E993" s="3" t="str">
        <f>HYPERLINK("https://oknesset.org/committee/meeting/14077/","https://oknesset.org/committee/meeting/14077/")</f>
        <v>https://oknesset.org/committee/meeting/14077/</v>
      </c>
    </row>
    <row r="994" ht="14.25" customHeight="1">
      <c r="A994" s="2" t="s">
        <v>11</v>
      </c>
      <c r="B994" s="1" t="s">
        <v>294</v>
      </c>
      <c r="C994" s="2" t="s">
        <v>45</v>
      </c>
      <c r="D994" s="2" t="s">
        <v>150</v>
      </c>
      <c r="E994" s="3" t="str">
        <f>HYPERLINK("https://oknesset.org/committee/meeting/14129/","https://oknesset.org/committee/meeting/14129/")</f>
        <v>https://oknesset.org/committee/meeting/14129/</v>
      </c>
    </row>
    <row r="995" ht="14.25" customHeight="1">
      <c r="A995" s="2" t="s">
        <v>115</v>
      </c>
      <c r="B995" s="1" t="s">
        <v>294</v>
      </c>
      <c r="C995" s="2" t="s">
        <v>42</v>
      </c>
      <c r="D995" s="2" t="s">
        <v>223</v>
      </c>
      <c r="E995" s="3" t="str">
        <f t="shared" ref="E995:E997" si="189">HYPERLINK("https://oknesset.org/committee/meeting/14353/","https://oknesset.org/committee/meeting/14353/")</f>
        <v>https://oknesset.org/committee/meeting/14353/</v>
      </c>
    </row>
    <row r="996" ht="14.25" customHeight="1">
      <c r="A996" s="2" t="s">
        <v>16</v>
      </c>
      <c r="B996" s="1" t="s">
        <v>294</v>
      </c>
      <c r="C996" s="2" t="s">
        <v>42</v>
      </c>
      <c r="D996" s="2" t="s">
        <v>223</v>
      </c>
      <c r="E996" s="3" t="str">
        <f t="shared" si="189"/>
        <v>https://oknesset.org/committee/meeting/14353/</v>
      </c>
    </row>
    <row r="997" ht="14.25" customHeight="1">
      <c r="A997" s="2" t="s">
        <v>58</v>
      </c>
      <c r="B997" s="1" t="s">
        <v>294</v>
      </c>
      <c r="C997" s="2" t="s">
        <v>42</v>
      </c>
      <c r="D997" s="2" t="s">
        <v>223</v>
      </c>
      <c r="E997" s="3" t="str">
        <f t="shared" si="189"/>
        <v>https://oknesset.org/committee/meeting/14353/</v>
      </c>
    </row>
    <row r="998" ht="14.25" customHeight="1">
      <c r="A998" s="2" t="s">
        <v>54</v>
      </c>
      <c r="B998" s="1" t="s">
        <v>294</v>
      </c>
      <c r="C998" s="2" t="s">
        <v>45</v>
      </c>
      <c r="D998" s="2" t="s">
        <v>150</v>
      </c>
      <c r="E998" s="3" t="str">
        <f t="shared" ref="E998:E999" si="190">HYPERLINK("https://oknesset.org/committee/meeting/14129/","https://oknesset.org/committee/meeting/14129/")</f>
        <v>https://oknesset.org/committee/meeting/14129/</v>
      </c>
    </row>
    <row r="999" ht="14.25" customHeight="1">
      <c r="A999" s="2" t="s">
        <v>9</v>
      </c>
      <c r="B999" s="1" t="s">
        <v>294</v>
      </c>
      <c r="C999" s="2" t="s">
        <v>45</v>
      </c>
      <c r="D999" s="2" t="s">
        <v>150</v>
      </c>
      <c r="E999" s="3" t="str">
        <f t="shared" si="190"/>
        <v>https://oknesset.org/committee/meeting/14129/</v>
      </c>
    </row>
    <row r="1000" ht="14.25" customHeight="1">
      <c r="A1000" s="2" t="s">
        <v>34</v>
      </c>
      <c r="B1000" s="1" t="s">
        <v>294</v>
      </c>
      <c r="C1000" s="2" t="s">
        <v>157</v>
      </c>
      <c r="D1000" s="2" t="s">
        <v>296</v>
      </c>
      <c r="E1000" s="3" t="str">
        <f t="shared" ref="E1000:E1003" si="191">HYPERLINK("https://oknesset.org/committee/meeting/14321/","https://oknesset.org/committee/meeting/14321/")</f>
        <v>https://oknesset.org/committee/meeting/14321/</v>
      </c>
    </row>
    <row r="1001" ht="14.25" customHeight="1">
      <c r="A1001" s="2" t="s">
        <v>61</v>
      </c>
      <c r="B1001" s="1" t="s">
        <v>294</v>
      </c>
      <c r="C1001" s="2" t="s">
        <v>157</v>
      </c>
      <c r="D1001" s="2" t="s">
        <v>296</v>
      </c>
      <c r="E1001" s="3" t="str">
        <f t="shared" si="191"/>
        <v>https://oknesset.org/committee/meeting/14321/</v>
      </c>
    </row>
    <row r="1002" ht="14.25" customHeight="1">
      <c r="A1002" s="2" t="s">
        <v>76</v>
      </c>
      <c r="B1002" s="1" t="s">
        <v>294</v>
      </c>
      <c r="C1002" s="2" t="s">
        <v>157</v>
      </c>
      <c r="D1002" s="2" t="s">
        <v>296</v>
      </c>
      <c r="E1002" s="3" t="str">
        <f t="shared" si="191"/>
        <v>https://oknesset.org/committee/meeting/14321/</v>
      </c>
    </row>
    <row r="1003" ht="14.25" customHeight="1">
      <c r="A1003" s="2" t="s">
        <v>107</v>
      </c>
      <c r="B1003" s="1" t="s">
        <v>294</v>
      </c>
      <c r="C1003" s="2" t="s">
        <v>157</v>
      </c>
      <c r="D1003" s="2" t="s">
        <v>296</v>
      </c>
      <c r="E1003" s="3" t="str">
        <f t="shared" si="191"/>
        <v>https://oknesset.org/committee/meeting/14321/</v>
      </c>
    </row>
    <row r="1004" ht="14.25" customHeight="1">
      <c r="A1004" s="2" t="s">
        <v>108</v>
      </c>
      <c r="B1004" s="1" t="s">
        <v>294</v>
      </c>
      <c r="C1004" s="2" t="s">
        <v>52</v>
      </c>
      <c r="D1004" s="2" t="s">
        <v>297</v>
      </c>
      <c r="E1004" s="3" t="str">
        <f t="shared" ref="E1004:E1005" si="192">HYPERLINK("https://oknesset.org/committee/meeting/14239/","https://oknesset.org/committee/meeting/14239/")</f>
        <v>https://oknesset.org/committee/meeting/14239/</v>
      </c>
    </row>
    <row r="1005" ht="14.25" customHeight="1">
      <c r="A1005" s="2" t="s">
        <v>57</v>
      </c>
      <c r="B1005" s="1" t="s">
        <v>294</v>
      </c>
      <c r="C1005" s="2" t="s">
        <v>52</v>
      </c>
      <c r="D1005" s="2" t="s">
        <v>297</v>
      </c>
      <c r="E1005" s="3" t="str">
        <f t="shared" si="192"/>
        <v>https://oknesset.org/committee/meeting/14239/</v>
      </c>
    </row>
    <row r="1006" ht="14.25" customHeight="1">
      <c r="A1006" s="2" t="s">
        <v>108</v>
      </c>
      <c r="B1006" s="1" t="s">
        <v>294</v>
      </c>
      <c r="C1006" s="2" t="s">
        <v>52</v>
      </c>
      <c r="D1006" s="2" t="s">
        <v>298</v>
      </c>
      <c r="E1006" s="3" t="str">
        <f>HYPERLINK("https://oknesset.org/committee/meeting/14240/","https://oknesset.org/committee/meeting/14240/")</f>
        <v>https://oknesset.org/committee/meeting/14240/</v>
      </c>
    </row>
    <row r="1007" ht="14.25" customHeight="1">
      <c r="A1007" s="2" t="s">
        <v>117</v>
      </c>
      <c r="B1007" s="1" t="s">
        <v>294</v>
      </c>
      <c r="C1007" s="2" t="s">
        <v>52</v>
      </c>
      <c r="D1007" s="2" t="s">
        <v>136</v>
      </c>
      <c r="E1007" s="3" t="str">
        <f t="shared" ref="E1007:E1013" si="193">HYPERLINK("https://oknesset.org/committee/meeting/14241/","https://oknesset.org/committee/meeting/14241/")</f>
        <v>https://oknesset.org/committee/meeting/14241/</v>
      </c>
    </row>
    <row r="1008" ht="14.25" customHeight="1">
      <c r="A1008" s="2" t="s">
        <v>58</v>
      </c>
      <c r="B1008" s="1" t="s">
        <v>294</v>
      </c>
      <c r="C1008" s="2" t="s">
        <v>52</v>
      </c>
      <c r="D1008" s="2" t="s">
        <v>136</v>
      </c>
      <c r="E1008" s="3" t="str">
        <f t="shared" si="193"/>
        <v>https://oknesset.org/committee/meeting/14241/</v>
      </c>
    </row>
    <row r="1009" ht="14.25" customHeight="1">
      <c r="A1009" s="2" t="s">
        <v>108</v>
      </c>
      <c r="B1009" s="1" t="s">
        <v>294</v>
      </c>
      <c r="C1009" s="2" t="s">
        <v>52</v>
      </c>
      <c r="D1009" s="2" t="s">
        <v>136</v>
      </c>
      <c r="E1009" s="3" t="str">
        <f t="shared" si="193"/>
        <v>https://oknesset.org/committee/meeting/14241/</v>
      </c>
    </row>
    <row r="1010" ht="14.25" customHeight="1">
      <c r="A1010" s="2" t="s">
        <v>97</v>
      </c>
      <c r="B1010" s="1" t="s">
        <v>294</v>
      </c>
      <c r="C1010" s="2" t="s">
        <v>52</v>
      </c>
      <c r="D1010" s="2" t="s">
        <v>136</v>
      </c>
      <c r="E1010" s="3" t="str">
        <f t="shared" si="193"/>
        <v>https://oknesset.org/committee/meeting/14241/</v>
      </c>
    </row>
    <row r="1011" ht="14.25" customHeight="1">
      <c r="A1011" s="2" t="s">
        <v>64</v>
      </c>
      <c r="B1011" s="1" t="s">
        <v>294</v>
      </c>
      <c r="C1011" s="2" t="s">
        <v>52</v>
      </c>
      <c r="D1011" s="2" t="s">
        <v>136</v>
      </c>
      <c r="E1011" s="3" t="str">
        <f t="shared" si="193"/>
        <v>https://oknesset.org/committee/meeting/14241/</v>
      </c>
    </row>
    <row r="1012" ht="14.25" customHeight="1">
      <c r="A1012" s="2" t="s">
        <v>114</v>
      </c>
      <c r="B1012" s="1" t="s">
        <v>294</v>
      </c>
      <c r="C1012" s="2" t="s">
        <v>52</v>
      </c>
      <c r="D1012" s="2" t="s">
        <v>136</v>
      </c>
      <c r="E1012" s="3" t="str">
        <f t="shared" si="193"/>
        <v>https://oknesset.org/committee/meeting/14241/</v>
      </c>
    </row>
    <row r="1013" ht="14.25" customHeight="1">
      <c r="A1013" s="2" t="s">
        <v>126</v>
      </c>
      <c r="B1013" s="1" t="s">
        <v>294</v>
      </c>
      <c r="C1013" s="2" t="s">
        <v>52</v>
      </c>
      <c r="D1013" s="2" t="s">
        <v>136</v>
      </c>
      <c r="E1013" s="3" t="str">
        <f t="shared" si="193"/>
        <v>https://oknesset.org/committee/meeting/14241/</v>
      </c>
    </row>
    <row r="1014" ht="14.25" customHeight="1">
      <c r="A1014" s="2" t="s">
        <v>196</v>
      </c>
      <c r="B1014" s="1" t="s">
        <v>294</v>
      </c>
      <c r="C1014" s="2" t="s">
        <v>52</v>
      </c>
      <c r="D1014" s="2" t="s">
        <v>299</v>
      </c>
      <c r="E1014" s="3" t="str">
        <f t="shared" ref="E1014:E1017" si="194">HYPERLINK("https://oknesset.org/committee/meeting/14242/","https://oknesset.org/committee/meeting/14242/")</f>
        <v>https://oknesset.org/committee/meeting/14242/</v>
      </c>
    </row>
    <row r="1015" ht="14.25" customHeight="1">
      <c r="A1015" s="2" t="s">
        <v>156</v>
      </c>
      <c r="B1015" s="1" t="s">
        <v>294</v>
      </c>
      <c r="C1015" s="2" t="s">
        <v>52</v>
      </c>
      <c r="D1015" s="2" t="s">
        <v>299</v>
      </c>
      <c r="E1015" s="3" t="str">
        <f t="shared" si="194"/>
        <v>https://oknesset.org/committee/meeting/14242/</v>
      </c>
    </row>
    <row r="1016" ht="14.25" customHeight="1">
      <c r="A1016" s="2" t="s">
        <v>58</v>
      </c>
      <c r="B1016" s="1" t="s">
        <v>294</v>
      </c>
      <c r="C1016" s="2" t="s">
        <v>52</v>
      </c>
      <c r="D1016" s="2" t="s">
        <v>299</v>
      </c>
      <c r="E1016" s="3" t="str">
        <f t="shared" si="194"/>
        <v>https://oknesset.org/committee/meeting/14242/</v>
      </c>
    </row>
    <row r="1017" ht="14.25" customHeight="1">
      <c r="A1017" s="2" t="s">
        <v>97</v>
      </c>
      <c r="B1017" s="1" t="s">
        <v>294</v>
      </c>
      <c r="C1017" s="2" t="s">
        <v>52</v>
      </c>
      <c r="D1017" s="2" t="s">
        <v>299</v>
      </c>
      <c r="E1017" s="3" t="str">
        <f t="shared" si="194"/>
        <v>https://oknesset.org/committee/meeting/14242/</v>
      </c>
    </row>
    <row r="1018" ht="14.25" customHeight="1">
      <c r="A1018" s="2" t="s">
        <v>106</v>
      </c>
      <c r="B1018" s="1" t="s">
        <v>294</v>
      </c>
      <c r="C1018" s="2" t="s">
        <v>157</v>
      </c>
      <c r="D1018" s="2" t="s">
        <v>296</v>
      </c>
      <c r="E1018" s="3" t="str">
        <f t="shared" ref="E1018:E1022" si="195">HYPERLINK("https://oknesset.org/committee/meeting/14321/","https://oknesset.org/committee/meeting/14321/")</f>
        <v>https://oknesset.org/committee/meeting/14321/</v>
      </c>
    </row>
    <row r="1019" ht="14.25" customHeight="1">
      <c r="A1019" s="2" t="s">
        <v>94</v>
      </c>
      <c r="B1019" s="1" t="s">
        <v>294</v>
      </c>
      <c r="C1019" s="2" t="s">
        <v>157</v>
      </c>
      <c r="D1019" s="2" t="s">
        <v>296</v>
      </c>
      <c r="E1019" s="3" t="str">
        <f t="shared" si="195"/>
        <v>https://oknesset.org/committee/meeting/14321/</v>
      </c>
    </row>
    <row r="1020" ht="14.25" customHeight="1">
      <c r="A1020" s="2" t="s">
        <v>104</v>
      </c>
      <c r="B1020" s="1" t="s">
        <v>294</v>
      </c>
      <c r="C1020" s="2" t="s">
        <v>157</v>
      </c>
      <c r="D1020" s="2" t="s">
        <v>296</v>
      </c>
      <c r="E1020" s="3" t="str">
        <f t="shared" si="195"/>
        <v>https://oknesset.org/committee/meeting/14321/</v>
      </c>
    </row>
    <row r="1021" ht="14.25" customHeight="1">
      <c r="A1021" s="2" t="s">
        <v>20</v>
      </c>
      <c r="B1021" s="1" t="s">
        <v>294</v>
      </c>
      <c r="C1021" s="2" t="s">
        <v>157</v>
      </c>
      <c r="D1021" s="2" t="s">
        <v>296</v>
      </c>
      <c r="E1021" s="3" t="str">
        <f t="shared" si="195"/>
        <v>https://oknesset.org/committee/meeting/14321/</v>
      </c>
    </row>
    <row r="1022" ht="14.25" customHeight="1">
      <c r="A1022" s="2" t="s">
        <v>50</v>
      </c>
      <c r="B1022" s="1" t="s">
        <v>294</v>
      </c>
      <c r="C1022" s="2" t="s">
        <v>157</v>
      </c>
      <c r="D1022" s="2" t="s">
        <v>296</v>
      </c>
      <c r="E1022" s="3" t="str">
        <f t="shared" si="195"/>
        <v>https://oknesset.org/committee/meeting/14321/</v>
      </c>
    </row>
    <row r="1023" ht="14.25" customHeight="1">
      <c r="A1023" s="2" t="s">
        <v>34</v>
      </c>
      <c r="B1023" s="1" t="s">
        <v>294</v>
      </c>
      <c r="C1023" s="2" t="s">
        <v>157</v>
      </c>
      <c r="D1023" s="2" t="s">
        <v>300</v>
      </c>
      <c r="E1023" s="3" t="str">
        <f t="shared" ref="E1023:E1026" si="196">HYPERLINK("https://oknesset.org/committee/meeting/14320/","https://oknesset.org/committee/meeting/14320/")</f>
        <v>https://oknesset.org/committee/meeting/14320/</v>
      </c>
    </row>
    <row r="1024" ht="14.25" customHeight="1">
      <c r="A1024" s="2" t="s">
        <v>94</v>
      </c>
      <c r="B1024" s="1" t="s">
        <v>294</v>
      </c>
      <c r="C1024" s="2" t="s">
        <v>157</v>
      </c>
      <c r="D1024" s="2" t="s">
        <v>300</v>
      </c>
      <c r="E1024" s="3" t="str">
        <f t="shared" si="196"/>
        <v>https://oknesset.org/committee/meeting/14320/</v>
      </c>
    </row>
    <row r="1025" ht="14.25" customHeight="1">
      <c r="A1025" s="2" t="s">
        <v>58</v>
      </c>
      <c r="B1025" s="1" t="s">
        <v>294</v>
      </c>
      <c r="C1025" s="2" t="s">
        <v>157</v>
      </c>
      <c r="D1025" s="2" t="s">
        <v>300</v>
      </c>
      <c r="E1025" s="3" t="str">
        <f t="shared" si="196"/>
        <v>https://oknesset.org/committee/meeting/14320/</v>
      </c>
    </row>
    <row r="1026" ht="14.25" customHeight="1">
      <c r="A1026" s="2" t="s">
        <v>85</v>
      </c>
      <c r="B1026" s="1" t="s">
        <v>294</v>
      </c>
      <c r="C1026" s="2" t="s">
        <v>157</v>
      </c>
      <c r="D1026" s="2" t="s">
        <v>300</v>
      </c>
      <c r="E1026" s="3" t="str">
        <f t="shared" si="196"/>
        <v>https://oknesset.org/committee/meeting/14320/</v>
      </c>
    </row>
    <row r="1027" ht="14.25" customHeight="1">
      <c r="A1027" s="2" t="s">
        <v>66</v>
      </c>
      <c r="B1027" s="1" t="s">
        <v>294</v>
      </c>
      <c r="C1027" s="2" t="s">
        <v>45</v>
      </c>
      <c r="D1027" s="2" t="s">
        <v>301</v>
      </c>
      <c r="E1027" s="3" t="str">
        <f t="shared" ref="E1027:E1031" si="197">HYPERLINK("https://oknesset.org/committee/meeting/14130/","https://oknesset.org/committee/meeting/14130/")</f>
        <v>https://oknesset.org/committee/meeting/14130/</v>
      </c>
    </row>
    <row r="1028" ht="14.25" customHeight="1">
      <c r="A1028" s="2" t="s">
        <v>22</v>
      </c>
      <c r="B1028" s="1" t="s">
        <v>294</v>
      </c>
      <c r="C1028" s="2" t="s">
        <v>45</v>
      </c>
      <c r="D1028" s="2" t="s">
        <v>301</v>
      </c>
      <c r="E1028" s="3" t="str">
        <f t="shared" si="197"/>
        <v>https://oknesset.org/committee/meeting/14130/</v>
      </c>
    </row>
    <row r="1029" ht="14.25" customHeight="1">
      <c r="A1029" s="2" t="s">
        <v>9</v>
      </c>
      <c r="B1029" s="1" t="s">
        <v>294</v>
      </c>
      <c r="C1029" s="2" t="s">
        <v>45</v>
      </c>
      <c r="D1029" s="2" t="s">
        <v>301</v>
      </c>
      <c r="E1029" s="3" t="str">
        <f t="shared" si="197"/>
        <v>https://oknesset.org/committee/meeting/14130/</v>
      </c>
    </row>
    <row r="1030" ht="14.25" customHeight="1">
      <c r="A1030" s="2" t="s">
        <v>61</v>
      </c>
      <c r="B1030" s="1" t="s">
        <v>294</v>
      </c>
      <c r="C1030" s="2" t="s">
        <v>45</v>
      </c>
      <c r="D1030" s="2" t="s">
        <v>301</v>
      </c>
      <c r="E1030" s="3" t="str">
        <f t="shared" si="197"/>
        <v>https://oknesset.org/committee/meeting/14130/</v>
      </c>
    </row>
    <row r="1031" ht="14.25" customHeight="1">
      <c r="A1031" s="2" t="s">
        <v>78</v>
      </c>
      <c r="B1031" s="1" t="s">
        <v>294</v>
      </c>
      <c r="C1031" s="2" t="s">
        <v>45</v>
      </c>
      <c r="D1031" s="2" t="s">
        <v>301</v>
      </c>
      <c r="E1031" s="3" t="str">
        <f t="shared" si="197"/>
        <v>https://oknesset.org/committee/meeting/14130/</v>
      </c>
    </row>
    <row r="1032" ht="14.25" customHeight="1">
      <c r="A1032" s="2" t="s">
        <v>79</v>
      </c>
      <c r="B1032" s="1" t="s">
        <v>294</v>
      </c>
      <c r="C1032" s="2" t="s">
        <v>70</v>
      </c>
      <c r="D1032" s="2" t="s">
        <v>302</v>
      </c>
      <c r="E1032" s="3" t="str">
        <f>HYPERLINK("https://oknesset.org/committee/meeting/14080/","https://oknesset.org/committee/meeting/14080/")</f>
        <v>https://oknesset.org/committee/meeting/14080/</v>
      </c>
    </row>
    <row r="1033" ht="14.25" customHeight="1">
      <c r="A1033" s="2" t="s">
        <v>44</v>
      </c>
      <c r="B1033" s="1" t="s">
        <v>294</v>
      </c>
      <c r="C1033" s="2" t="s">
        <v>235</v>
      </c>
      <c r="D1033" s="2" t="s">
        <v>236</v>
      </c>
      <c r="E1033" s="3" t="str">
        <f>HYPERLINK("https://oknesset.org/committee/meeting/14422/","https://oknesset.org/committee/meeting/14422/")</f>
        <v>https://oknesset.org/committee/meeting/14422/</v>
      </c>
    </row>
    <row r="1034" ht="14.25" customHeight="1">
      <c r="A1034" s="2" t="s">
        <v>61</v>
      </c>
      <c r="B1034" s="1" t="s">
        <v>294</v>
      </c>
      <c r="C1034" s="2" t="s">
        <v>70</v>
      </c>
      <c r="D1034" s="2" t="s">
        <v>302</v>
      </c>
      <c r="E1034" s="3" t="str">
        <f>HYPERLINK("https://oknesset.org/committee/meeting/14080/","https://oknesset.org/committee/meeting/14080/")</f>
        <v>https://oknesset.org/committee/meeting/14080/</v>
      </c>
    </row>
    <row r="1035" ht="14.25" customHeight="1">
      <c r="A1035" s="2" t="s">
        <v>41</v>
      </c>
      <c r="B1035" s="1" t="s">
        <v>294</v>
      </c>
      <c r="C1035" s="2" t="s">
        <v>42</v>
      </c>
      <c r="D1035" s="2" t="s">
        <v>223</v>
      </c>
      <c r="E1035" s="3" t="str">
        <f>HYPERLINK("https://oknesset.org/committee/meeting/14353/","https://oknesset.org/committee/meeting/14353/")</f>
        <v>https://oknesset.org/committee/meeting/14353/</v>
      </c>
    </row>
    <row r="1036" ht="14.25" customHeight="1">
      <c r="A1036" s="2" t="s">
        <v>104</v>
      </c>
      <c r="B1036" s="1" t="s">
        <v>294</v>
      </c>
      <c r="C1036" s="2" t="s">
        <v>70</v>
      </c>
      <c r="D1036" s="2" t="s">
        <v>302</v>
      </c>
      <c r="E1036" s="3" t="str">
        <f t="shared" ref="E1036:E1037" si="198">HYPERLINK("https://oknesset.org/committee/meeting/14080/","https://oknesset.org/committee/meeting/14080/")</f>
        <v>https://oknesset.org/committee/meeting/14080/</v>
      </c>
    </row>
    <row r="1037" ht="14.25" customHeight="1">
      <c r="A1037" s="2" t="s">
        <v>126</v>
      </c>
      <c r="B1037" s="1" t="s">
        <v>294</v>
      </c>
      <c r="C1037" s="2" t="s">
        <v>70</v>
      </c>
      <c r="D1037" s="2" t="s">
        <v>302</v>
      </c>
      <c r="E1037" s="3" t="str">
        <f t="shared" si="198"/>
        <v>https://oknesset.org/committee/meeting/14080/</v>
      </c>
    </row>
    <row r="1038" ht="14.25" customHeight="1">
      <c r="A1038" s="2" t="s">
        <v>50</v>
      </c>
      <c r="B1038" s="1" t="s">
        <v>294</v>
      </c>
      <c r="C1038" s="2" t="s">
        <v>70</v>
      </c>
      <c r="D1038" s="2" t="s">
        <v>303</v>
      </c>
      <c r="E1038" s="3" t="str">
        <f t="shared" ref="E1038:E1042" si="199">HYPERLINK("https://oknesset.org/committee/meeting/14078/","https://oknesset.org/committee/meeting/14078/")</f>
        <v>https://oknesset.org/committee/meeting/14078/</v>
      </c>
    </row>
    <row r="1039" ht="14.25" customHeight="1">
      <c r="A1039" s="2" t="s">
        <v>20</v>
      </c>
      <c r="B1039" s="1" t="s">
        <v>294</v>
      </c>
      <c r="C1039" s="2" t="s">
        <v>70</v>
      </c>
      <c r="D1039" s="2" t="s">
        <v>303</v>
      </c>
      <c r="E1039" s="3" t="str">
        <f t="shared" si="199"/>
        <v>https://oknesset.org/committee/meeting/14078/</v>
      </c>
    </row>
    <row r="1040" ht="14.25" customHeight="1">
      <c r="A1040" s="2" t="s">
        <v>104</v>
      </c>
      <c r="B1040" s="1" t="s">
        <v>294</v>
      </c>
      <c r="C1040" s="2" t="s">
        <v>70</v>
      </c>
      <c r="D1040" s="2" t="s">
        <v>303</v>
      </c>
      <c r="E1040" s="3" t="str">
        <f t="shared" si="199"/>
        <v>https://oknesset.org/committee/meeting/14078/</v>
      </c>
    </row>
    <row r="1041" ht="14.25" customHeight="1">
      <c r="A1041" s="2" t="s">
        <v>94</v>
      </c>
      <c r="B1041" s="1" t="s">
        <v>294</v>
      </c>
      <c r="C1041" s="2" t="s">
        <v>70</v>
      </c>
      <c r="D1041" s="2" t="s">
        <v>303</v>
      </c>
      <c r="E1041" s="3" t="str">
        <f t="shared" si="199"/>
        <v>https://oknesset.org/committee/meeting/14078/</v>
      </c>
    </row>
    <row r="1042" ht="14.25" customHeight="1">
      <c r="A1042" s="2" t="s">
        <v>106</v>
      </c>
      <c r="B1042" s="1" t="s">
        <v>294</v>
      </c>
      <c r="C1042" s="2" t="s">
        <v>70</v>
      </c>
      <c r="D1042" s="2" t="s">
        <v>303</v>
      </c>
      <c r="E1042" s="3" t="str">
        <f t="shared" si="199"/>
        <v>https://oknesset.org/committee/meeting/14078/</v>
      </c>
    </row>
    <row r="1043" ht="14.25" customHeight="1">
      <c r="A1043" s="2" t="s">
        <v>114</v>
      </c>
      <c r="B1043" s="1" t="s">
        <v>294</v>
      </c>
      <c r="C1043" s="2" t="s">
        <v>42</v>
      </c>
      <c r="D1043" s="2" t="s">
        <v>223</v>
      </c>
      <c r="E1043" s="3" t="str">
        <f>HYPERLINK("https://oknesset.org/committee/meeting/14353/","https://oknesset.org/committee/meeting/14353/")</f>
        <v>https://oknesset.org/committee/meeting/14353/</v>
      </c>
    </row>
    <row r="1044" ht="14.25" customHeight="1">
      <c r="A1044" s="2" t="s">
        <v>11</v>
      </c>
      <c r="B1044" s="1" t="s">
        <v>294</v>
      </c>
      <c r="C1044" s="2" t="s">
        <v>235</v>
      </c>
      <c r="D1044" s="2" t="s">
        <v>236</v>
      </c>
      <c r="E1044" s="3" t="str">
        <f>HYPERLINK("https://oknesset.org/committee/meeting/14422/","https://oknesset.org/committee/meeting/14422/")</f>
        <v>https://oknesset.org/committee/meeting/14422/</v>
      </c>
    </row>
    <row r="1045" ht="14.25" customHeight="1">
      <c r="A1045" s="2" t="s">
        <v>103</v>
      </c>
      <c r="B1045" s="1" t="s">
        <v>294</v>
      </c>
      <c r="C1045" s="2" t="s">
        <v>48</v>
      </c>
      <c r="D1045" s="2" t="s">
        <v>304</v>
      </c>
      <c r="E1045" s="3" t="str">
        <f t="shared" ref="E1045:E1053" si="200">HYPERLINK("https://oknesset.org/committee/meeting/14182/","https://oknesset.org/committee/meeting/14182/")</f>
        <v>https://oknesset.org/committee/meeting/14182/</v>
      </c>
    </row>
    <row r="1046" ht="14.25" customHeight="1">
      <c r="A1046" s="2" t="s">
        <v>16</v>
      </c>
      <c r="B1046" s="1" t="s">
        <v>294</v>
      </c>
      <c r="C1046" s="2" t="s">
        <v>48</v>
      </c>
      <c r="D1046" s="2" t="s">
        <v>304</v>
      </c>
      <c r="E1046" s="3" t="str">
        <f t="shared" si="200"/>
        <v>https://oknesset.org/committee/meeting/14182/</v>
      </c>
    </row>
    <row r="1047" ht="14.25" customHeight="1">
      <c r="A1047" s="2" t="s">
        <v>31</v>
      </c>
      <c r="B1047" s="1" t="s">
        <v>294</v>
      </c>
      <c r="C1047" s="2" t="s">
        <v>48</v>
      </c>
      <c r="D1047" s="2" t="s">
        <v>304</v>
      </c>
      <c r="E1047" s="3" t="str">
        <f t="shared" si="200"/>
        <v>https://oknesset.org/committee/meeting/14182/</v>
      </c>
    </row>
    <row r="1048" ht="14.25" customHeight="1">
      <c r="A1048" s="2" t="s">
        <v>62</v>
      </c>
      <c r="B1048" s="1" t="s">
        <v>294</v>
      </c>
      <c r="C1048" s="2" t="s">
        <v>48</v>
      </c>
      <c r="D1048" s="2" t="s">
        <v>304</v>
      </c>
      <c r="E1048" s="3" t="str">
        <f t="shared" si="200"/>
        <v>https://oknesset.org/committee/meeting/14182/</v>
      </c>
    </row>
    <row r="1049" ht="14.25" customHeight="1">
      <c r="A1049" s="2" t="s">
        <v>95</v>
      </c>
      <c r="B1049" s="1" t="s">
        <v>294</v>
      </c>
      <c r="C1049" s="2" t="s">
        <v>48</v>
      </c>
      <c r="D1049" s="2" t="s">
        <v>304</v>
      </c>
      <c r="E1049" s="3" t="str">
        <f t="shared" si="200"/>
        <v>https://oknesset.org/committee/meeting/14182/</v>
      </c>
    </row>
    <row r="1050" ht="14.25" customHeight="1">
      <c r="A1050" s="2" t="s">
        <v>32</v>
      </c>
      <c r="B1050" s="1" t="s">
        <v>294</v>
      </c>
      <c r="C1050" s="2" t="s">
        <v>48</v>
      </c>
      <c r="D1050" s="2" t="s">
        <v>304</v>
      </c>
      <c r="E1050" s="3" t="str">
        <f t="shared" si="200"/>
        <v>https://oknesset.org/committee/meeting/14182/</v>
      </c>
    </row>
    <row r="1051" ht="14.25" customHeight="1">
      <c r="A1051" s="2" t="s">
        <v>305</v>
      </c>
      <c r="B1051" s="1" t="s">
        <v>294</v>
      </c>
      <c r="C1051" s="2" t="s">
        <v>48</v>
      </c>
      <c r="D1051" s="2" t="s">
        <v>304</v>
      </c>
      <c r="E1051" s="3" t="str">
        <f t="shared" si="200"/>
        <v>https://oknesset.org/committee/meeting/14182/</v>
      </c>
    </row>
    <row r="1052" ht="14.25" customHeight="1">
      <c r="A1052" s="2" t="s">
        <v>56</v>
      </c>
      <c r="B1052" s="1" t="s">
        <v>294</v>
      </c>
      <c r="C1052" s="2" t="s">
        <v>48</v>
      </c>
      <c r="D1052" s="2" t="s">
        <v>304</v>
      </c>
      <c r="E1052" s="3" t="str">
        <f t="shared" si="200"/>
        <v>https://oknesset.org/committee/meeting/14182/</v>
      </c>
    </row>
    <row r="1053" ht="14.25" customHeight="1">
      <c r="A1053" s="2" t="s">
        <v>35</v>
      </c>
      <c r="B1053" s="1" t="s">
        <v>294</v>
      </c>
      <c r="C1053" s="2" t="s">
        <v>48</v>
      </c>
      <c r="D1053" s="2" t="s">
        <v>304</v>
      </c>
      <c r="E1053" s="3" t="str">
        <f t="shared" si="200"/>
        <v>https://oknesset.org/committee/meeting/14182/</v>
      </c>
    </row>
    <row r="1054" ht="14.25" customHeight="1">
      <c r="A1054" s="2" t="s">
        <v>107</v>
      </c>
      <c r="B1054" s="1" t="s">
        <v>294</v>
      </c>
      <c r="C1054" s="2" t="s">
        <v>70</v>
      </c>
      <c r="D1054" s="2" t="s">
        <v>303</v>
      </c>
      <c r="E1054" s="3" t="str">
        <f t="shared" ref="E1054:E1057" si="201">HYPERLINK("https://oknesset.org/committee/meeting/14078/","https://oknesset.org/committee/meeting/14078/")</f>
        <v>https://oknesset.org/committee/meeting/14078/</v>
      </c>
    </row>
    <row r="1055" ht="14.25" customHeight="1">
      <c r="A1055" s="2" t="s">
        <v>76</v>
      </c>
      <c r="B1055" s="1" t="s">
        <v>294</v>
      </c>
      <c r="C1055" s="2" t="s">
        <v>70</v>
      </c>
      <c r="D1055" s="2" t="s">
        <v>303</v>
      </c>
      <c r="E1055" s="3" t="str">
        <f t="shared" si="201"/>
        <v>https://oknesset.org/committee/meeting/14078/</v>
      </c>
    </row>
    <row r="1056" ht="14.25" customHeight="1">
      <c r="A1056" s="2" t="s">
        <v>61</v>
      </c>
      <c r="B1056" s="1" t="s">
        <v>294</v>
      </c>
      <c r="C1056" s="2" t="s">
        <v>70</v>
      </c>
      <c r="D1056" s="2" t="s">
        <v>303</v>
      </c>
      <c r="E1056" s="3" t="str">
        <f t="shared" si="201"/>
        <v>https://oknesset.org/committee/meeting/14078/</v>
      </c>
    </row>
    <row r="1057" ht="14.25" customHeight="1">
      <c r="A1057" s="2" t="s">
        <v>34</v>
      </c>
      <c r="B1057" s="1" t="s">
        <v>294</v>
      </c>
      <c r="C1057" s="2" t="s">
        <v>70</v>
      </c>
      <c r="D1057" s="2" t="s">
        <v>303</v>
      </c>
      <c r="E1057" s="3" t="str">
        <f t="shared" si="201"/>
        <v>https://oknesset.org/committee/meeting/14078/</v>
      </c>
    </row>
    <row r="1058" ht="14.25" customHeight="1">
      <c r="A1058" s="2" t="s">
        <v>104</v>
      </c>
      <c r="B1058" s="1" t="s">
        <v>294</v>
      </c>
      <c r="C1058" s="2" t="s">
        <v>70</v>
      </c>
      <c r="D1058" s="2" t="s">
        <v>306</v>
      </c>
      <c r="E1058" s="3" t="str">
        <f t="shared" ref="E1058:E1060" si="202">HYPERLINK("https://oknesset.org/committee/meeting/14076/","https://oknesset.org/committee/meeting/14076/")</f>
        <v>https://oknesset.org/committee/meeting/14076/</v>
      </c>
    </row>
    <row r="1059" ht="14.25" customHeight="1">
      <c r="A1059" s="2" t="s">
        <v>106</v>
      </c>
      <c r="B1059" s="1" t="s">
        <v>294</v>
      </c>
      <c r="C1059" s="2" t="s">
        <v>70</v>
      </c>
      <c r="D1059" s="2" t="s">
        <v>306</v>
      </c>
      <c r="E1059" s="3" t="str">
        <f t="shared" si="202"/>
        <v>https://oknesset.org/committee/meeting/14076/</v>
      </c>
    </row>
    <row r="1060" ht="14.25" customHeight="1">
      <c r="A1060" s="2" t="s">
        <v>107</v>
      </c>
      <c r="B1060" s="1" t="s">
        <v>294</v>
      </c>
      <c r="C1060" s="2" t="s">
        <v>70</v>
      </c>
      <c r="D1060" s="2" t="s">
        <v>306</v>
      </c>
      <c r="E1060" s="3" t="str">
        <f t="shared" si="202"/>
        <v>https://oknesset.org/committee/meeting/14076/</v>
      </c>
    </row>
    <row r="1061" ht="14.25" customHeight="1">
      <c r="A1061" s="2" t="s">
        <v>66</v>
      </c>
      <c r="B1061" s="1" t="s">
        <v>294</v>
      </c>
      <c r="C1061" s="2" t="s">
        <v>70</v>
      </c>
      <c r="D1061" s="2" t="s">
        <v>295</v>
      </c>
      <c r="E1061" s="3" t="str">
        <f t="shared" ref="E1061:E1066" si="203">HYPERLINK("https://oknesset.org/committee/meeting/14077/","https://oknesset.org/committee/meeting/14077/")</f>
        <v>https://oknesset.org/committee/meeting/14077/</v>
      </c>
    </row>
    <row r="1062" ht="14.25" customHeight="1">
      <c r="A1062" s="2" t="s">
        <v>126</v>
      </c>
      <c r="B1062" s="1" t="s">
        <v>294</v>
      </c>
      <c r="C1062" s="2" t="s">
        <v>70</v>
      </c>
      <c r="D1062" s="2" t="s">
        <v>295</v>
      </c>
      <c r="E1062" s="3" t="str">
        <f t="shared" si="203"/>
        <v>https://oknesset.org/committee/meeting/14077/</v>
      </c>
    </row>
    <row r="1063" ht="14.25" customHeight="1">
      <c r="A1063" s="2" t="s">
        <v>104</v>
      </c>
      <c r="B1063" s="1" t="s">
        <v>294</v>
      </c>
      <c r="C1063" s="2" t="s">
        <v>70</v>
      </c>
      <c r="D1063" s="2" t="s">
        <v>295</v>
      </c>
      <c r="E1063" s="3" t="str">
        <f t="shared" si="203"/>
        <v>https://oknesset.org/committee/meeting/14077/</v>
      </c>
    </row>
    <row r="1064" ht="14.25" customHeight="1">
      <c r="A1064" s="2" t="s">
        <v>94</v>
      </c>
      <c r="B1064" s="1" t="s">
        <v>294</v>
      </c>
      <c r="C1064" s="2" t="s">
        <v>70</v>
      </c>
      <c r="D1064" s="2" t="s">
        <v>295</v>
      </c>
      <c r="E1064" s="3" t="str">
        <f t="shared" si="203"/>
        <v>https://oknesset.org/committee/meeting/14077/</v>
      </c>
    </row>
    <row r="1065" ht="14.25" customHeight="1">
      <c r="A1065" s="2" t="s">
        <v>40</v>
      </c>
      <c r="B1065" s="1" t="s">
        <v>294</v>
      </c>
      <c r="C1065" s="2" t="s">
        <v>70</v>
      </c>
      <c r="D1065" s="2" t="s">
        <v>295</v>
      </c>
      <c r="E1065" s="3" t="str">
        <f t="shared" si="203"/>
        <v>https://oknesset.org/committee/meeting/14077/</v>
      </c>
    </row>
    <row r="1066" ht="14.25" customHeight="1">
      <c r="A1066" s="2" t="s">
        <v>106</v>
      </c>
      <c r="B1066" s="1" t="s">
        <v>294</v>
      </c>
      <c r="C1066" s="2" t="s">
        <v>70</v>
      </c>
      <c r="D1066" s="2" t="s">
        <v>295</v>
      </c>
      <c r="E1066" s="3" t="str">
        <f t="shared" si="203"/>
        <v>https://oknesset.org/committee/meeting/14077/</v>
      </c>
    </row>
    <row r="1067" ht="14.25" customHeight="1">
      <c r="A1067" s="2" t="s">
        <v>237</v>
      </c>
      <c r="B1067" s="1" t="s">
        <v>294</v>
      </c>
      <c r="C1067" s="2" t="s">
        <v>235</v>
      </c>
      <c r="D1067" s="2" t="s">
        <v>236</v>
      </c>
      <c r="E1067" s="3" t="str">
        <f t="shared" ref="E1067:E1068" si="204">HYPERLINK("https://oknesset.org/committee/meeting/14422/","https://oknesset.org/committee/meeting/14422/")</f>
        <v>https://oknesset.org/committee/meeting/14422/</v>
      </c>
    </row>
    <row r="1068" ht="14.25" customHeight="1">
      <c r="A1068" s="2" t="s">
        <v>126</v>
      </c>
      <c r="B1068" s="1" t="s">
        <v>294</v>
      </c>
      <c r="C1068" s="2" t="s">
        <v>235</v>
      </c>
      <c r="D1068" s="2" t="s">
        <v>236</v>
      </c>
      <c r="E1068" s="3" t="str">
        <f t="shared" si="204"/>
        <v>https://oknesset.org/committee/meeting/14422/</v>
      </c>
    </row>
    <row r="1069" ht="14.25" customHeight="1">
      <c r="A1069" s="2" t="s">
        <v>66</v>
      </c>
      <c r="B1069" s="1" t="s">
        <v>294</v>
      </c>
      <c r="C1069" s="2" t="s">
        <v>45</v>
      </c>
      <c r="D1069" s="2" t="s">
        <v>150</v>
      </c>
      <c r="E1069" s="3" t="str">
        <f t="shared" ref="E1069:E1071" si="205">HYPERLINK("https://oknesset.org/committee/meeting/14129/","https://oknesset.org/committee/meeting/14129/")</f>
        <v>https://oknesset.org/committee/meeting/14129/</v>
      </c>
    </row>
    <row r="1070" ht="14.25" customHeight="1">
      <c r="A1070" s="2" t="s">
        <v>15</v>
      </c>
      <c r="B1070" s="1" t="s">
        <v>294</v>
      </c>
      <c r="C1070" s="2" t="s">
        <v>45</v>
      </c>
      <c r="D1070" s="2" t="s">
        <v>150</v>
      </c>
      <c r="E1070" s="3" t="str">
        <f t="shared" si="205"/>
        <v>https://oknesset.org/committee/meeting/14129/</v>
      </c>
    </row>
    <row r="1071" ht="14.25" customHeight="1">
      <c r="A1071" s="2" t="s">
        <v>62</v>
      </c>
      <c r="B1071" s="1" t="s">
        <v>294</v>
      </c>
      <c r="C1071" s="2" t="s">
        <v>45</v>
      </c>
      <c r="D1071" s="2" t="s">
        <v>150</v>
      </c>
      <c r="E1071" s="3" t="str">
        <f t="shared" si="205"/>
        <v>https://oknesset.org/committee/meeting/14129/</v>
      </c>
    </row>
    <row r="1072" ht="14.25" customHeight="1">
      <c r="A1072" s="2" t="s">
        <v>107</v>
      </c>
      <c r="B1072" s="1" t="s">
        <v>294</v>
      </c>
      <c r="C1072" s="2" t="s">
        <v>70</v>
      </c>
      <c r="D1072" s="2" t="s">
        <v>295</v>
      </c>
      <c r="E1072" s="3" t="str">
        <f t="shared" ref="E1072:E1075" si="206">HYPERLINK("https://oknesset.org/committee/meeting/14077/","https://oknesset.org/committee/meeting/14077/")</f>
        <v>https://oknesset.org/committee/meeting/14077/</v>
      </c>
    </row>
    <row r="1073" ht="14.25" customHeight="1">
      <c r="A1073" s="2" t="s">
        <v>16</v>
      </c>
      <c r="B1073" s="1" t="s">
        <v>294</v>
      </c>
      <c r="C1073" s="2" t="s">
        <v>70</v>
      </c>
      <c r="D1073" s="2" t="s">
        <v>295</v>
      </c>
      <c r="E1073" s="3" t="str">
        <f t="shared" si="206"/>
        <v>https://oknesset.org/committee/meeting/14077/</v>
      </c>
    </row>
    <row r="1074" ht="14.25" customHeight="1">
      <c r="A1074" s="2" t="s">
        <v>114</v>
      </c>
      <c r="B1074" s="1" t="s">
        <v>294</v>
      </c>
      <c r="C1074" s="2" t="s">
        <v>70</v>
      </c>
      <c r="D1074" s="2" t="s">
        <v>295</v>
      </c>
      <c r="E1074" s="3" t="str">
        <f t="shared" si="206"/>
        <v>https://oknesset.org/committee/meeting/14077/</v>
      </c>
    </row>
    <row r="1075" ht="14.25" customHeight="1">
      <c r="A1075" s="2" t="s">
        <v>76</v>
      </c>
      <c r="B1075" s="1" t="s">
        <v>294</v>
      </c>
      <c r="C1075" s="2" t="s">
        <v>70</v>
      </c>
      <c r="D1075" s="2" t="s">
        <v>295</v>
      </c>
      <c r="E1075" s="3" t="str">
        <f t="shared" si="206"/>
        <v>https://oknesset.org/committee/meeting/14077/</v>
      </c>
    </row>
    <row r="1076" ht="14.25" customHeight="1">
      <c r="A1076" s="2" t="s">
        <v>79</v>
      </c>
      <c r="B1076" s="1" t="s">
        <v>294</v>
      </c>
      <c r="C1076" s="2" t="s">
        <v>70</v>
      </c>
      <c r="D1076" s="2" t="s">
        <v>295</v>
      </c>
      <c r="E1076" s="3" t="str">
        <f t="shared" ref="E1076:E1087" si="207">HYPERLINK("https://oknesset.org/committee/meeting/14079/","https://oknesset.org/committee/meeting/14079/")</f>
        <v>https://oknesset.org/committee/meeting/14079/</v>
      </c>
    </row>
    <row r="1077" ht="14.25" customHeight="1">
      <c r="A1077" s="2" t="s">
        <v>61</v>
      </c>
      <c r="B1077" s="1" t="s">
        <v>294</v>
      </c>
      <c r="C1077" s="2" t="s">
        <v>70</v>
      </c>
      <c r="D1077" s="2" t="s">
        <v>295</v>
      </c>
      <c r="E1077" s="3" t="str">
        <f t="shared" si="207"/>
        <v>https://oknesset.org/committee/meeting/14079/</v>
      </c>
    </row>
    <row r="1078" ht="14.25" customHeight="1">
      <c r="A1078" s="2" t="s">
        <v>76</v>
      </c>
      <c r="B1078" s="1" t="s">
        <v>294</v>
      </c>
      <c r="C1078" s="2" t="s">
        <v>70</v>
      </c>
      <c r="D1078" s="2" t="s">
        <v>295</v>
      </c>
      <c r="E1078" s="3" t="str">
        <f t="shared" si="207"/>
        <v>https://oknesset.org/committee/meeting/14079/</v>
      </c>
    </row>
    <row r="1079" ht="14.25" customHeight="1">
      <c r="A1079" s="2" t="s">
        <v>114</v>
      </c>
      <c r="B1079" s="1" t="s">
        <v>294</v>
      </c>
      <c r="C1079" s="2" t="s">
        <v>70</v>
      </c>
      <c r="D1079" s="2" t="s">
        <v>295</v>
      </c>
      <c r="E1079" s="3" t="str">
        <f t="shared" si="207"/>
        <v>https://oknesset.org/committee/meeting/14079/</v>
      </c>
    </row>
    <row r="1080" ht="14.25" customHeight="1">
      <c r="A1080" s="2" t="s">
        <v>16</v>
      </c>
      <c r="B1080" s="1" t="s">
        <v>294</v>
      </c>
      <c r="C1080" s="2" t="s">
        <v>70</v>
      </c>
      <c r="D1080" s="2" t="s">
        <v>295</v>
      </c>
      <c r="E1080" s="3" t="str">
        <f t="shared" si="207"/>
        <v>https://oknesset.org/committee/meeting/14079/</v>
      </c>
    </row>
    <row r="1081" ht="14.25" customHeight="1">
      <c r="A1081" s="2" t="s">
        <v>107</v>
      </c>
      <c r="B1081" s="1" t="s">
        <v>294</v>
      </c>
      <c r="C1081" s="2" t="s">
        <v>70</v>
      </c>
      <c r="D1081" s="2" t="s">
        <v>295</v>
      </c>
      <c r="E1081" s="3" t="str">
        <f t="shared" si="207"/>
        <v>https://oknesset.org/committee/meeting/14079/</v>
      </c>
    </row>
    <row r="1082" ht="14.25" customHeight="1">
      <c r="A1082" s="2" t="s">
        <v>106</v>
      </c>
      <c r="B1082" s="1" t="s">
        <v>294</v>
      </c>
      <c r="C1082" s="2" t="s">
        <v>70</v>
      </c>
      <c r="D1082" s="2" t="s">
        <v>295</v>
      </c>
      <c r="E1082" s="3" t="str">
        <f t="shared" si="207"/>
        <v>https://oknesset.org/committee/meeting/14079/</v>
      </c>
    </row>
    <row r="1083" ht="14.25" customHeight="1">
      <c r="A1083" s="2" t="s">
        <v>40</v>
      </c>
      <c r="B1083" s="1" t="s">
        <v>294</v>
      </c>
      <c r="C1083" s="2" t="s">
        <v>70</v>
      </c>
      <c r="D1083" s="2" t="s">
        <v>295</v>
      </c>
      <c r="E1083" s="3" t="str">
        <f t="shared" si="207"/>
        <v>https://oknesset.org/committee/meeting/14079/</v>
      </c>
    </row>
    <row r="1084" ht="14.25" customHeight="1">
      <c r="A1084" s="2" t="s">
        <v>94</v>
      </c>
      <c r="B1084" s="1" t="s">
        <v>294</v>
      </c>
      <c r="C1084" s="2" t="s">
        <v>70</v>
      </c>
      <c r="D1084" s="2" t="s">
        <v>295</v>
      </c>
      <c r="E1084" s="3" t="str">
        <f t="shared" si="207"/>
        <v>https://oknesset.org/committee/meeting/14079/</v>
      </c>
    </row>
    <row r="1085" ht="14.25" customHeight="1">
      <c r="A1085" s="2" t="s">
        <v>104</v>
      </c>
      <c r="B1085" s="1" t="s">
        <v>294</v>
      </c>
      <c r="C1085" s="2" t="s">
        <v>70</v>
      </c>
      <c r="D1085" s="2" t="s">
        <v>295</v>
      </c>
      <c r="E1085" s="3" t="str">
        <f t="shared" si="207"/>
        <v>https://oknesset.org/committee/meeting/14079/</v>
      </c>
    </row>
    <row r="1086" ht="14.25" customHeight="1">
      <c r="A1086" s="2" t="s">
        <v>126</v>
      </c>
      <c r="B1086" s="1" t="s">
        <v>294</v>
      </c>
      <c r="C1086" s="2" t="s">
        <v>70</v>
      </c>
      <c r="D1086" s="2" t="s">
        <v>295</v>
      </c>
      <c r="E1086" s="3" t="str">
        <f t="shared" si="207"/>
        <v>https://oknesset.org/committee/meeting/14079/</v>
      </c>
    </row>
    <row r="1087" ht="14.25" customHeight="1">
      <c r="A1087" s="2" t="s">
        <v>66</v>
      </c>
      <c r="B1087" s="1" t="s">
        <v>294</v>
      </c>
      <c r="C1087" s="2" t="s">
        <v>70</v>
      </c>
      <c r="D1087" s="2" t="s">
        <v>295</v>
      </c>
      <c r="E1087" s="3" t="str">
        <f t="shared" si="207"/>
        <v>https://oknesset.org/committee/meeting/14079/</v>
      </c>
    </row>
    <row r="1088" ht="14.25" customHeight="1">
      <c r="A1088" s="2" t="s">
        <v>79</v>
      </c>
      <c r="B1088" s="1" t="s">
        <v>294</v>
      </c>
      <c r="C1088" s="2" t="s">
        <v>70</v>
      </c>
      <c r="D1088" s="2" t="s">
        <v>295</v>
      </c>
      <c r="E1088" s="3" t="str">
        <f>HYPERLINK("https://oknesset.org/committee/meeting/14077/","https://oknesset.org/committee/meeting/14077/")</f>
        <v>https://oknesset.org/committee/meeting/14077/</v>
      </c>
    </row>
    <row r="1089" ht="14.25" customHeight="1">
      <c r="A1089" s="2" t="s">
        <v>85</v>
      </c>
      <c r="B1089" s="1" t="s">
        <v>294</v>
      </c>
      <c r="C1089" s="2" t="s">
        <v>45</v>
      </c>
      <c r="D1089" s="2" t="s">
        <v>150</v>
      </c>
      <c r="E1089" s="3" t="str">
        <f t="shared" ref="E1089:E1090" si="208">HYPERLINK("https://oknesset.org/committee/meeting/14129/","https://oknesset.org/committee/meeting/14129/")</f>
        <v>https://oknesset.org/committee/meeting/14129/</v>
      </c>
    </row>
    <row r="1090" ht="14.25" customHeight="1">
      <c r="A1090" s="2" t="s">
        <v>73</v>
      </c>
      <c r="B1090" s="1" t="s">
        <v>294</v>
      </c>
      <c r="C1090" s="2" t="s">
        <v>45</v>
      </c>
      <c r="D1090" s="2" t="s">
        <v>150</v>
      </c>
      <c r="E1090" s="3" t="str">
        <f t="shared" si="208"/>
        <v>https://oknesset.org/committee/meeting/14129/</v>
      </c>
    </row>
    <row r="1091" ht="14.25" customHeight="1">
      <c r="A1091" s="2" t="s">
        <v>73</v>
      </c>
      <c r="B1091" s="1" t="s">
        <v>307</v>
      </c>
      <c r="C1091" s="2" t="s">
        <v>70</v>
      </c>
      <c r="D1091" s="2" t="s">
        <v>308</v>
      </c>
      <c r="E1091" s="3" t="str">
        <f t="shared" ref="E1091:E1093" si="209">HYPERLINK("https://oknesset.org/committee/meeting/14075/","https://oknesset.org/committee/meeting/14075/")</f>
        <v>https://oknesset.org/committee/meeting/14075/</v>
      </c>
    </row>
    <row r="1092" ht="14.25" customHeight="1">
      <c r="A1092" s="2" t="s">
        <v>11</v>
      </c>
      <c r="B1092" s="1" t="s">
        <v>307</v>
      </c>
      <c r="C1092" s="2" t="s">
        <v>70</v>
      </c>
      <c r="D1092" s="2" t="s">
        <v>308</v>
      </c>
      <c r="E1092" s="3" t="str">
        <f t="shared" si="209"/>
        <v>https://oknesset.org/committee/meeting/14075/</v>
      </c>
    </row>
    <row r="1093" ht="14.25" customHeight="1">
      <c r="A1093" s="2" t="s">
        <v>61</v>
      </c>
      <c r="B1093" s="1" t="s">
        <v>307</v>
      </c>
      <c r="C1093" s="2" t="s">
        <v>70</v>
      </c>
      <c r="D1093" s="2" t="s">
        <v>308</v>
      </c>
      <c r="E1093" s="3" t="str">
        <f t="shared" si="209"/>
        <v>https://oknesset.org/committee/meeting/14075/</v>
      </c>
    </row>
    <row r="1094" ht="14.25" customHeight="1">
      <c r="A1094" s="2" t="s">
        <v>104</v>
      </c>
      <c r="B1094" s="1" t="s">
        <v>307</v>
      </c>
      <c r="C1094" s="2" t="s">
        <v>70</v>
      </c>
      <c r="D1094" s="2" t="s">
        <v>309</v>
      </c>
      <c r="E1094" s="3" t="str">
        <f>HYPERLINK("https://oknesset.org/committee/meeting/14074/","https://oknesset.org/committee/meeting/14074/")</f>
        <v>https://oknesset.org/committee/meeting/14074/</v>
      </c>
    </row>
    <row r="1095" ht="14.25" customHeight="1">
      <c r="A1095" s="2" t="s">
        <v>32</v>
      </c>
      <c r="B1095" s="1" t="s">
        <v>307</v>
      </c>
      <c r="C1095" s="2" t="s">
        <v>48</v>
      </c>
      <c r="D1095" s="2" t="s">
        <v>310</v>
      </c>
      <c r="E1095" s="3" t="str">
        <f>HYPERLINK("https://oknesset.org/committee/meeting/14180/","https://oknesset.org/committee/meeting/14180/")</f>
        <v>https://oknesset.org/committee/meeting/14180/</v>
      </c>
    </row>
    <row r="1096" ht="14.25" customHeight="1">
      <c r="A1096" s="2" t="s">
        <v>32</v>
      </c>
      <c r="B1096" s="1" t="s">
        <v>307</v>
      </c>
      <c r="C1096" s="2" t="s">
        <v>48</v>
      </c>
      <c r="D1096" s="2" t="s">
        <v>311</v>
      </c>
      <c r="E1096" s="3" t="str">
        <f>HYPERLINK("https://oknesset.org/committee/meeting/14181/","https://oknesset.org/committee/meeting/14181/")</f>
        <v>https://oknesset.org/committee/meeting/14181/</v>
      </c>
    </row>
    <row r="1097" ht="14.25" customHeight="1">
      <c r="A1097" s="2" t="s">
        <v>107</v>
      </c>
      <c r="B1097" s="1" t="s">
        <v>307</v>
      </c>
      <c r="C1097" s="2" t="s">
        <v>70</v>
      </c>
      <c r="D1097" s="2" t="s">
        <v>309</v>
      </c>
      <c r="E1097" s="3" t="str">
        <f t="shared" ref="E1097:E1099" si="210">HYPERLINK("https://oknesset.org/committee/meeting/14074/","https://oknesset.org/committee/meeting/14074/")</f>
        <v>https://oknesset.org/committee/meeting/14074/</v>
      </c>
    </row>
    <row r="1098" ht="14.25" customHeight="1">
      <c r="A1098" s="2" t="s">
        <v>84</v>
      </c>
      <c r="B1098" s="1" t="s">
        <v>307</v>
      </c>
      <c r="C1098" s="2" t="s">
        <v>70</v>
      </c>
      <c r="D1098" s="2" t="s">
        <v>309</v>
      </c>
      <c r="E1098" s="3" t="str">
        <f t="shared" si="210"/>
        <v>https://oknesset.org/committee/meeting/14074/</v>
      </c>
    </row>
    <row r="1099" ht="14.25" customHeight="1">
      <c r="A1099" s="2" t="s">
        <v>11</v>
      </c>
      <c r="B1099" s="1" t="s">
        <v>307</v>
      </c>
      <c r="C1099" s="2" t="s">
        <v>70</v>
      </c>
      <c r="D1099" s="2" t="s">
        <v>309</v>
      </c>
      <c r="E1099" s="3" t="str">
        <f t="shared" si="210"/>
        <v>https://oknesset.org/committee/meeting/14074/</v>
      </c>
    </row>
    <row r="1100" ht="14.25" customHeight="1">
      <c r="A1100" s="2" t="s">
        <v>17</v>
      </c>
      <c r="B1100" s="1" t="s">
        <v>307</v>
      </c>
      <c r="C1100" s="2" t="s">
        <v>37</v>
      </c>
      <c r="D1100" s="2" t="s">
        <v>312</v>
      </c>
      <c r="E1100" s="3" t="str">
        <f>HYPERLINK("https://oknesset.org/committee/meeting/14413/","https://oknesset.org/committee/meeting/14413/")</f>
        <v>https://oknesset.org/committee/meeting/14413/</v>
      </c>
    </row>
    <row r="1101" ht="14.25" customHeight="1">
      <c r="A1101" s="2" t="s">
        <v>61</v>
      </c>
      <c r="B1101" s="1" t="s">
        <v>307</v>
      </c>
      <c r="C1101" s="2" t="s">
        <v>70</v>
      </c>
      <c r="D1101" s="2" t="s">
        <v>309</v>
      </c>
      <c r="E1101" s="3" t="str">
        <f>HYPERLINK("https://oknesset.org/committee/meeting/14074/","https://oknesset.org/committee/meeting/14074/")</f>
        <v>https://oknesset.org/committee/meeting/14074/</v>
      </c>
    </row>
    <row r="1102" ht="14.25" customHeight="1">
      <c r="A1102" s="2" t="s">
        <v>44</v>
      </c>
      <c r="B1102" s="1" t="s">
        <v>307</v>
      </c>
      <c r="C1102" s="2" t="s">
        <v>29</v>
      </c>
      <c r="D1102" s="2" t="s">
        <v>313</v>
      </c>
      <c r="E1102" s="3" t="str">
        <f>HYPERLINK("https://oknesset.org/committee/meeting/14029/","https://oknesset.org/committee/meeting/14029/")</f>
        <v>https://oknesset.org/committee/meeting/14029/</v>
      </c>
    </row>
    <row r="1103" ht="14.25" customHeight="1">
      <c r="A1103" s="2" t="s">
        <v>118</v>
      </c>
      <c r="B1103" s="1" t="s">
        <v>307</v>
      </c>
      <c r="C1103" s="2" t="s">
        <v>70</v>
      </c>
      <c r="D1103" s="2" t="s">
        <v>314</v>
      </c>
      <c r="E1103" s="3" t="str">
        <f>HYPERLINK("https://oknesset.org/committee/meeting/14073/","https://oknesset.org/committee/meeting/14073/")</f>
        <v>https://oknesset.org/committee/meeting/14073/</v>
      </c>
    </row>
    <row r="1104" ht="14.25" customHeight="1">
      <c r="A1104" s="2" t="s">
        <v>13</v>
      </c>
      <c r="B1104" s="1" t="s">
        <v>307</v>
      </c>
      <c r="C1104" s="2" t="s">
        <v>29</v>
      </c>
      <c r="D1104" s="2" t="s">
        <v>313</v>
      </c>
      <c r="E1104" s="3" t="str">
        <f>HYPERLINK("https://oknesset.org/committee/meeting/14029/","https://oknesset.org/committee/meeting/14029/")</f>
        <v>https://oknesset.org/committee/meeting/14029/</v>
      </c>
    </row>
    <row r="1105" ht="14.25" customHeight="1">
      <c r="A1105" s="2" t="s">
        <v>104</v>
      </c>
      <c r="B1105" s="1" t="s">
        <v>307</v>
      </c>
      <c r="C1105" s="2" t="s">
        <v>70</v>
      </c>
      <c r="D1105" s="2" t="s">
        <v>314</v>
      </c>
      <c r="E1105" s="3" t="str">
        <f>HYPERLINK("https://oknesset.org/committee/meeting/14073/","https://oknesset.org/committee/meeting/14073/")</f>
        <v>https://oknesset.org/committee/meeting/14073/</v>
      </c>
    </row>
    <row r="1106" ht="14.25" customHeight="1">
      <c r="A1106" s="2" t="s">
        <v>10</v>
      </c>
      <c r="B1106" s="1" t="s">
        <v>307</v>
      </c>
      <c r="C1106" s="2" t="s">
        <v>65</v>
      </c>
      <c r="D1106" s="2" t="s">
        <v>315</v>
      </c>
      <c r="E1106" s="3" t="str">
        <f>HYPERLINK("https://oknesset.org/committee/meeting/14170/","https://oknesset.org/committee/meeting/14170/")</f>
        <v>https://oknesset.org/committee/meeting/14170/</v>
      </c>
    </row>
    <row r="1107" ht="14.25" customHeight="1">
      <c r="A1107" s="2" t="s">
        <v>41</v>
      </c>
      <c r="B1107" s="1" t="s">
        <v>307</v>
      </c>
      <c r="C1107" s="2" t="s">
        <v>42</v>
      </c>
      <c r="D1107" s="2" t="s">
        <v>316</v>
      </c>
      <c r="E1107" s="3" t="str">
        <f t="shared" ref="E1107:E1108" si="211">HYPERLINK("https://oknesset.org/committee/meeting/14352/","https://oknesset.org/committee/meeting/14352/")</f>
        <v>https://oknesset.org/committee/meeting/14352/</v>
      </c>
    </row>
    <row r="1108" ht="14.25" customHeight="1">
      <c r="A1108" s="2" t="s">
        <v>260</v>
      </c>
      <c r="B1108" s="1" t="s">
        <v>307</v>
      </c>
      <c r="C1108" s="2" t="s">
        <v>42</v>
      </c>
      <c r="D1108" s="2" t="s">
        <v>316</v>
      </c>
      <c r="E1108" s="3" t="str">
        <f t="shared" si="211"/>
        <v>https://oknesset.org/committee/meeting/14352/</v>
      </c>
    </row>
    <row r="1109" ht="14.25" customHeight="1">
      <c r="A1109" s="2" t="s">
        <v>41</v>
      </c>
      <c r="B1109" s="1" t="s">
        <v>307</v>
      </c>
      <c r="C1109" s="2" t="s">
        <v>42</v>
      </c>
      <c r="D1109" s="2" t="s">
        <v>317</v>
      </c>
      <c r="E1109" s="3" t="str">
        <f t="shared" ref="E1109:E1110" si="212">HYPERLINK("https://oknesset.org/committee/meeting/14351/","https://oknesset.org/committee/meeting/14351/")</f>
        <v>https://oknesset.org/committee/meeting/14351/</v>
      </c>
    </row>
    <row r="1110" ht="14.25" customHeight="1">
      <c r="A1110" s="2" t="s">
        <v>260</v>
      </c>
      <c r="B1110" s="1" t="s">
        <v>307</v>
      </c>
      <c r="C1110" s="2" t="s">
        <v>42</v>
      </c>
      <c r="D1110" s="2" t="s">
        <v>317</v>
      </c>
      <c r="E1110" s="3" t="str">
        <f t="shared" si="212"/>
        <v>https://oknesset.org/committee/meeting/14351/</v>
      </c>
    </row>
    <row r="1111" ht="14.25" customHeight="1">
      <c r="A1111" s="2" t="s">
        <v>59</v>
      </c>
      <c r="B1111" s="1" t="s">
        <v>307</v>
      </c>
      <c r="C1111" s="2" t="s">
        <v>65</v>
      </c>
      <c r="D1111" s="2" t="s">
        <v>315</v>
      </c>
      <c r="E1111" s="3" t="str">
        <f t="shared" ref="E1111:E1112" si="213">HYPERLINK("https://oknesset.org/committee/meeting/14170/","https://oknesset.org/committee/meeting/14170/")</f>
        <v>https://oknesset.org/committee/meeting/14170/</v>
      </c>
    </row>
    <row r="1112" ht="14.25" customHeight="1">
      <c r="A1112" s="2" t="s">
        <v>58</v>
      </c>
      <c r="B1112" s="1" t="s">
        <v>307</v>
      </c>
      <c r="C1112" s="2" t="s">
        <v>65</v>
      </c>
      <c r="D1112" s="2" t="s">
        <v>315</v>
      </c>
      <c r="E1112" s="3" t="str">
        <f t="shared" si="213"/>
        <v>https://oknesset.org/committee/meeting/14170/</v>
      </c>
    </row>
    <row r="1113" ht="14.25" customHeight="1">
      <c r="A1113" s="2" t="s">
        <v>16</v>
      </c>
      <c r="B1113" s="1" t="s">
        <v>307</v>
      </c>
      <c r="C1113" s="2" t="s">
        <v>70</v>
      </c>
      <c r="D1113" s="2" t="s">
        <v>308</v>
      </c>
      <c r="E1113" s="3" t="str">
        <f>HYPERLINK("https://oknesset.org/committee/meeting/14075/","https://oknesset.org/committee/meeting/14075/")</f>
        <v>https://oknesset.org/committee/meeting/14075/</v>
      </c>
    </row>
    <row r="1114" ht="14.25" customHeight="1">
      <c r="A1114" s="2" t="s">
        <v>112</v>
      </c>
      <c r="B1114" s="1" t="s">
        <v>307</v>
      </c>
      <c r="C1114" s="2" t="s">
        <v>204</v>
      </c>
      <c r="D1114" s="2" t="s">
        <v>318</v>
      </c>
      <c r="E1114" s="3" t="str">
        <f t="shared" ref="E1114:E1116" si="214">HYPERLINK("https://oknesset.org/committee/meeting/14293/","https://oknesset.org/committee/meeting/14293/")</f>
        <v>https://oknesset.org/committee/meeting/14293/</v>
      </c>
    </row>
    <row r="1115" ht="14.25" customHeight="1">
      <c r="A1115" s="2" t="s">
        <v>64</v>
      </c>
      <c r="B1115" s="1" t="s">
        <v>307</v>
      </c>
      <c r="C1115" s="2" t="s">
        <v>204</v>
      </c>
      <c r="D1115" s="2" t="s">
        <v>318</v>
      </c>
      <c r="E1115" s="3" t="str">
        <f t="shared" si="214"/>
        <v>https://oknesset.org/committee/meeting/14293/</v>
      </c>
    </row>
    <row r="1116" ht="14.25" customHeight="1">
      <c r="A1116" s="2" t="s">
        <v>36</v>
      </c>
      <c r="B1116" s="1" t="s">
        <v>307</v>
      </c>
      <c r="C1116" s="2" t="s">
        <v>204</v>
      </c>
      <c r="D1116" s="2" t="s">
        <v>318</v>
      </c>
      <c r="E1116" s="3" t="str">
        <f t="shared" si="214"/>
        <v>https://oknesset.org/committee/meeting/14293/</v>
      </c>
    </row>
    <row r="1117" ht="14.25" customHeight="1">
      <c r="A1117" s="2" t="s">
        <v>66</v>
      </c>
      <c r="B1117" s="1" t="s">
        <v>307</v>
      </c>
      <c r="C1117" s="2" t="s">
        <v>45</v>
      </c>
      <c r="D1117" s="2" t="s">
        <v>319</v>
      </c>
      <c r="E1117" s="3" t="str">
        <f>HYPERLINK("https://oknesset.org/committee/meeting/14128/","https://oknesset.org/committee/meeting/14128/")</f>
        <v>https://oknesset.org/committee/meeting/14128/</v>
      </c>
    </row>
    <row r="1118" ht="14.25" customHeight="1">
      <c r="A1118" s="2" t="s">
        <v>219</v>
      </c>
      <c r="B1118" s="1" t="s">
        <v>307</v>
      </c>
      <c r="C1118" s="2" t="s">
        <v>70</v>
      </c>
      <c r="D1118" s="2" t="s">
        <v>308</v>
      </c>
      <c r="E1118" s="3" t="str">
        <f t="shared" ref="E1118:E1121" si="215">HYPERLINK("https://oknesset.org/committee/meeting/14075/","https://oknesset.org/committee/meeting/14075/")</f>
        <v>https://oknesset.org/committee/meeting/14075/</v>
      </c>
    </row>
    <row r="1119" ht="14.25" customHeight="1">
      <c r="A1119" s="2" t="s">
        <v>20</v>
      </c>
      <c r="B1119" s="1" t="s">
        <v>307</v>
      </c>
      <c r="C1119" s="2" t="s">
        <v>70</v>
      </c>
      <c r="D1119" s="2" t="s">
        <v>308</v>
      </c>
      <c r="E1119" s="3" t="str">
        <f t="shared" si="215"/>
        <v>https://oknesset.org/committee/meeting/14075/</v>
      </c>
    </row>
    <row r="1120" ht="14.25" customHeight="1">
      <c r="A1120" s="2" t="s">
        <v>104</v>
      </c>
      <c r="B1120" s="1" t="s">
        <v>307</v>
      </c>
      <c r="C1120" s="2" t="s">
        <v>70</v>
      </c>
      <c r="D1120" s="2" t="s">
        <v>308</v>
      </c>
      <c r="E1120" s="3" t="str">
        <f t="shared" si="215"/>
        <v>https://oknesset.org/committee/meeting/14075/</v>
      </c>
    </row>
    <row r="1121" ht="14.25" customHeight="1">
      <c r="A1121" s="2" t="s">
        <v>94</v>
      </c>
      <c r="B1121" s="1" t="s">
        <v>307</v>
      </c>
      <c r="C1121" s="2" t="s">
        <v>70</v>
      </c>
      <c r="D1121" s="2" t="s">
        <v>308</v>
      </c>
      <c r="E1121" s="3" t="str">
        <f t="shared" si="215"/>
        <v>https://oknesset.org/committee/meeting/14075/</v>
      </c>
    </row>
    <row r="1122" ht="14.25" customHeight="1">
      <c r="A1122" s="2" t="s">
        <v>156</v>
      </c>
      <c r="B1122" s="1" t="s">
        <v>307</v>
      </c>
      <c r="C1122" s="2" t="s">
        <v>65</v>
      </c>
      <c r="D1122" s="2" t="s">
        <v>315</v>
      </c>
      <c r="E1122" s="3" t="str">
        <f>HYPERLINK("https://oknesset.org/committee/meeting/14170/","https://oknesset.org/committee/meeting/14170/")</f>
        <v>https://oknesset.org/committee/meeting/14170/</v>
      </c>
    </row>
    <row r="1123" ht="14.25" customHeight="1">
      <c r="A1123" s="2" t="s">
        <v>156</v>
      </c>
      <c r="B1123" s="1" t="s">
        <v>307</v>
      </c>
      <c r="C1123" s="2" t="s">
        <v>42</v>
      </c>
      <c r="D1123" s="2" t="s">
        <v>317</v>
      </c>
      <c r="E1123" s="3" t="str">
        <f>HYPERLINK("https://oknesset.org/committee/meeting/14351/","https://oknesset.org/committee/meeting/14351/")</f>
        <v>https://oknesset.org/committee/meeting/14351/</v>
      </c>
    </row>
    <row r="1124" ht="14.25" customHeight="1">
      <c r="A1124" s="2" t="s">
        <v>58</v>
      </c>
      <c r="B1124" s="1" t="s">
        <v>307</v>
      </c>
      <c r="C1124" s="2" t="s">
        <v>52</v>
      </c>
      <c r="D1124" s="2" t="s">
        <v>162</v>
      </c>
      <c r="E1124" s="3" t="str">
        <f t="shared" ref="E1124:E1127" si="216">HYPERLINK("https://oknesset.org/committee/meeting/14236/","https://oknesset.org/committee/meeting/14236/")</f>
        <v>https://oknesset.org/committee/meeting/14236/</v>
      </c>
    </row>
    <row r="1125" ht="14.25" customHeight="1">
      <c r="A1125" s="2" t="s">
        <v>108</v>
      </c>
      <c r="B1125" s="1" t="s">
        <v>307</v>
      </c>
      <c r="C1125" s="2" t="s">
        <v>52</v>
      </c>
      <c r="D1125" s="2" t="s">
        <v>162</v>
      </c>
      <c r="E1125" s="3" t="str">
        <f t="shared" si="216"/>
        <v>https://oknesset.org/committee/meeting/14236/</v>
      </c>
    </row>
    <row r="1126" ht="14.25" customHeight="1">
      <c r="A1126" s="2" t="s">
        <v>97</v>
      </c>
      <c r="B1126" s="1" t="s">
        <v>307</v>
      </c>
      <c r="C1126" s="2" t="s">
        <v>52</v>
      </c>
      <c r="D1126" s="2" t="s">
        <v>162</v>
      </c>
      <c r="E1126" s="3" t="str">
        <f t="shared" si="216"/>
        <v>https://oknesset.org/committee/meeting/14236/</v>
      </c>
    </row>
    <row r="1127" ht="14.25" customHeight="1">
      <c r="A1127" s="2" t="s">
        <v>126</v>
      </c>
      <c r="B1127" s="1" t="s">
        <v>307</v>
      </c>
      <c r="C1127" s="2" t="s">
        <v>52</v>
      </c>
      <c r="D1127" s="2" t="s">
        <v>162</v>
      </c>
      <c r="E1127" s="3" t="str">
        <f t="shared" si="216"/>
        <v>https://oknesset.org/committee/meeting/14236/</v>
      </c>
    </row>
    <row r="1128" ht="14.25" customHeight="1">
      <c r="A1128" s="2" t="s">
        <v>108</v>
      </c>
      <c r="B1128" s="1" t="s">
        <v>307</v>
      </c>
      <c r="C1128" s="2" t="s">
        <v>52</v>
      </c>
      <c r="D1128" s="2" t="s">
        <v>245</v>
      </c>
      <c r="E1128" s="3" t="str">
        <f>HYPERLINK("https://oknesset.org/committee/meeting/14237/","https://oknesset.org/committee/meeting/14237/")</f>
        <v>https://oknesset.org/committee/meeting/14237/</v>
      </c>
    </row>
    <row r="1129" ht="14.25" customHeight="1">
      <c r="A1129" s="2" t="s">
        <v>106</v>
      </c>
      <c r="B1129" s="1" t="s">
        <v>307</v>
      </c>
      <c r="C1129" s="2" t="s">
        <v>70</v>
      </c>
      <c r="D1129" s="2" t="s">
        <v>308</v>
      </c>
      <c r="E1129" s="3" t="str">
        <f>HYPERLINK("https://oknesset.org/committee/meeting/14075/","https://oknesset.org/committee/meeting/14075/")</f>
        <v>https://oknesset.org/committee/meeting/14075/</v>
      </c>
    </row>
    <row r="1130" ht="14.25" customHeight="1">
      <c r="A1130" s="2" t="s">
        <v>82</v>
      </c>
      <c r="B1130" s="1" t="s">
        <v>307</v>
      </c>
      <c r="C1130" s="2" t="s">
        <v>204</v>
      </c>
      <c r="D1130" s="2" t="s">
        <v>318</v>
      </c>
      <c r="E1130" s="3" t="str">
        <f>HYPERLINK("https://oknesset.org/committee/meeting/14293/","https://oknesset.org/committee/meeting/14293/")</f>
        <v>https://oknesset.org/committee/meeting/14293/</v>
      </c>
    </row>
    <row r="1131" ht="14.25" customHeight="1">
      <c r="A1131" s="2" t="s">
        <v>107</v>
      </c>
      <c r="B1131" s="1" t="s">
        <v>307</v>
      </c>
      <c r="C1131" s="2" t="s">
        <v>70</v>
      </c>
      <c r="D1131" s="2" t="s">
        <v>308</v>
      </c>
      <c r="E1131" s="3" t="str">
        <f>HYPERLINK("https://oknesset.org/committee/meeting/14075/","https://oknesset.org/committee/meeting/14075/")</f>
        <v>https://oknesset.org/committee/meeting/14075/</v>
      </c>
    </row>
    <row r="1132" ht="14.25" customHeight="1">
      <c r="A1132" s="2" t="s">
        <v>97</v>
      </c>
      <c r="B1132" s="1" t="s">
        <v>307</v>
      </c>
      <c r="C1132" s="2" t="s">
        <v>52</v>
      </c>
      <c r="D1132" s="2" t="s">
        <v>245</v>
      </c>
      <c r="E1132" s="3" t="str">
        <f t="shared" ref="E1132:E1134" si="217">HYPERLINK("https://oknesset.org/committee/meeting/14237/","https://oknesset.org/committee/meeting/14237/")</f>
        <v>https://oknesset.org/committee/meeting/14237/</v>
      </c>
    </row>
    <row r="1133" ht="14.25" customHeight="1">
      <c r="A1133" s="2" t="s">
        <v>64</v>
      </c>
      <c r="B1133" s="1" t="s">
        <v>307</v>
      </c>
      <c r="C1133" s="2" t="s">
        <v>52</v>
      </c>
      <c r="D1133" s="2" t="s">
        <v>245</v>
      </c>
      <c r="E1133" s="3" t="str">
        <f t="shared" si="217"/>
        <v>https://oknesset.org/committee/meeting/14237/</v>
      </c>
    </row>
    <row r="1134" ht="14.25" customHeight="1">
      <c r="A1134" s="2" t="s">
        <v>126</v>
      </c>
      <c r="B1134" s="1" t="s">
        <v>307</v>
      </c>
      <c r="C1134" s="2" t="s">
        <v>52</v>
      </c>
      <c r="D1134" s="2" t="s">
        <v>245</v>
      </c>
      <c r="E1134" s="3" t="str">
        <f t="shared" si="217"/>
        <v>https://oknesset.org/committee/meeting/14237/</v>
      </c>
    </row>
    <row r="1135" ht="14.25" customHeight="1">
      <c r="A1135" s="2" t="s">
        <v>156</v>
      </c>
      <c r="B1135" s="1" t="s">
        <v>307</v>
      </c>
      <c r="C1135" s="2" t="s">
        <v>52</v>
      </c>
      <c r="D1135" s="2" t="s">
        <v>199</v>
      </c>
      <c r="E1135" s="3" t="str">
        <f t="shared" ref="E1135:E1141" si="218">HYPERLINK("https://oknesset.org/committee/meeting/14238/","https://oknesset.org/committee/meeting/14238/")</f>
        <v>https://oknesset.org/committee/meeting/14238/</v>
      </c>
    </row>
    <row r="1136" ht="14.25" customHeight="1">
      <c r="A1136" s="2" t="s">
        <v>20</v>
      </c>
      <c r="B1136" s="1" t="s">
        <v>307</v>
      </c>
      <c r="C1136" s="2" t="s">
        <v>52</v>
      </c>
      <c r="D1136" s="2" t="s">
        <v>199</v>
      </c>
      <c r="E1136" s="3" t="str">
        <f t="shared" si="218"/>
        <v>https://oknesset.org/committee/meeting/14238/</v>
      </c>
    </row>
    <row r="1137" ht="14.25" customHeight="1">
      <c r="A1137" s="2" t="s">
        <v>58</v>
      </c>
      <c r="B1137" s="1" t="s">
        <v>307</v>
      </c>
      <c r="C1137" s="2" t="s">
        <v>52</v>
      </c>
      <c r="D1137" s="2" t="s">
        <v>199</v>
      </c>
      <c r="E1137" s="3" t="str">
        <f t="shared" si="218"/>
        <v>https://oknesset.org/committee/meeting/14238/</v>
      </c>
    </row>
    <row r="1138" ht="14.25" customHeight="1">
      <c r="A1138" s="2" t="s">
        <v>168</v>
      </c>
      <c r="B1138" s="1" t="s">
        <v>307</v>
      </c>
      <c r="C1138" s="2" t="s">
        <v>52</v>
      </c>
      <c r="D1138" s="2" t="s">
        <v>199</v>
      </c>
      <c r="E1138" s="3" t="str">
        <f t="shared" si="218"/>
        <v>https://oknesset.org/committee/meeting/14238/</v>
      </c>
    </row>
    <row r="1139" ht="14.25" customHeight="1">
      <c r="A1139" s="2" t="s">
        <v>108</v>
      </c>
      <c r="B1139" s="1" t="s">
        <v>307</v>
      </c>
      <c r="C1139" s="2" t="s">
        <v>52</v>
      </c>
      <c r="D1139" s="2" t="s">
        <v>199</v>
      </c>
      <c r="E1139" s="3" t="str">
        <f t="shared" si="218"/>
        <v>https://oknesset.org/committee/meeting/14238/</v>
      </c>
    </row>
    <row r="1140" ht="14.25" customHeight="1">
      <c r="A1140" s="2" t="s">
        <v>10</v>
      </c>
      <c r="B1140" s="1" t="s">
        <v>307</v>
      </c>
      <c r="C1140" s="2" t="s">
        <v>52</v>
      </c>
      <c r="D1140" s="2" t="s">
        <v>199</v>
      </c>
      <c r="E1140" s="3" t="str">
        <f t="shared" si="218"/>
        <v>https://oknesset.org/committee/meeting/14238/</v>
      </c>
    </row>
    <row r="1141" ht="14.25" customHeight="1">
      <c r="A1141" s="2" t="s">
        <v>126</v>
      </c>
      <c r="B1141" s="1" t="s">
        <v>307</v>
      </c>
      <c r="C1141" s="2" t="s">
        <v>52</v>
      </c>
      <c r="D1141" s="2" t="s">
        <v>199</v>
      </c>
      <c r="E1141" s="3" t="str">
        <f t="shared" si="218"/>
        <v>https://oknesset.org/committee/meeting/14238/</v>
      </c>
    </row>
    <row r="1142" ht="14.25" customHeight="1">
      <c r="A1142" s="2" t="s">
        <v>107</v>
      </c>
      <c r="B1142" s="1" t="s">
        <v>307</v>
      </c>
      <c r="C1142" s="2" t="s">
        <v>70</v>
      </c>
      <c r="D1142" s="2" t="s">
        <v>314</v>
      </c>
      <c r="E1142" s="3" t="str">
        <f t="shared" ref="E1142:E1143" si="219">HYPERLINK("https://oknesset.org/committee/meeting/14073/","https://oknesset.org/committee/meeting/14073/")</f>
        <v>https://oknesset.org/committee/meeting/14073/</v>
      </c>
    </row>
    <row r="1143" ht="14.25" customHeight="1">
      <c r="A1143" s="2" t="s">
        <v>13</v>
      </c>
      <c r="B1143" s="1" t="s">
        <v>307</v>
      </c>
      <c r="C1143" s="2" t="s">
        <v>70</v>
      </c>
      <c r="D1143" s="2" t="s">
        <v>314</v>
      </c>
      <c r="E1143" s="3" t="str">
        <f t="shared" si="219"/>
        <v>https://oknesset.org/committee/meeting/14073/</v>
      </c>
    </row>
    <row r="1144" ht="14.25" customHeight="1">
      <c r="A1144" s="2" t="s">
        <v>21</v>
      </c>
      <c r="B1144" s="1" t="s">
        <v>320</v>
      </c>
      <c r="C1144" s="2" t="s">
        <v>204</v>
      </c>
      <c r="D1144" s="2" t="s">
        <v>321</v>
      </c>
      <c r="E1144" s="3" t="str">
        <f t="shared" ref="E1144:E1146" si="220">HYPERLINK("https://oknesset.org/committee/meeting/14292/","https://oknesset.org/committee/meeting/14292/")</f>
        <v>https://oknesset.org/committee/meeting/14292/</v>
      </c>
    </row>
    <row r="1145" ht="14.25" customHeight="1">
      <c r="A1145" s="2" t="s">
        <v>82</v>
      </c>
      <c r="B1145" s="1" t="s">
        <v>320</v>
      </c>
      <c r="C1145" s="2" t="s">
        <v>204</v>
      </c>
      <c r="D1145" s="2" t="s">
        <v>321</v>
      </c>
      <c r="E1145" s="3" t="str">
        <f t="shared" si="220"/>
        <v>https://oknesset.org/committee/meeting/14292/</v>
      </c>
    </row>
    <row r="1146" ht="14.25" customHeight="1">
      <c r="A1146" s="2" t="s">
        <v>40</v>
      </c>
      <c r="B1146" s="1" t="s">
        <v>320</v>
      </c>
      <c r="C1146" s="2" t="s">
        <v>204</v>
      </c>
      <c r="D1146" s="2" t="s">
        <v>321</v>
      </c>
      <c r="E1146" s="3" t="str">
        <f t="shared" si="220"/>
        <v>https://oknesset.org/committee/meeting/14292/</v>
      </c>
    </row>
    <row r="1147" ht="14.25" customHeight="1">
      <c r="A1147" s="2" t="s">
        <v>79</v>
      </c>
      <c r="B1147" s="1" t="s">
        <v>320</v>
      </c>
      <c r="C1147" s="2" t="s">
        <v>70</v>
      </c>
      <c r="D1147" s="2" t="s">
        <v>322</v>
      </c>
      <c r="E1147" s="3" t="str">
        <f>HYPERLINK("https://oknesset.org/committee/meeting/14072/","https://oknesset.org/committee/meeting/14072/")</f>
        <v>https://oknesset.org/committee/meeting/14072/</v>
      </c>
    </row>
    <row r="1148" ht="14.25" customHeight="1">
      <c r="A1148" s="2" t="s">
        <v>41</v>
      </c>
      <c r="B1148" s="1" t="s">
        <v>320</v>
      </c>
      <c r="C1148" s="2" t="s">
        <v>42</v>
      </c>
      <c r="D1148" s="2" t="s">
        <v>323</v>
      </c>
      <c r="E1148" s="3" t="str">
        <f>HYPERLINK("https://oknesset.org/committee/meeting/14350/","https://oknesset.org/committee/meeting/14350/")</f>
        <v>https://oknesset.org/committee/meeting/14350/</v>
      </c>
    </row>
    <row r="1149" ht="14.25" customHeight="1">
      <c r="A1149" s="2" t="s">
        <v>58</v>
      </c>
      <c r="B1149" s="1" t="s">
        <v>320</v>
      </c>
      <c r="C1149" s="2" t="s">
        <v>37</v>
      </c>
      <c r="D1149" s="2" t="s">
        <v>324</v>
      </c>
      <c r="E1149" s="3" t="str">
        <f t="shared" ref="E1149:E1154" si="221">HYPERLINK("https://oknesset.org/committee/meeting/14412/","https://oknesset.org/committee/meeting/14412/")</f>
        <v>https://oknesset.org/committee/meeting/14412/</v>
      </c>
    </row>
    <row r="1150" ht="14.25" customHeight="1">
      <c r="A1150" s="2" t="s">
        <v>17</v>
      </c>
      <c r="B1150" s="1" t="s">
        <v>320</v>
      </c>
      <c r="C1150" s="2" t="s">
        <v>37</v>
      </c>
      <c r="D1150" s="2" t="s">
        <v>324</v>
      </c>
      <c r="E1150" s="3" t="str">
        <f t="shared" si="221"/>
        <v>https://oknesset.org/committee/meeting/14412/</v>
      </c>
    </row>
    <row r="1151" ht="14.25" customHeight="1">
      <c r="A1151" s="2" t="s">
        <v>31</v>
      </c>
      <c r="B1151" s="1" t="s">
        <v>320</v>
      </c>
      <c r="C1151" s="2" t="s">
        <v>37</v>
      </c>
      <c r="D1151" s="2" t="s">
        <v>324</v>
      </c>
      <c r="E1151" s="3" t="str">
        <f t="shared" si="221"/>
        <v>https://oknesset.org/committee/meeting/14412/</v>
      </c>
    </row>
    <row r="1152" ht="14.25" customHeight="1">
      <c r="A1152" s="2" t="s">
        <v>95</v>
      </c>
      <c r="B1152" s="1" t="s">
        <v>320</v>
      </c>
      <c r="C1152" s="2" t="s">
        <v>37</v>
      </c>
      <c r="D1152" s="2" t="s">
        <v>324</v>
      </c>
      <c r="E1152" s="3" t="str">
        <f t="shared" si="221"/>
        <v>https://oknesset.org/committee/meeting/14412/</v>
      </c>
    </row>
    <row r="1153" ht="14.25" customHeight="1">
      <c r="A1153" s="2" t="s">
        <v>54</v>
      </c>
      <c r="B1153" s="1" t="s">
        <v>320</v>
      </c>
      <c r="C1153" s="2" t="s">
        <v>37</v>
      </c>
      <c r="D1153" s="2" t="s">
        <v>324</v>
      </c>
      <c r="E1153" s="3" t="str">
        <f t="shared" si="221"/>
        <v>https://oknesset.org/committee/meeting/14412/</v>
      </c>
    </row>
    <row r="1154" ht="14.25" customHeight="1">
      <c r="A1154" s="2" t="s">
        <v>10</v>
      </c>
      <c r="B1154" s="1" t="s">
        <v>320</v>
      </c>
      <c r="C1154" s="2" t="s">
        <v>37</v>
      </c>
      <c r="D1154" s="2" t="s">
        <v>324</v>
      </c>
      <c r="E1154" s="3" t="str">
        <f t="shared" si="221"/>
        <v>https://oknesset.org/committee/meeting/14412/</v>
      </c>
    </row>
    <row r="1155" ht="14.25" customHeight="1">
      <c r="A1155" s="2" t="s">
        <v>181</v>
      </c>
      <c r="B1155" s="1" t="s">
        <v>320</v>
      </c>
      <c r="C1155" s="2" t="s">
        <v>204</v>
      </c>
      <c r="D1155" s="2" t="s">
        <v>321</v>
      </c>
      <c r="E1155" s="3" t="str">
        <f t="shared" ref="E1155:E1158" si="222">HYPERLINK("https://oknesset.org/committee/meeting/14292/","https://oknesset.org/committee/meeting/14292/")</f>
        <v>https://oknesset.org/committee/meeting/14292/</v>
      </c>
    </row>
    <row r="1156" ht="14.25" customHeight="1">
      <c r="A1156" s="2" t="s">
        <v>168</v>
      </c>
      <c r="B1156" s="1" t="s">
        <v>320</v>
      </c>
      <c r="C1156" s="2" t="s">
        <v>204</v>
      </c>
      <c r="D1156" s="2" t="s">
        <v>321</v>
      </c>
      <c r="E1156" s="3" t="str">
        <f t="shared" si="222"/>
        <v>https://oknesset.org/committee/meeting/14292/</v>
      </c>
    </row>
    <row r="1157" ht="14.25" customHeight="1">
      <c r="A1157" s="2" t="s">
        <v>260</v>
      </c>
      <c r="B1157" s="1" t="s">
        <v>320</v>
      </c>
      <c r="C1157" s="2" t="s">
        <v>204</v>
      </c>
      <c r="D1157" s="2" t="s">
        <v>321</v>
      </c>
      <c r="E1157" s="3" t="str">
        <f t="shared" si="222"/>
        <v>https://oknesset.org/committee/meeting/14292/</v>
      </c>
    </row>
    <row r="1158" ht="14.25" customHeight="1">
      <c r="A1158" s="2" t="s">
        <v>118</v>
      </c>
      <c r="B1158" s="1" t="s">
        <v>320</v>
      </c>
      <c r="C1158" s="2" t="s">
        <v>204</v>
      </c>
      <c r="D1158" s="2" t="s">
        <v>321</v>
      </c>
      <c r="E1158" s="3" t="str">
        <f t="shared" si="222"/>
        <v>https://oknesset.org/committee/meeting/14292/</v>
      </c>
    </row>
    <row r="1159" ht="14.25" customHeight="1">
      <c r="A1159" s="2" t="s">
        <v>58</v>
      </c>
      <c r="B1159" s="1" t="s">
        <v>320</v>
      </c>
      <c r="C1159" s="2" t="s">
        <v>52</v>
      </c>
      <c r="D1159" s="2" t="s">
        <v>211</v>
      </c>
      <c r="E1159" s="3" t="str">
        <f t="shared" ref="E1159:E1166" si="223">HYPERLINK("https://oknesset.org/committee/meeting/14235/","https://oknesset.org/committee/meeting/14235/")</f>
        <v>https://oknesset.org/committee/meeting/14235/</v>
      </c>
    </row>
    <row r="1160" ht="14.25" customHeight="1">
      <c r="A1160" s="2" t="s">
        <v>108</v>
      </c>
      <c r="B1160" s="1" t="s">
        <v>320</v>
      </c>
      <c r="C1160" s="2" t="s">
        <v>52</v>
      </c>
      <c r="D1160" s="2" t="s">
        <v>211</v>
      </c>
      <c r="E1160" s="3" t="str">
        <f t="shared" si="223"/>
        <v>https://oknesset.org/committee/meeting/14235/</v>
      </c>
    </row>
    <row r="1161" ht="14.25" customHeight="1">
      <c r="A1161" s="2" t="s">
        <v>106</v>
      </c>
      <c r="B1161" s="1" t="s">
        <v>320</v>
      </c>
      <c r="C1161" s="2" t="s">
        <v>52</v>
      </c>
      <c r="D1161" s="2" t="s">
        <v>211</v>
      </c>
      <c r="E1161" s="3" t="str">
        <f t="shared" si="223"/>
        <v>https://oknesset.org/committee/meeting/14235/</v>
      </c>
    </row>
    <row r="1162" ht="14.25" customHeight="1">
      <c r="A1162" s="2" t="s">
        <v>36</v>
      </c>
      <c r="B1162" s="1" t="s">
        <v>320</v>
      </c>
      <c r="C1162" s="2" t="s">
        <v>52</v>
      </c>
      <c r="D1162" s="2" t="s">
        <v>211</v>
      </c>
      <c r="E1162" s="3" t="str">
        <f t="shared" si="223"/>
        <v>https://oknesset.org/committee/meeting/14235/</v>
      </c>
    </row>
    <row r="1163" ht="14.25" customHeight="1">
      <c r="A1163" s="2" t="s">
        <v>74</v>
      </c>
      <c r="B1163" s="1" t="s">
        <v>320</v>
      </c>
      <c r="C1163" s="2" t="s">
        <v>52</v>
      </c>
      <c r="D1163" s="2" t="s">
        <v>211</v>
      </c>
      <c r="E1163" s="3" t="str">
        <f t="shared" si="223"/>
        <v>https://oknesset.org/committee/meeting/14235/</v>
      </c>
    </row>
    <row r="1164" ht="14.25" customHeight="1">
      <c r="A1164" s="2" t="s">
        <v>57</v>
      </c>
      <c r="B1164" s="1" t="s">
        <v>320</v>
      </c>
      <c r="C1164" s="2" t="s">
        <v>52</v>
      </c>
      <c r="D1164" s="2" t="s">
        <v>211</v>
      </c>
      <c r="E1164" s="3" t="str">
        <f t="shared" si="223"/>
        <v>https://oknesset.org/committee/meeting/14235/</v>
      </c>
    </row>
    <row r="1165" ht="14.25" customHeight="1">
      <c r="A1165" s="2" t="s">
        <v>34</v>
      </c>
      <c r="B1165" s="1" t="s">
        <v>320</v>
      </c>
      <c r="C1165" s="2" t="s">
        <v>52</v>
      </c>
      <c r="D1165" s="2" t="s">
        <v>211</v>
      </c>
      <c r="E1165" s="3" t="str">
        <f t="shared" si="223"/>
        <v>https://oknesset.org/committee/meeting/14235/</v>
      </c>
    </row>
    <row r="1166" ht="14.25" customHeight="1">
      <c r="A1166" s="2" t="s">
        <v>126</v>
      </c>
      <c r="B1166" s="1" t="s">
        <v>320</v>
      </c>
      <c r="C1166" s="2" t="s">
        <v>52</v>
      </c>
      <c r="D1166" s="2" t="s">
        <v>211</v>
      </c>
      <c r="E1166" s="3" t="str">
        <f t="shared" si="223"/>
        <v>https://oknesset.org/committee/meeting/14235/</v>
      </c>
    </row>
    <row r="1167" ht="14.25" customHeight="1">
      <c r="A1167" s="2" t="s">
        <v>35</v>
      </c>
      <c r="B1167" s="1" t="s">
        <v>320</v>
      </c>
      <c r="C1167" s="2" t="s">
        <v>204</v>
      </c>
      <c r="D1167" s="2" t="s">
        <v>321</v>
      </c>
      <c r="E1167" s="3" t="str">
        <f>HYPERLINK("https://oknesset.org/committee/meeting/14292/","https://oknesset.org/committee/meeting/14292/")</f>
        <v>https://oknesset.org/committee/meeting/14292/</v>
      </c>
    </row>
    <row r="1168" ht="14.25" customHeight="1">
      <c r="A1168" s="2" t="s">
        <v>170</v>
      </c>
      <c r="B1168" s="1" t="s">
        <v>320</v>
      </c>
      <c r="C1168" s="2" t="s">
        <v>25</v>
      </c>
      <c r="D1168" s="2" t="s">
        <v>325</v>
      </c>
      <c r="E1168" s="3" t="str">
        <f>HYPERLINK("https://oknesset.org/committee/meeting/14280/","https://oknesset.org/committee/meeting/14280/")</f>
        <v>https://oknesset.org/committee/meeting/14280/</v>
      </c>
    </row>
    <row r="1169" ht="14.25" customHeight="1">
      <c r="A1169" s="2" t="s">
        <v>76</v>
      </c>
      <c r="B1169" s="1" t="s">
        <v>320</v>
      </c>
      <c r="C1169" s="2" t="s">
        <v>204</v>
      </c>
      <c r="D1169" s="2" t="s">
        <v>321</v>
      </c>
      <c r="E1169" s="3" t="str">
        <f t="shared" ref="E1169:E1170" si="224">HYPERLINK("https://oknesset.org/committee/meeting/14292/","https://oknesset.org/committee/meeting/14292/")</f>
        <v>https://oknesset.org/committee/meeting/14292/</v>
      </c>
    </row>
    <row r="1170" ht="14.25" customHeight="1">
      <c r="A1170" s="2" t="s">
        <v>11</v>
      </c>
      <c r="B1170" s="1" t="s">
        <v>320</v>
      </c>
      <c r="C1170" s="2" t="s">
        <v>204</v>
      </c>
      <c r="D1170" s="2" t="s">
        <v>321</v>
      </c>
      <c r="E1170" s="3" t="str">
        <f t="shared" si="224"/>
        <v>https://oknesset.org/committee/meeting/14292/</v>
      </c>
    </row>
    <row r="1171" ht="14.25" customHeight="1">
      <c r="A1171" s="2" t="s">
        <v>326</v>
      </c>
      <c r="B1171" s="1" t="s">
        <v>320</v>
      </c>
      <c r="C1171" s="2" t="s">
        <v>25</v>
      </c>
      <c r="D1171" s="2" t="s">
        <v>325</v>
      </c>
      <c r="E1171" s="3" t="str">
        <f t="shared" ref="E1171:E1173" si="225">HYPERLINK("https://oknesset.org/committee/meeting/14280/","https://oknesset.org/committee/meeting/14280/")</f>
        <v>https://oknesset.org/committee/meeting/14280/</v>
      </c>
    </row>
    <row r="1172" ht="14.25" customHeight="1">
      <c r="A1172" s="2" t="s">
        <v>28</v>
      </c>
      <c r="B1172" s="1" t="s">
        <v>320</v>
      </c>
      <c r="C1172" s="2" t="s">
        <v>25</v>
      </c>
      <c r="D1172" s="2" t="s">
        <v>325</v>
      </c>
      <c r="E1172" s="3" t="str">
        <f t="shared" si="225"/>
        <v>https://oknesset.org/committee/meeting/14280/</v>
      </c>
    </row>
    <row r="1173" ht="14.25" customHeight="1">
      <c r="A1173" s="2" t="s">
        <v>130</v>
      </c>
      <c r="B1173" s="1" t="s">
        <v>320</v>
      </c>
      <c r="C1173" s="2" t="s">
        <v>25</v>
      </c>
      <c r="D1173" s="2" t="s">
        <v>325</v>
      </c>
      <c r="E1173" s="3" t="str">
        <f t="shared" si="225"/>
        <v>https://oknesset.org/committee/meeting/14280/</v>
      </c>
    </row>
    <row r="1174" ht="14.25" customHeight="1">
      <c r="A1174" s="2" t="s">
        <v>104</v>
      </c>
      <c r="B1174" s="1" t="s">
        <v>320</v>
      </c>
      <c r="C1174" s="2" t="s">
        <v>70</v>
      </c>
      <c r="D1174" s="2" t="s">
        <v>322</v>
      </c>
      <c r="E1174" s="3" t="str">
        <f t="shared" ref="E1174:E1176" si="226">HYPERLINK("https://oknesset.org/committee/meeting/14072/","https://oknesset.org/committee/meeting/14072/")</f>
        <v>https://oknesset.org/committee/meeting/14072/</v>
      </c>
    </row>
    <row r="1175" ht="14.25" customHeight="1">
      <c r="A1175" s="2" t="s">
        <v>107</v>
      </c>
      <c r="B1175" s="1" t="s">
        <v>320</v>
      </c>
      <c r="C1175" s="2" t="s">
        <v>70</v>
      </c>
      <c r="D1175" s="2" t="s">
        <v>322</v>
      </c>
      <c r="E1175" s="3" t="str">
        <f t="shared" si="226"/>
        <v>https://oknesset.org/committee/meeting/14072/</v>
      </c>
    </row>
    <row r="1176" ht="14.25" customHeight="1">
      <c r="A1176" s="2" t="s">
        <v>84</v>
      </c>
      <c r="B1176" s="1" t="s">
        <v>320</v>
      </c>
      <c r="C1176" s="2" t="s">
        <v>70</v>
      </c>
      <c r="D1176" s="2" t="s">
        <v>322</v>
      </c>
      <c r="E1176" s="3" t="str">
        <f t="shared" si="226"/>
        <v>https://oknesset.org/committee/meeting/14072/</v>
      </c>
    </row>
    <row r="1177" ht="14.25" customHeight="1">
      <c r="A1177" s="2" t="s">
        <v>64</v>
      </c>
      <c r="B1177" s="1" t="s">
        <v>320</v>
      </c>
      <c r="C1177" s="2" t="s">
        <v>204</v>
      </c>
      <c r="D1177" s="2" t="s">
        <v>321</v>
      </c>
      <c r="E1177" s="3" t="str">
        <f t="shared" ref="E1177:E1178" si="227">HYPERLINK("https://oknesset.org/committee/meeting/14292/","https://oknesset.org/committee/meeting/14292/")</f>
        <v>https://oknesset.org/committee/meeting/14292/</v>
      </c>
    </row>
    <row r="1178" ht="14.25" customHeight="1">
      <c r="A1178" s="2" t="s">
        <v>130</v>
      </c>
      <c r="B1178" s="1" t="s">
        <v>320</v>
      </c>
      <c r="C1178" s="2" t="s">
        <v>204</v>
      </c>
      <c r="D1178" s="2" t="s">
        <v>321</v>
      </c>
      <c r="E1178" s="3" t="str">
        <f t="shared" si="227"/>
        <v>https://oknesset.org/committee/meeting/14292/</v>
      </c>
    </row>
    <row r="1179" ht="14.25" customHeight="1">
      <c r="A1179" s="2" t="s">
        <v>59</v>
      </c>
      <c r="B1179" s="1" t="s">
        <v>320</v>
      </c>
      <c r="C1179" s="2" t="s">
        <v>65</v>
      </c>
      <c r="D1179" s="2" t="s">
        <v>327</v>
      </c>
      <c r="E1179" s="3" t="str">
        <f t="shared" ref="E1179:E1184" si="228">HYPERLINK("https://oknesset.org/committee/meeting/14169/","https://oknesset.org/committee/meeting/14169/")</f>
        <v>https://oknesset.org/committee/meeting/14169/</v>
      </c>
    </row>
    <row r="1180" ht="14.25" customHeight="1">
      <c r="A1180" s="2" t="s">
        <v>196</v>
      </c>
      <c r="B1180" s="1" t="s">
        <v>320</v>
      </c>
      <c r="C1180" s="2" t="s">
        <v>65</v>
      </c>
      <c r="D1180" s="2" t="s">
        <v>327</v>
      </c>
      <c r="E1180" s="3" t="str">
        <f t="shared" si="228"/>
        <v>https://oknesset.org/committee/meeting/14169/</v>
      </c>
    </row>
    <row r="1181" ht="14.25" customHeight="1">
      <c r="A1181" s="2" t="s">
        <v>118</v>
      </c>
      <c r="B1181" s="1" t="s">
        <v>320</v>
      </c>
      <c r="C1181" s="2" t="s">
        <v>65</v>
      </c>
      <c r="D1181" s="2" t="s">
        <v>327</v>
      </c>
      <c r="E1181" s="3" t="str">
        <f t="shared" si="228"/>
        <v>https://oknesset.org/committee/meeting/14169/</v>
      </c>
    </row>
    <row r="1182" ht="14.25" customHeight="1">
      <c r="A1182" s="2" t="s">
        <v>19</v>
      </c>
      <c r="B1182" s="1" t="s">
        <v>320</v>
      </c>
      <c r="C1182" s="2" t="s">
        <v>65</v>
      </c>
      <c r="D1182" s="2" t="s">
        <v>327</v>
      </c>
      <c r="E1182" s="3" t="str">
        <f t="shared" si="228"/>
        <v>https://oknesset.org/committee/meeting/14169/</v>
      </c>
    </row>
    <row r="1183" ht="14.25" customHeight="1">
      <c r="A1183" s="2" t="s">
        <v>209</v>
      </c>
      <c r="B1183" s="1" t="s">
        <v>320</v>
      </c>
      <c r="C1183" s="2" t="s">
        <v>65</v>
      </c>
      <c r="D1183" s="2" t="s">
        <v>327</v>
      </c>
      <c r="E1183" s="3" t="str">
        <f t="shared" si="228"/>
        <v>https://oknesset.org/committee/meeting/14169/</v>
      </c>
    </row>
    <row r="1184" ht="14.25" customHeight="1">
      <c r="A1184" s="2" t="s">
        <v>58</v>
      </c>
      <c r="B1184" s="1" t="s">
        <v>320</v>
      </c>
      <c r="C1184" s="2" t="s">
        <v>65</v>
      </c>
      <c r="D1184" s="2" t="s">
        <v>327</v>
      </c>
      <c r="E1184" s="3" t="str">
        <f t="shared" si="228"/>
        <v>https://oknesset.org/committee/meeting/14169/</v>
      </c>
    </row>
    <row r="1185" ht="14.25" customHeight="1">
      <c r="A1185" s="2" t="s">
        <v>13</v>
      </c>
      <c r="B1185" s="1" t="s">
        <v>320</v>
      </c>
      <c r="C1185" s="2" t="s">
        <v>204</v>
      </c>
      <c r="D1185" s="2" t="s">
        <v>321</v>
      </c>
      <c r="E1185" s="3" t="str">
        <f>HYPERLINK("https://oknesset.org/committee/meeting/14292/","https://oknesset.org/committee/meeting/14292/")</f>
        <v>https://oknesset.org/committee/meeting/14292/</v>
      </c>
    </row>
    <row r="1186" ht="14.25" customHeight="1">
      <c r="A1186" s="2" t="s">
        <v>82</v>
      </c>
      <c r="B1186" s="1" t="s">
        <v>328</v>
      </c>
      <c r="C1186" s="2" t="s">
        <v>52</v>
      </c>
      <c r="D1186" s="2" t="s">
        <v>329</v>
      </c>
      <c r="E1186" s="3" t="str">
        <f>HYPERLINK("https://oknesset.org/committee/meeting/14234/","https://oknesset.org/committee/meeting/14234/")</f>
        <v>https://oknesset.org/committee/meeting/14234/</v>
      </c>
    </row>
    <row r="1187" ht="14.25" customHeight="1">
      <c r="A1187" s="2" t="s">
        <v>41</v>
      </c>
      <c r="B1187" s="1" t="s">
        <v>328</v>
      </c>
      <c r="C1187" s="2" t="s">
        <v>42</v>
      </c>
      <c r="D1187" s="2" t="s">
        <v>330</v>
      </c>
      <c r="E1187" s="3" t="str">
        <f t="shared" ref="E1187:E1191" si="229">HYPERLINK("https://oknesset.org/committee/meeting/14349/","https://oknesset.org/committee/meeting/14349/")</f>
        <v>https://oknesset.org/committee/meeting/14349/</v>
      </c>
    </row>
    <row r="1188" ht="14.25" customHeight="1">
      <c r="A1188" s="2" t="s">
        <v>11</v>
      </c>
      <c r="B1188" s="1" t="s">
        <v>328</v>
      </c>
      <c r="C1188" s="2" t="s">
        <v>42</v>
      </c>
      <c r="D1188" s="2" t="s">
        <v>330</v>
      </c>
      <c r="E1188" s="3" t="str">
        <f t="shared" si="229"/>
        <v>https://oknesset.org/committee/meeting/14349/</v>
      </c>
    </row>
    <row r="1189" ht="14.25" customHeight="1">
      <c r="A1189" s="2" t="s">
        <v>13</v>
      </c>
      <c r="B1189" s="1" t="s">
        <v>328</v>
      </c>
      <c r="C1189" s="2" t="s">
        <v>42</v>
      </c>
      <c r="D1189" s="2" t="s">
        <v>330</v>
      </c>
      <c r="E1189" s="3" t="str">
        <f t="shared" si="229"/>
        <v>https://oknesset.org/committee/meeting/14349/</v>
      </c>
    </row>
    <row r="1190" ht="14.25" customHeight="1">
      <c r="A1190" s="2" t="s">
        <v>115</v>
      </c>
      <c r="B1190" s="1" t="s">
        <v>328</v>
      </c>
      <c r="C1190" s="2" t="s">
        <v>42</v>
      </c>
      <c r="D1190" s="2" t="s">
        <v>330</v>
      </c>
      <c r="E1190" s="3" t="str">
        <f t="shared" si="229"/>
        <v>https://oknesset.org/committee/meeting/14349/</v>
      </c>
    </row>
    <row r="1191" ht="14.25" customHeight="1">
      <c r="A1191" s="2" t="s">
        <v>44</v>
      </c>
      <c r="B1191" s="1" t="s">
        <v>328</v>
      </c>
      <c r="C1191" s="2" t="s">
        <v>42</v>
      </c>
      <c r="D1191" s="2" t="s">
        <v>330</v>
      </c>
      <c r="E1191" s="3" t="str">
        <f t="shared" si="229"/>
        <v>https://oknesset.org/committee/meeting/14349/</v>
      </c>
    </row>
    <row r="1192" ht="14.25" customHeight="1">
      <c r="A1192" s="2" t="s">
        <v>114</v>
      </c>
      <c r="B1192" s="1" t="s">
        <v>328</v>
      </c>
      <c r="C1192" s="2" t="s">
        <v>42</v>
      </c>
      <c r="D1192" s="2" t="s">
        <v>331</v>
      </c>
      <c r="E1192" s="3" t="str">
        <f t="shared" ref="E1192:E1194" si="230">HYPERLINK("https://oknesset.org/committee/meeting/14348/","https://oknesset.org/committee/meeting/14348/")</f>
        <v>https://oknesset.org/committee/meeting/14348/</v>
      </c>
    </row>
    <row r="1193" ht="14.25" customHeight="1">
      <c r="A1193" s="2" t="s">
        <v>31</v>
      </c>
      <c r="B1193" s="1" t="s">
        <v>328</v>
      </c>
      <c r="C1193" s="2" t="s">
        <v>42</v>
      </c>
      <c r="D1193" s="2" t="s">
        <v>331</v>
      </c>
      <c r="E1193" s="3" t="str">
        <f t="shared" si="230"/>
        <v>https://oknesset.org/committee/meeting/14348/</v>
      </c>
    </row>
    <row r="1194" ht="14.25" customHeight="1">
      <c r="A1194" s="2" t="s">
        <v>44</v>
      </c>
      <c r="B1194" s="1" t="s">
        <v>328</v>
      </c>
      <c r="C1194" s="2" t="s">
        <v>42</v>
      </c>
      <c r="D1194" s="2" t="s">
        <v>331</v>
      </c>
      <c r="E1194" s="3" t="str">
        <f t="shared" si="230"/>
        <v>https://oknesset.org/committee/meeting/14348/</v>
      </c>
    </row>
    <row r="1195" ht="14.25" customHeight="1">
      <c r="A1195" s="2" t="s">
        <v>54</v>
      </c>
      <c r="B1195" s="1" t="s">
        <v>328</v>
      </c>
      <c r="C1195" s="2" t="s">
        <v>42</v>
      </c>
      <c r="D1195" s="2" t="s">
        <v>173</v>
      </c>
      <c r="E1195" s="3" t="str">
        <f t="shared" ref="E1195:E1198" si="231">HYPERLINK("https://oknesset.org/committee/meeting/14347/","https://oknesset.org/committee/meeting/14347/")</f>
        <v>https://oknesset.org/committee/meeting/14347/</v>
      </c>
    </row>
    <row r="1196" ht="14.25" customHeight="1">
      <c r="A1196" s="2" t="s">
        <v>44</v>
      </c>
      <c r="B1196" s="1" t="s">
        <v>328</v>
      </c>
      <c r="C1196" s="2" t="s">
        <v>42</v>
      </c>
      <c r="D1196" s="2" t="s">
        <v>173</v>
      </c>
      <c r="E1196" s="3" t="str">
        <f t="shared" si="231"/>
        <v>https://oknesset.org/committee/meeting/14347/</v>
      </c>
    </row>
    <row r="1197" ht="14.25" customHeight="1">
      <c r="A1197" s="2" t="s">
        <v>82</v>
      </c>
      <c r="B1197" s="1" t="s">
        <v>328</v>
      </c>
      <c r="C1197" s="2" t="s">
        <v>42</v>
      </c>
      <c r="D1197" s="2" t="s">
        <v>173</v>
      </c>
      <c r="E1197" s="3" t="str">
        <f t="shared" si="231"/>
        <v>https://oknesset.org/committee/meeting/14347/</v>
      </c>
    </row>
    <row r="1198" ht="14.25" customHeight="1">
      <c r="A1198" s="2" t="s">
        <v>66</v>
      </c>
      <c r="B1198" s="1" t="s">
        <v>328</v>
      </c>
      <c r="C1198" s="2" t="s">
        <v>42</v>
      </c>
      <c r="D1198" s="2" t="s">
        <v>173</v>
      </c>
      <c r="E1198" s="3" t="str">
        <f t="shared" si="231"/>
        <v>https://oknesset.org/committee/meeting/14347/</v>
      </c>
    </row>
    <row r="1199" ht="14.25" customHeight="1">
      <c r="A1199" s="2" t="s">
        <v>13</v>
      </c>
      <c r="B1199" s="1" t="s">
        <v>328</v>
      </c>
      <c r="C1199" s="2" t="s">
        <v>29</v>
      </c>
      <c r="D1199" s="2" t="s">
        <v>332</v>
      </c>
      <c r="E1199" s="3" t="str">
        <f t="shared" ref="E1199:E1200" si="232">HYPERLINK("https://oknesset.org/committee/meeting/14028/","https://oknesset.org/committee/meeting/14028/")</f>
        <v>https://oknesset.org/committee/meeting/14028/</v>
      </c>
    </row>
    <row r="1200" ht="14.25" customHeight="1">
      <c r="A1200" s="2" t="s">
        <v>95</v>
      </c>
      <c r="B1200" s="1" t="s">
        <v>328</v>
      </c>
      <c r="C1200" s="2" t="s">
        <v>29</v>
      </c>
      <c r="D1200" s="2" t="s">
        <v>332</v>
      </c>
      <c r="E1200" s="3" t="str">
        <f t="shared" si="232"/>
        <v>https://oknesset.org/committee/meeting/14028/</v>
      </c>
    </row>
    <row r="1201" ht="14.25" customHeight="1">
      <c r="A1201" s="2" t="s">
        <v>85</v>
      </c>
      <c r="B1201" s="1" t="s">
        <v>328</v>
      </c>
      <c r="C1201" s="2" t="s">
        <v>45</v>
      </c>
      <c r="D1201" s="2" t="s">
        <v>333</v>
      </c>
      <c r="E1201" s="3" t="str">
        <f t="shared" ref="E1201:E1211" si="233">HYPERLINK("https://oknesset.org/committee/meeting/14126/","https://oknesset.org/committee/meeting/14126/")</f>
        <v>https://oknesset.org/committee/meeting/14126/</v>
      </c>
    </row>
    <row r="1202" ht="14.25" customHeight="1">
      <c r="A1202" s="2" t="s">
        <v>132</v>
      </c>
      <c r="B1202" s="1" t="s">
        <v>328</v>
      </c>
      <c r="C1202" s="2" t="s">
        <v>45</v>
      </c>
      <c r="D1202" s="2" t="s">
        <v>333</v>
      </c>
      <c r="E1202" s="3" t="str">
        <f t="shared" si="233"/>
        <v>https://oknesset.org/committee/meeting/14126/</v>
      </c>
    </row>
    <row r="1203" ht="14.25" customHeight="1">
      <c r="A1203" s="2" t="s">
        <v>17</v>
      </c>
      <c r="B1203" s="1" t="s">
        <v>328</v>
      </c>
      <c r="C1203" s="2" t="s">
        <v>45</v>
      </c>
      <c r="D1203" s="2" t="s">
        <v>333</v>
      </c>
      <c r="E1203" s="3" t="str">
        <f t="shared" si="233"/>
        <v>https://oknesset.org/committee/meeting/14126/</v>
      </c>
    </row>
    <row r="1204" ht="14.25" customHeight="1">
      <c r="A1204" s="2" t="s">
        <v>84</v>
      </c>
      <c r="B1204" s="1" t="s">
        <v>328</v>
      </c>
      <c r="C1204" s="2" t="s">
        <v>45</v>
      </c>
      <c r="D1204" s="2" t="s">
        <v>333</v>
      </c>
      <c r="E1204" s="3" t="str">
        <f t="shared" si="233"/>
        <v>https://oknesset.org/committee/meeting/14126/</v>
      </c>
    </row>
    <row r="1205" ht="14.25" customHeight="1">
      <c r="A1205" s="2" t="s">
        <v>15</v>
      </c>
      <c r="B1205" s="1" t="s">
        <v>328</v>
      </c>
      <c r="C1205" s="2" t="s">
        <v>45</v>
      </c>
      <c r="D1205" s="2" t="s">
        <v>333</v>
      </c>
      <c r="E1205" s="3" t="str">
        <f t="shared" si="233"/>
        <v>https://oknesset.org/committee/meeting/14126/</v>
      </c>
    </row>
    <row r="1206" ht="14.25" customHeight="1">
      <c r="A1206" s="2" t="s">
        <v>62</v>
      </c>
      <c r="B1206" s="1" t="s">
        <v>328</v>
      </c>
      <c r="C1206" s="2" t="s">
        <v>45</v>
      </c>
      <c r="D1206" s="2" t="s">
        <v>333</v>
      </c>
      <c r="E1206" s="3" t="str">
        <f t="shared" si="233"/>
        <v>https://oknesset.org/committee/meeting/14126/</v>
      </c>
    </row>
    <row r="1207" ht="14.25" customHeight="1">
      <c r="A1207" s="2" t="s">
        <v>73</v>
      </c>
      <c r="B1207" s="1" t="s">
        <v>328</v>
      </c>
      <c r="C1207" s="2" t="s">
        <v>45</v>
      </c>
      <c r="D1207" s="2" t="s">
        <v>333</v>
      </c>
      <c r="E1207" s="3" t="str">
        <f t="shared" si="233"/>
        <v>https://oknesset.org/committee/meeting/14126/</v>
      </c>
    </row>
    <row r="1208" ht="14.25" customHeight="1">
      <c r="A1208" s="2" t="s">
        <v>86</v>
      </c>
      <c r="B1208" s="1" t="s">
        <v>328</v>
      </c>
      <c r="C1208" s="2" t="s">
        <v>45</v>
      </c>
      <c r="D1208" s="2" t="s">
        <v>333</v>
      </c>
      <c r="E1208" s="3" t="str">
        <f t="shared" si="233"/>
        <v>https://oknesset.org/committee/meeting/14126/</v>
      </c>
    </row>
    <row r="1209" ht="14.25" customHeight="1">
      <c r="A1209" s="2" t="s">
        <v>11</v>
      </c>
      <c r="B1209" s="1" t="s">
        <v>328</v>
      </c>
      <c r="C1209" s="2" t="s">
        <v>45</v>
      </c>
      <c r="D1209" s="2" t="s">
        <v>333</v>
      </c>
      <c r="E1209" s="3" t="str">
        <f t="shared" si="233"/>
        <v>https://oknesset.org/committee/meeting/14126/</v>
      </c>
    </row>
    <row r="1210" ht="14.25" customHeight="1">
      <c r="A1210" s="2" t="s">
        <v>9</v>
      </c>
      <c r="B1210" s="1" t="s">
        <v>328</v>
      </c>
      <c r="C1210" s="2" t="s">
        <v>45</v>
      </c>
      <c r="D1210" s="2" t="s">
        <v>333</v>
      </c>
      <c r="E1210" s="3" t="str">
        <f t="shared" si="233"/>
        <v>https://oknesset.org/committee/meeting/14126/</v>
      </c>
    </row>
    <row r="1211" ht="14.25" customHeight="1">
      <c r="A1211" s="2" t="s">
        <v>61</v>
      </c>
      <c r="B1211" s="1" t="s">
        <v>328</v>
      </c>
      <c r="C1211" s="2" t="s">
        <v>45</v>
      </c>
      <c r="D1211" s="2" t="s">
        <v>333</v>
      </c>
      <c r="E1211" s="3" t="str">
        <f t="shared" si="233"/>
        <v>https://oknesset.org/committee/meeting/14126/</v>
      </c>
    </row>
    <row r="1212" ht="14.25" customHeight="1">
      <c r="A1212" s="2" t="s">
        <v>66</v>
      </c>
      <c r="B1212" s="1" t="s">
        <v>328</v>
      </c>
      <c r="C1212" s="2" t="s">
        <v>45</v>
      </c>
      <c r="D1212" s="2" t="s">
        <v>334</v>
      </c>
      <c r="E1212" s="3" t="str">
        <f t="shared" ref="E1212:E1214" si="234">HYPERLINK("https://oknesset.org/committee/meeting/14127/","https://oknesset.org/committee/meeting/14127/")</f>
        <v>https://oknesset.org/committee/meeting/14127/</v>
      </c>
    </row>
    <row r="1213" ht="14.25" customHeight="1">
      <c r="A1213" s="2" t="s">
        <v>28</v>
      </c>
      <c r="B1213" s="1" t="s">
        <v>328</v>
      </c>
      <c r="C1213" s="2" t="s">
        <v>45</v>
      </c>
      <c r="D1213" s="2" t="s">
        <v>334</v>
      </c>
      <c r="E1213" s="3" t="str">
        <f t="shared" si="234"/>
        <v>https://oknesset.org/committee/meeting/14127/</v>
      </c>
    </row>
    <row r="1214" ht="14.25" customHeight="1">
      <c r="A1214" s="2" t="s">
        <v>15</v>
      </c>
      <c r="B1214" s="1" t="s">
        <v>328</v>
      </c>
      <c r="C1214" s="2" t="s">
        <v>45</v>
      </c>
      <c r="D1214" s="2" t="s">
        <v>334</v>
      </c>
      <c r="E1214" s="3" t="str">
        <f t="shared" si="234"/>
        <v>https://oknesset.org/committee/meeting/14127/</v>
      </c>
    </row>
    <row r="1215" ht="14.25" customHeight="1">
      <c r="A1215" s="2" t="s">
        <v>106</v>
      </c>
      <c r="B1215" s="1" t="s">
        <v>328</v>
      </c>
      <c r="C1215" s="2" t="s">
        <v>70</v>
      </c>
      <c r="D1215" s="2" t="s">
        <v>335</v>
      </c>
      <c r="E1215" s="3" t="str">
        <f t="shared" ref="E1215:E1216" si="235">HYPERLINK("https://oknesset.org/committee/meeting/14071/","https://oknesset.org/committee/meeting/14071/")</f>
        <v>https://oknesset.org/committee/meeting/14071/</v>
      </c>
    </row>
    <row r="1216" ht="14.25" customHeight="1">
      <c r="A1216" s="2" t="s">
        <v>107</v>
      </c>
      <c r="B1216" s="1" t="s">
        <v>328</v>
      </c>
      <c r="C1216" s="2" t="s">
        <v>70</v>
      </c>
      <c r="D1216" s="2" t="s">
        <v>335</v>
      </c>
      <c r="E1216" s="3" t="str">
        <f t="shared" si="235"/>
        <v>https://oknesset.org/committee/meeting/14071/</v>
      </c>
    </row>
    <row r="1217" ht="14.25" customHeight="1">
      <c r="A1217" s="2" t="s">
        <v>11</v>
      </c>
      <c r="B1217" s="1" t="s">
        <v>328</v>
      </c>
      <c r="C1217" s="2" t="s">
        <v>29</v>
      </c>
      <c r="D1217" s="2" t="s">
        <v>332</v>
      </c>
      <c r="E1217" s="3" t="str">
        <f t="shared" ref="E1217:E1218" si="236">HYPERLINK("https://oknesset.org/committee/meeting/14028/","https://oknesset.org/committee/meeting/14028/")</f>
        <v>https://oknesset.org/committee/meeting/14028/</v>
      </c>
    </row>
    <row r="1218" ht="14.25" customHeight="1">
      <c r="A1218" s="2" t="s">
        <v>35</v>
      </c>
      <c r="B1218" s="1" t="s">
        <v>328</v>
      </c>
      <c r="C1218" s="2" t="s">
        <v>29</v>
      </c>
      <c r="D1218" s="2" t="s">
        <v>332</v>
      </c>
      <c r="E1218" s="3" t="str">
        <f t="shared" si="236"/>
        <v>https://oknesset.org/committee/meeting/14028/</v>
      </c>
    </row>
    <row r="1219" ht="14.25" customHeight="1">
      <c r="A1219" s="2" t="s">
        <v>28</v>
      </c>
      <c r="B1219" s="1" t="s">
        <v>328</v>
      </c>
      <c r="C1219" s="2" t="s">
        <v>48</v>
      </c>
      <c r="D1219" s="2" t="s">
        <v>336</v>
      </c>
      <c r="E1219" s="3" t="str">
        <f t="shared" ref="E1219:E1220" si="237">HYPERLINK("https://oknesset.org/committee/meeting/14179/","https://oknesset.org/committee/meeting/14179/")</f>
        <v>https://oknesset.org/committee/meeting/14179/</v>
      </c>
    </row>
    <row r="1220" ht="14.25" customHeight="1">
      <c r="A1220" s="2" t="s">
        <v>32</v>
      </c>
      <c r="B1220" s="1" t="s">
        <v>328</v>
      </c>
      <c r="C1220" s="2" t="s">
        <v>48</v>
      </c>
      <c r="D1220" s="2" t="s">
        <v>336</v>
      </c>
      <c r="E1220" s="3" t="str">
        <f t="shared" si="237"/>
        <v>https://oknesset.org/committee/meeting/14179/</v>
      </c>
    </row>
    <row r="1221" ht="14.25" customHeight="1">
      <c r="A1221" s="2" t="s">
        <v>104</v>
      </c>
      <c r="B1221" s="1" t="s">
        <v>328</v>
      </c>
      <c r="C1221" s="2" t="s">
        <v>70</v>
      </c>
      <c r="D1221" s="2" t="s">
        <v>295</v>
      </c>
      <c r="E1221" s="3" t="str">
        <f t="shared" ref="E1221:E1224" si="238">HYPERLINK("https://oknesset.org/committee/meeting/14070/","https://oknesset.org/committee/meeting/14070/")</f>
        <v>https://oknesset.org/committee/meeting/14070/</v>
      </c>
    </row>
    <row r="1222" ht="14.25" customHeight="1">
      <c r="A1222" s="2" t="s">
        <v>94</v>
      </c>
      <c r="B1222" s="1" t="s">
        <v>328</v>
      </c>
      <c r="C1222" s="2" t="s">
        <v>70</v>
      </c>
      <c r="D1222" s="2" t="s">
        <v>295</v>
      </c>
      <c r="E1222" s="3" t="str">
        <f t="shared" si="238"/>
        <v>https://oknesset.org/committee/meeting/14070/</v>
      </c>
    </row>
    <row r="1223" ht="14.25" customHeight="1">
      <c r="A1223" s="2" t="s">
        <v>106</v>
      </c>
      <c r="B1223" s="1" t="s">
        <v>328</v>
      </c>
      <c r="C1223" s="2" t="s">
        <v>70</v>
      </c>
      <c r="D1223" s="2" t="s">
        <v>295</v>
      </c>
      <c r="E1223" s="3" t="str">
        <f t="shared" si="238"/>
        <v>https://oknesset.org/committee/meeting/14070/</v>
      </c>
    </row>
    <row r="1224" ht="14.25" customHeight="1">
      <c r="A1224" s="2" t="s">
        <v>107</v>
      </c>
      <c r="B1224" s="1" t="s">
        <v>328</v>
      </c>
      <c r="C1224" s="2" t="s">
        <v>70</v>
      </c>
      <c r="D1224" s="2" t="s">
        <v>295</v>
      </c>
      <c r="E1224" s="3" t="str">
        <f t="shared" si="238"/>
        <v>https://oknesset.org/committee/meeting/14070/</v>
      </c>
    </row>
    <row r="1225" ht="14.25" customHeight="1">
      <c r="A1225" s="2" t="s">
        <v>209</v>
      </c>
      <c r="B1225" s="1" t="s">
        <v>328</v>
      </c>
      <c r="C1225" s="2" t="s">
        <v>70</v>
      </c>
      <c r="D1225" s="2" t="s">
        <v>335</v>
      </c>
      <c r="E1225" s="3" t="str">
        <f t="shared" ref="E1225:E1226" si="239">HYPERLINK("https://oknesset.org/committee/meeting/14071/","https://oknesset.org/committee/meeting/14071/")</f>
        <v>https://oknesset.org/committee/meeting/14071/</v>
      </c>
    </row>
    <row r="1226" ht="14.25" customHeight="1">
      <c r="A1226" s="2" t="s">
        <v>104</v>
      </c>
      <c r="B1226" s="1" t="s">
        <v>328</v>
      </c>
      <c r="C1226" s="2" t="s">
        <v>70</v>
      </c>
      <c r="D1226" s="2" t="s">
        <v>335</v>
      </c>
      <c r="E1226" s="3" t="str">
        <f t="shared" si="239"/>
        <v>https://oknesset.org/committee/meeting/14071/</v>
      </c>
    </row>
    <row r="1227" ht="14.25" customHeight="1">
      <c r="A1227" s="2" t="s">
        <v>118</v>
      </c>
      <c r="B1227" s="1" t="s">
        <v>328</v>
      </c>
      <c r="C1227" s="2" t="s">
        <v>52</v>
      </c>
      <c r="D1227" s="2" t="s">
        <v>192</v>
      </c>
      <c r="E1227" s="3" t="str">
        <f t="shared" ref="E1227:E1230" si="240">HYPERLINK("https://oknesset.org/committee/meeting/14232/","https://oknesset.org/committee/meeting/14232/")</f>
        <v>https://oknesset.org/committee/meeting/14232/</v>
      </c>
    </row>
    <row r="1228" ht="14.25" customHeight="1">
      <c r="A1228" s="2" t="s">
        <v>58</v>
      </c>
      <c r="B1228" s="1" t="s">
        <v>328</v>
      </c>
      <c r="C1228" s="2" t="s">
        <v>52</v>
      </c>
      <c r="D1228" s="2" t="s">
        <v>192</v>
      </c>
      <c r="E1228" s="3" t="str">
        <f t="shared" si="240"/>
        <v>https://oknesset.org/committee/meeting/14232/</v>
      </c>
    </row>
    <row r="1229" ht="14.25" customHeight="1">
      <c r="A1229" s="2" t="s">
        <v>108</v>
      </c>
      <c r="B1229" s="1" t="s">
        <v>328</v>
      </c>
      <c r="C1229" s="2" t="s">
        <v>52</v>
      </c>
      <c r="D1229" s="2" t="s">
        <v>192</v>
      </c>
      <c r="E1229" s="3" t="str">
        <f t="shared" si="240"/>
        <v>https://oknesset.org/committee/meeting/14232/</v>
      </c>
    </row>
    <row r="1230" ht="14.25" customHeight="1">
      <c r="A1230" s="2" t="s">
        <v>34</v>
      </c>
      <c r="B1230" s="1" t="s">
        <v>328</v>
      </c>
      <c r="C1230" s="2" t="s">
        <v>52</v>
      </c>
      <c r="D1230" s="2" t="s">
        <v>192</v>
      </c>
      <c r="E1230" s="3" t="str">
        <f t="shared" si="240"/>
        <v>https://oknesset.org/committee/meeting/14232/</v>
      </c>
    </row>
    <row r="1231" ht="14.25" customHeight="1">
      <c r="A1231" s="2" t="s">
        <v>196</v>
      </c>
      <c r="B1231" s="1" t="s">
        <v>328</v>
      </c>
      <c r="C1231" s="2" t="s">
        <v>52</v>
      </c>
      <c r="D1231" s="2" t="s">
        <v>337</v>
      </c>
      <c r="E1231" s="3" t="str">
        <f t="shared" ref="E1231:E1241" si="241">HYPERLINK("https://oknesset.org/committee/meeting/14233/","https://oknesset.org/committee/meeting/14233/")</f>
        <v>https://oknesset.org/committee/meeting/14233/</v>
      </c>
    </row>
    <row r="1232" ht="14.25" customHeight="1">
      <c r="A1232" s="2" t="s">
        <v>103</v>
      </c>
      <c r="B1232" s="1" t="s">
        <v>328</v>
      </c>
      <c r="C1232" s="2" t="s">
        <v>52</v>
      </c>
      <c r="D1232" s="2" t="s">
        <v>337</v>
      </c>
      <c r="E1232" s="3" t="str">
        <f t="shared" si="241"/>
        <v>https://oknesset.org/committee/meeting/14233/</v>
      </c>
    </row>
    <row r="1233" ht="14.25" customHeight="1">
      <c r="A1233" s="2" t="s">
        <v>58</v>
      </c>
      <c r="B1233" s="1" t="s">
        <v>328</v>
      </c>
      <c r="C1233" s="2" t="s">
        <v>52</v>
      </c>
      <c r="D1233" s="2" t="s">
        <v>337</v>
      </c>
      <c r="E1233" s="3" t="str">
        <f t="shared" si="241"/>
        <v>https://oknesset.org/committee/meeting/14233/</v>
      </c>
    </row>
    <row r="1234" ht="14.25" customHeight="1">
      <c r="A1234" s="2" t="s">
        <v>28</v>
      </c>
      <c r="B1234" s="1" t="s">
        <v>328</v>
      </c>
      <c r="C1234" s="2" t="s">
        <v>52</v>
      </c>
      <c r="D1234" s="2" t="s">
        <v>337</v>
      </c>
      <c r="E1234" s="3" t="str">
        <f t="shared" si="241"/>
        <v>https://oknesset.org/committee/meeting/14233/</v>
      </c>
    </row>
    <row r="1235" ht="14.25" customHeight="1">
      <c r="A1235" s="2" t="s">
        <v>108</v>
      </c>
      <c r="B1235" s="1" t="s">
        <v>328</v>
      </c>
      <c r="C1235" s="2" t="s">
        <v>52</v>
      </c>
      <c r="D1235" s="2" t="s">
        <v>337</v>
      </c>
      <c r="E1235" s="3" t="str">
        <f t="shared" si="241"/>
        <v>https://oknesset.org/committee/meeting/14233/</v>
      </c>
    </row>
    <row r="1236" ht="14.25" customHeight="1">
      <c r="A1236" s="2" t="s">
        <v>97</v>
      </c>
      <c r="B1236" s="1" t="s">
        <v>328</v>
      </c>
      <c r="C1236" s="2" t="s">
        <v>52</v>
      </c>
      <c r="D1236" s="2" t="s">
        <v>337</v>
      </c>
      <c r="E1236" s="3" t="str">
        <f t="shared" si="241"/>
        <v>https://oknesset.org/committee/meeting/14233/</v>
      </c>
    </row>
    <row r="1237" ht="14.25" customHeight="1">
      <c r="A1237" s="2" t="s">
        <v>16</v>
      </c>
      <c r="B1237" s="1" t="s">
        <v>328</v>
      </c>
      <c r="C1237" s="2" t="s">
        <v>52</v>
      </c>
      <c r="D1237" s="2" t="s">
        <v>337</v>
      </c>
      <c r="E1237" s="3" t="str">
        <f t="shared" si="241"/>
        <v>https://oknesset.org/committee/meeting/14233/</v>
      </c>
    </row>
    <row r="1238" ht="14.25" customHeight="1">
      <c r="A1238" s="2" t="s">
        <v>85</v>
      </c>
      <c r="B1238" s="1" t="s">
        <v>328</v>
      </c>
      <c r="C1238" s="2" t="s">
        <v>52</v>
      </c>
      <c r="D1238" s="2" t="s">
        <v>337</v>
      </c>
      <c r="E1238" s="3" t="str">
        <f t="shared" si="241"/>
        <v>https://oknesset.org/committee/meeting/14233/</v>
      </c>
    </row>
    <row r="1239" ht="14.25" customHeight="1">
      <c r="A1239" s="2" t="s">
        <v>76</v>
      </c>
      <c r="B1239" s="1" t="s">
        <v>328</v>
      </c>
      <c r="C1239" s="2" t="s">
        <v>52</v>
      </c>
      <c r="D1239" s="2" t="s">
        <v>337</v>
      </c>
      <c r="E1239" s="3" t="str">
        <f t="shared" si="241"/>
        <v>https://oknesset.org/committee/meeting/14233/</v>
      </c>
    </row>
    <row r="1240" ht="14.25" customHeight="1">
      <c r="A1240" s="2" t="s">
        <v>56</v>
      </c>
      <c r="B1240" s="1" t="s">
        <v>328</v>
      </c>
      <c r="C1240" s="2" t="s">
        <v>52</v>
      </c>
      <c r="D1240" s="2" t="s">
        <v>337</v>
      </c>
      <c r="E1240" s="3" t="str">
        <f t="shared" si="241"/>
        <v>https://oknesset.org/committee/meeting/14233/</v>
      </c>
    </row>
    <row r="1241" ht="14.25" customHeight="1">
      <c r="A1241" s="2" t="s">
        <v>34</v>
      </c>
      <c r="B1241" s="1" t="s">
        <v>328</v>
      </c>
      <c r="C1241" s="2" t="s">
        <v>52</v>
      </c>
      <c r="D1241" s="2" t="s">
        <v>337</v>
      </c>
      <c r="E1241" s="3" t="str">
        <f t="shared" si="241"/>
        <v>https://oknesset.org/committee/meeting/14233/</v>
      </c>
    </row>
    <row r="1242" ht="14.25" customHeight="1">
      <c r="A1242" s="2" t="s">
        <v>82</v>
      </c>
      <c r="B1242" s="1" t="s">
        <v>328</v>
      </c>
      <c r="C1242" s="2" t="s">
        <v>178</v>
      </c>
      <c r="D1242" s="2" t="s">
        <v>173</v>
      </c>
      <c r="E1242" s="3" t="str">
        <f>HYPERLINK("https://oknesset.org/committee/meeting/14425/","https://oknesset.org/committee/meeting/14425/")</f>
        <v>https://oknesset.org/committee/meeting/14425/</v>
      </c>
    </row>
    <row r="1243" ht="14.25" customHeight="1">
      <c r="A1243" s="2" t="s">
        <v>21</v>
      </c>
      <c r="B1243" s="1" t="s">
        <v>328</v>
      </c>
      <c r="C1243" s="2" t="s">
        <v>52</v>
      </c>
      <c r="D1243" s="2" t="s">
        <v>329</v>
      </c>
      <c r="E1243" s="3" t="str">
        <f t="shared" ref="E1243:E1253" si="242">HYPERLINK("https://oknesset.org/committee/meeting/14234/","https://oknesset.org/committee/meeting/14234/")</f>
        <v>https://oknesset.org/committee/meeting/14234/</v>
      </c>
    </row>
    <row r="1244" ht="14.25" customHeight="1">
      <c r="A1244" s="2" t="s">
        <v>117</v>
      </c>
      <c r="B1244" s="1" t="s">
        <v>328</v>
      </c>
      <c r="C1244" s="2" t="s">
        <v>52</v>
      </c>
      <c r="D1244" s="2" t="s">
        <v>329</v>
      </c>
      <c r="E1244" s="3" t="str">
        <f t="shared" si="242"/>
        <v>https://oknesset.org/committee/meeting/14234/</v>
      </c>
    </row>
    <row r="1245" ht="14.25" customHeight="1">
      <c r="A1245" s="2" t="s">
        <v>108</v>
      </c>
      <c r="B1245" s="1" t="s">
        <v>328</v>
      </c>
      <c r="C1245" s="2" t="s">
        <v>52</v>
      </c>
      <c r="D1245" s="2" t="s">
        <v>329</v>
      </c>
      <c r="E1245" s="3" t="str">
        <f t="shared" si="242"/>
        <v>https://oknesset.org/committee/meeting/14234/</v>
      </c>
    </row>
    <row r="1246" ht="14.25" customHeight="1">
      <c r="A1246" s="2" t="s">
        <v>16</v>
      </c>
      <c r="B1246" s="1" t="s">
        <v>328</v>
      </c>
      <c r="C1246" s="2" t="s">
        <v>52</v>
      </c>
      <c r="D1246" s="2" t="s">
        <v>329</v>
      </c>
      <c r="E1246" s="3" t="str">
        <f t="shared" si="242"/>
        <v>https://oknesset.org/committee/meeting/14234/</v>
      </c>
    </row>
    <row r="1247" ht="14.25" customHeight="1">
      <c r="A1247" s="2" t="s">
        <v>31</v>
      </c>
      <c r="B1247" s="1" t="s">
        <v>328</v>
      </c>
      <c r="C1247" s="2" t="s">
        <v>52</v>
      </c>
      <c r="D1247" s="2" t="s">
        <v>329</v>
      </c>
      <c r="E1247" s="3" t="str">
        <f t="shared" si="242"/>
        <v>https://oknesset.org/committee/meeting/14234/</v>
      </c>
    </row>
    <row r="1248" ht="14.25" customHeight="1">
      <c r="A1248" s="2" t="s">
        <v>64</v>
      </c>
      <c r="B1248" s="1" t="s">
        <v>328</v>
      </c>
      <c r="C1248" s="2" t="s">
        <v>52</v>
      </c>
      <c r="D1248" s="2" t="s">
        <v>329</v>
      </c>
      <c r="E1248" s="3" t="str">
        <f t="shared" si="242"/>
        <v>https://oknesset.org/committee/meeting/14234/</v>
      </c>
    </row>
    <row r="1249" ht="14.25" customHeight="1">
      <c r="A1249" s="2" t="s">
        <v>57</v>
      </c>
      <c r="B1249" s="1" t="s">
        <v>328</v>
      </c>
      <c r="C1249" s="2" t="s">
        <v>52</v>
      </c>
      <c r="D1249" s="2" t="s">
        <v>329</v>
      </c>
      <c r="E1249" s="3" t="str">
        <f t="shared" si="242"/>
        <v>https://oknesset.org/committee/meeting/14234/</v>
      </c>
    </row>
    <row r="1250" ht="14.25" customHeight="1">
      <c r="A1250" s="2" t="s">
        <v>54</v>
      </c>
      <c r="B1250" s="1" t="s">
        <v>328</v>
      </c>
      <c r="C1250" s="2" t="s">
        <v>52</v>
      </c>
      <c r="D1250" s="2" t="s">
        <v>329</v>
      </c>
      <c r="E1250" s="3" t="str">
        <f t="shared" si="242"/>
        <v>https://oknesset.org/committee/meeting/14234/</v>
      </c>
    </row>
    <row r="1251" ht="14.25" customHeight="1">
      <c r="A1251" s="2" t="s">
        <v>76</v>
      </c>
      <c r="B1251" s="1" t="s">
        <v>328</v>
      </c>
      <c r="C1251" s="2" t="s">
        <v>52</v>
      </c>
      <c r="D1251" s="2" t="s">
        <v>329</v>
      </c>
      <c r="E1251" s="3" t="str">
        <f t="shared" si="242"/>
        <v>https://oknesset.org/committee/meeting/14234/</v>
      </c>
    </row>
    <row r="1252" ht="14.25" customHeight="1">
      <c r="A1252" s="2" t="s">
        <v>10</v>
      </c>
      <c r="B1252" s="1" t="s">
        <v>328</v>
      </c>
      <c r="C1252" s="2" t="s">
        <v>52</v>
      </c>
      <c r="D1252" s="2" t="s">
        <v>329</v>
      </c>
      <c r="E1252" s="3" t="str">
        <f t="shared" si="242"/>
        <v>https://oknesset.org/committee/meeting/14234/</v>
      </c>
    </row>
    <row r="1253" ht="14.25" customHeight="1">
      <c r="A1253" s="2" t="s">
        <v>34</v>
      </c>
      <c r="B1253" s="1" t="s">
        <v>328</v>
      </c>
      <c r="C1253" s="2" t="s">
        <v>52</v>
      </c>
      <c r="D1253" s="2" t="s">
        <v>329</v>
      </c>
      <c r="E1253" s="3" t="str">
        <f t="shared" si="242"/>
        <v>https://oknesset.org/committee/meeting/14234/</v>
      </c>
    </row>
    <row r="1254" ht="14.25" customHeight="1">
      <c r="A1254" s="2" t="s">
        <v>88</v>
      </c>
      <c r="B1254" s="1" t="s">
        <v>328</v>
      </c>
      <c r="C1254" s="2" t="s">
        <v>70</v>
      </c>
      <c r="D1254" s="2" t="s">
        <v>335</v>
      </c>
      <c r="E1254" s="3" t="str">
        <f>HYPERLINK("https://oknesset.org/committee/meeting/14071/","https://oknesset.org/committee/meeting/14071/")</f>
        <v>https://oknesset.org/committee/meeting/14071/</v>
      </c>
    </row>
    <row r="1255" ht="14.25" customHeight="1">
      <c r="A1255" s="2" t="s">
        <v>21</v>
      </c>
      <c r="B1255" s="1" t="s">
        <v>328</v>
      </c>
      <c r="C1255" s="2" t="s">
        <v>29</v>
      </c>
      <c r="D1255" s="2" t="s">
        <v>332</v>
      </c>
      <c r="E1255" s="3" t="str">
        <f t="shared" ref="E1255:E1257" si="243">HYPERLINK("https://oknesset.org/committee/meeting/14028/","https://oknesset.org/committee/meeting/14028/")</f>
        <v>https://oknesset.org/committee/meeting/14028/</v>
      </c>
    </row>
    <row r="1256" ht="14.25" customHeight="1">
      <c r="A1256" s="2" t="s">
        <v>20</v>
      </c>
      <c r="B1256" s="1" t="s">
        <v>328</v>
      </c>
      <c r="C1256" s="2" t="s">
        <v>29</v>
      </c>
      <c r="D1256" s="2" t="s">
        <v>332</v>
      </c>
      <c r="E1256" s="3" t="str">
        <f t="shared" si="243"/>
        <v>https://oknesset.org/committee/meeting/14028/</v>
      </c>
    </row>
    <row r="1257" ht="14.25" customHeight="1">
      <c r="A1257" s="2" t="s">
        <v>17</v>
      </c>
      <c r="B1257" s="1" t="s">
        <v>328</v>
      </c>
      <c r="C1257" s="2" t="s">
        <v>29</v>
      </c>
      <c r="D1257" s="2" t="s">
        <v>332</v>
      </c>
      <c r="E1257" s="3" t="str">
        <f t="shared" si="243"/>
        <v>https://oknesset.org/committee/meeting/14028/</v>
      </c>
    </row>
    <row r="1258" ht="14.25" customHeight="1">
      <c r="A1258" s="2" t="s">
        <v>66</v>
      </c>
      <c r="B1258" s="1" t="s">
        <v>328</v>
      </c>
      <c r="C1258" s="2" t="s">
        <v>178</v>
      </c>
      <c r="D1258" s="2" t="s">
        <v>173</v>
      </c>
      <c r="E1258" s="3" t="str">
        <f>HYPERLINK("https://oknesset.org/committee/meeting/14425/","https://oknesset.org/committee/meeting/14425/")</f>
        <v>https://oknesset.org/committee/meeting/14425/</v>
      </c>
    </row>
    <row r="1259" ht="14.25" customHeight="1">
      <c r="A1259" s="2" t="s">
        <v>237</v>
      </c>
      <c r="B1259" s="1" t="s">
        <v>328</v>
      </c>
      <c r="C1259" s="2" t="s">
        <v>235</v>
      </c>
      <c r="D1259" s="2" t="s">
        <v>236</v>
      </c>
      <c r="E1259" s="3" t="str">
        <f t="shared" ref="E1259:E1263" si="244">HYPERLINK("https://oknesset.org/committee/meeting/14421/","https://oknesset.org/committee/meeting/14421/")</f>
        <v>https://oknesset.org/committee/meeting/14421/</v>
      </c>
    </row>
    <row r="1260" ht="14.25" customHeight="1">
      <c r="A1260" s="2" t="s">
        <v>61</v>
      </c>
      <c r="B1260" s="1" t="s">
        <v>328</v>
      </c>
      <c r="C1260" s="2" t="s">
        <v>235</v>
      </c>
      <c r="D1260" s="2" t="s">
        <v>236</v>
      </c>
      <c r="E1260" s="3" t="str">
        <f t="shared" si="244"/>
        <v>https://oknesset.org/committee/meeting/14421/</v>
      </c>
    </row>
    <row r="1261" ht="14.25" customHeight="1">
      <c r="A1261" s="2" t="s">
        <v>9</v>
      </c>
      <c r="B1261" s="1" t="s">
        <v>328</v>
      </c>
      <c r="C1261" s="2" t="s">
        <v>235</v>
      </c>
      <c r="D1261" s="2" t="s">
        <v>236</v>
      </c>
      <c r="E1261" s="3" t="str">
        <f t="shared" si="244"/>
        <v>https://oknesset.org/committee/meeting/14421/</v>
      </c>
    </row>
    <row r="1262" ht="14.25" customHeight="1">
      <c r="A1262" s="2" t="s">
        <v>11</v>
      </c>
      <c r="B1262" s="1" t="s">
        <v>328</v>
      </c>
      <c r="C1262" s="2" t="s">
        <v>235</v>
      </c>
      <c r="D1262" s="2" t="s">
        <v>236</v>
      </c>
      <c r="E1262" s="3" t="str">
        <f t="shared" si="244"/>
        <v>https://oknesset.org/committee/meeting/14421/</v>
      </c>
    </row>
    <row r="1263" ht="14.25" customHeight="1">
      <c r="A1263" s="2" t="s">
        <v>44</v>
      </c>
      <c r="B1263" s="1" t="s">
        <v>328</v>
      </c>
      <c r="C1263" s="2" t="s">
        <v>235</v>
      </c>
      <c r="D1263" s="2" t="s">
        <v>236</v>
      </c>
      <c r="E1263" s="3" t="str">
        <f t="shared" si="244"/>
        <v>https://oknesset.org/committee/meeting/14421/</v>
      </c>
    </row>
    <row r="1264" ht="14.25" customHeight="1">
      <c r="A1264" s="2" t="s">
        <v>54</v>
      </c>
      <c r="B1264" s="1" t="s">
        <v>328</v>
      </c>
      <c r="C1264" s="2" t="s">
        <v>178</v>
      </c>
      <c r="D1264" s="2" t="s">
        <v>173</v>
      </c>
      <c r="E1264" s="3" t="str">
        <f t="shared" ref="E1264:E1265" si="245">HYPERLINK("https://oknesset.org/committee/meeting/14425/","https://oknesset.org/committee/meeting/14425/")</f>
        <v>https://oknesset.org/committee/meeting/14425/</v>
      </c>
    </row>
    <row r="1265" ht="14.25" customHeight="1">
      <c r="A1265" s="2" t="s">
        <v>44</v>
      </c>
      <c r="B1265" s="1" t="s">
        <v>328</v>
      </c>
      <c r="C1265" s="2" t="s">
        <v>178</v>
      </c>
      <c r="D1265" s="2" t="s">
        <v>173</v>
      </c>
      <c r="E1265" s="3" t="str">
        <f t="shared" si="245"/>
        <v>https://oknesset.org/committee/meeting/14425/</v>
      </c>
    </row>
    <row r="1266" ht="14.25" customHeight="1">
      <c r="A1266" s="2" t="s">
        <v>103</v>
      </c>
      <c r="B1266" s="1" t="s">
        <v>338</v>
      </c>
      <c r="C1266" s="2" t="s">
        <v>37</v>
      </c>
      <c r="D1266" s="2" t="s">
        <v>339</v>
      </c>
      <c r="E1266" s="3" t="str">
        <f>HYPERLINK("https://oknesset.org/committee/meeting/14411/","https://oknesset.org/committee/meeting/14411/")</f>
        <v>https://oknesset.org/committee/meeting/14411/</v>
      </c>
    </row>
    <row r="1267" ht="14.25" customHeight="1">
      <c r="A1267" s="2" t="s">
        <v>66</v>
      </c>
      <c r="B1267" s="1" t="s">
        <v>338</v>
      </c>
      <c r="C1267" s="2" t="s">
        <v>42</v>
      </c>
      <c r="D1267" s="2" t="s">
        <v>273</v>
      </c>
      <c r="E1267" s="3" t="str">
        <f t="shared" ref="E1267:E1268" si="246">HYPERLINK("https://oknesset.org/committee/meeting/14345/","https://oknesset.org/committee/meeting/14345/")</f>
        <v>https://oknesset.org/committee/meeting/14345/</v>
      </c>
    </row>
    <row r="1268" ht="14.25" customHeight="1">
      <c r="A1268" s="2" t="s">
        <v>107</v>
      </c>
      <c r="B1268" s="1" t="s">
        <v>338</v>
      </c>
      <c r="C1268" s="2" t="s">
        <v>42</v>
      </c>
      <c r="D1268" s="2" t="s">
        <v>273</v>
      </c>
      <c r="E1268" s="3" t="str">
        <f t="shared" si="246"/>
        <v>https://oknesset.org/committee/meeting/14345/</v>
      </c>
    </row>
    <row r="1269" ht="14.25" customHeight="1">
      <c r="A1269" s="2" t="s">
        <v>13</v>
      </c>
      <c r="B1269" s="1" t="s">
        <v>338</v>
      </c>
      <c r="C1269" s="2" t="s">
        <v>70</v>
      </c>
      <c r="D1269" s="2" t="s">
        <v>340</v>
      </c>
      <c r="E1269" s="3" t="str">
        <f>HYPERLINK("https://oknesset.org/committee/meeting/14068/","https://oknesset.org/committee/meeting/14068/")</f>
        <v>https://oknesset.org/committee/meeting/14068/</v>
      </c>
    </row>
    <row r="1270" ht="14.25" customHeight="1">
      <c r="A1270" s="2" t="s">
        <v>41</v>
      </c>
      <c r="B1270" s="1" t="s">
        <v>338</v>
      </c>
      <c r="C1270" s="2" t="s">
        <v>42</v>
      </c>
      <c r="D1270" s="2" t="s">
        <v>273</v>
      </c>
      <c r="E1270" s="3" t="str">
        <f t="shared" ref="E1270:E1271" si="247">HYPERLINK("https://oknesset.org/committee/meeting/14345/","https://oknesset.org/committee/meeting/14345/")</f>
        <v>https://oknesset.org/committee/meeting/14345/</v>
      </c>
    </row>
    <row r="1271" ht="14.25" customHeight="1">
      <c r="A1271" s="2" t="s">
        <v>34</v>
      </c>
      <c r="B1271" s="1" t="s">
        <v>338</v>
      </c>
      <c r="C1271" s="2" t="s">
        <v>42</v>
      </c>
      <c r="D1271" s="2" t="s">
        <v>273</v>
      </c>
      <c r="E1271" s="3" t="str">
        <f t="shared" si="247"/>
        <v>https://oknesset.org/committee/meeting/14345/</v>
      </c>
    </row>
    <row r="1272" ht="14.25" customHeight="1">
      <c r="A1272" s="2" t="s">
        <v>9</v>
      </c>
      <c r="B1272" s="1" t="s">
        <v>338</v>
      </c>
      <c r="C1272" s="2" t="s">
        <v>45</v>
      </c>
      <c r="D1272" s="2" t="s">
        <v>282</v>
      </c>
      <c r="E1272" s="3" t="str">
        <f>HYPERLINK("https://oknesset.org/committee/meeting/14124/","https://oknesset.org/committee/meeting/14124/")</f>
        <v>https://oknesset.org/committee/meeting/14124/</v>
      </c>
    </row>
    <row r="1273" ht="14.25" customHeight="1">
      <c r="A1273" s="2" t="s">
        <v>66</v>
      </c>
      <c r="B1273" s="1" t="s">
        <v>338</v>
      </c>
      <c r="C1273" s="2" t="s">
        <v>45</v>
      </c>
      <c r="D1273" s="2" t="s">
        <v>341</v>
      </c>
      <c r="E1273" s="3" t="str">
        <f>HYPERLINK("https://oknesset.org/committee/meeting/14125/","https://oknesset.org/committee/meeting/14125/")</f>
        <v>https://oknesset.org/committee/meeting/14125/</v>
      </c>
    </row>
    <row r="1274" ht="14.25" customHeight="1">
      <c r="A1274" s="2" t="s">
        <v>76</v>
      </c>
      <c r="B1274" s="1" t="s">
        <v>338</v>
      </c>
      <c r="C1274" s="2" t="s">
        <v>52</v>
      </c>
      <c r="D1274" s="2" t="s">
        <v>161</v>
      </c>
      <c r="E1274" s="3" t="str">
        <f t="shared" ref="E1274:E1278" si="248">HYPERLINK("https://oknesset.org/committee/meeting/14231/","https://oknesset.org/committee/meeting/14231/")</f>
        <v>https://oknesset.org/committee/meeting/14231/</v>
      </c>
    </row>
    <row r="1275" ht="14.25" customHeight="1">
      <c r="A1275" s="2" t="s">
        <v>54</v>
      </c>
      <c r="B1275" s="1" t="s">
        <v>338</v>
      </c>
      <c r="C1275" s="2" t="s">
        <v>52</v>
      </c>
      <c r="D1275" s="2" t="s">
        <v>161</v>
      </c>
      <c r="E1275" s="3" t="str">
        <f t="shared" si="248"/>
        <v>https://oknesset.org/committee/meeting/14231/</v>
      </c>
    </row>
    <row r="1276" ht="14.25" customHeight="1">
      <c r="A1276" s="2" t="s">
        <v>57</v>
      </c>
      <c r="B1276" s="1" t="s">
        <v>338</v>
      </c>
      <c r="C1276" s="2" t="s">
        <v>52</v>
      </c>
      <c r="D1276" s="2" t="s">
        <v>161</v>
      </c>
      <c r="E1276" s="3" t="str">
        <f t="shared" si="248"/>
        <v>https://oknesset.org/committee/meeting/14231/</v>
      </c>
    </row>
    <row r="1277" ht="14.25" customHeight="1">
      <c r="A1277" s="2" t="s">
        <v>64</v>
      </c>
      <c r="B1277" s="1" t="s">
        <v>338</v>
      </c>
      <c r="C1277" s="2" t="s">
        <v>52</v>
      </c>
      <c r="D1277" s="2" t="s">
        <v>161</v>
      </c>
      <c r="E1277" s="3" t="str">
        <f t="shared" si="248"/>
        <v>https://oknesset.org/committee/meeting/14231/</v>
      </c>
    </row>
    <row r="1278" ht="14.25" customHeight="1">
      <c r="A1278" s="2" t="s">
        <v>108</v>
      </c>
      <c r="B1278" s="1" t="s">
        <v>338</v>
      </c>
      <c r="C1278" s="2" t="s">
        <v>52</v>
      </c>
      <c r="D1278" s="2" t="s">
        <v>161</v>
      </c>
      <c r="E1278" s="3" t="str">
        <f t="shared" si="248"/>
        <v>https://oknesset.org/committee/meeting/14231/</v>
      </c>
    </row>
    <row r="1279" ht="14.25" customHeight="1">
      <c r="A1279" s="2" t="s">
        <v>64</v>
      </c>
      <c r="B1279" s="1" t="s">
        <v>338</v>
      </c>
      <c r="C1279" s="2" t="s">
        <v>52</v>
      </c>
      <c r="D1279" s="2" t="s">
        <v>342</v>
      </c>
      <c r="E1279" s="3" t="str">
        <f t="shared" ref="E1279:E1281" si="249">HYPERLINK("https://oknesset.org/committee/meeting/14230/","https://oknesset.org/committee/meeting/14230/")</f>
        <v>https://oknesset.org/committee/meeting/14230/</v>
      </c>
    </row>
    <row r="1280" ht="14.25" customHeight="1">
      <c r="A1280" s="2" t="s">
        <v>97</v>
      </c>
      <c r="B1280" s="1" t="s">
        <v>338</v>
      </c>
      <c r="C1280" s="2" t="s">
        <v>52</v>
      </c>
      <c r="D1280" s="2" t="s">
        <v>342</v>
      </c>
      <c r="E1280" s="3" t="str">
        <f t="shared" si="249"/>
        <v>https://oknesset.org/committee/meeting/14230/</v>
      </c>
    </row>
    <row r="1281" ht="14.25" customHeight="1">
      <c r="A1281" s="2" t="s">
        <v>21</v>
      </c>
      <c r="B1281" s="1" t="s">
        <v>338</v>
      </c>
      <c r="C1281" s="2" t="s">
        <v>52</v>
      </c>
      <c r="D1281" s="2" t="s">
        <v>342</v>
      </c>
      <c r="E1281" s="3" t="str">
        <f t="shared" si="249"/>
        <v>https://oknesset.org/committee/meeting/14230/</v>
      </c>
    </row>
    <row r="1282" ht="14.25" customHeight="1">
      <c r="A1282" s="2" t="s">
        <v>34</v>
      </c>
      <c r="B1282" s="1" t="s">
        <v>338</v>
      </c>
      <c r="C1282" s="2" t="s">
        <v>52</v>
      </c>
      <c r="D1282" s="2" t="s">
        <v>343</v>
      </c>
      <c r="E1282" s="3" t="str">
        <f t="shared" ref="E1282:E1283" si="250">HYPERLINK("https://oknesset.org/committee/meeting/14229/","https://oknesset.org/committee/meeting/14229/")</f>
        <v>https://oknesset.org/committee/meeting/14229/</v>
      </c>
    </row>
    <row r="1283" ht="14.25" customHeight="1">
      <c r="A1283" s="2" t="s">
        <v>58</v>
      </c>
      <c r="B1283" s="1" t="s">
        <v>338</v>
      </c>
      <c r="C1283" s="2" t="s">
        <v>52</v>
      </c>
      <c r="D1283" s="2" t="s">
        <v>343</v>
      </c>
      <c r="E1283" s="3" t="str">
        <f t="shared" si="250"/>
        <v>https://oknesset.org/committee/meeting/14229/</v>
      </c>
    </row>
    <row r="1284" ht="14.25" customHeight="1">
      <c r="A1284" s="2" t="s">
        <v>11</v>
      </c>
      <c r="B1284" s="1" t="s">
        <v>338</v>
      </c>
      <c r="C1284" s="2" t="s">
        <v>70</v>
      </c>
      <c r="D1284" s="2" t="s">
        <v>193</v>
      </c>
      <c r="E1284" s="3" t="str">
        <f t="shared" ref="E1284:E1286" si="251">HYPERLINK("https://oknesset.org/committee/meeting/14067/","https://oknesset.org/committee/meeting/14067/")</f>
        <v>https://oknesset.org/committee/meeting/14067/</v>
      </c>
    </row>
    <row r="1285" ht="14.25" customHeight="1">
      <c r="A1285" s="2" t="s">
        <v>84</v>
      </c>
      <c r="B1285" s="1" t="s">
        <v>338</v>
      </c>
      <c r="C1285" s="2" t="s">
        <v>70</v>
      </c>
      <c r="D1285" s="2" t="s">
        <v>193</v>
      </c>
      <c r="E1285" s="3" t="str">
        <f t="shared" si="251"/>
        <v>https://oknesset.org/committee/meeting/14067/</v>
      </c>
    </row>
    <row r="1286" ht="14.25" customHeight="1">
      <c r="A1286" s="2" t="s">
        <v>107</v>
      </c>
      <c r="B1286" s="1" t="s">
        <v>338</v>
      </c>
      <c r="C1286" s="2" t="s">
        <v>70</v>
      </c>
      <c r="D1286" s="2" t="s">
        <v>193</v>
      </c>
      <c r="E1286" s="3" t="str">
        <f t="shared" si="251"/>
        <v>https://oknesset.org/committee/meeting/14067/</v>
      </c>
    </row>
    <row r="1287" ht="14.25" customHeight="1">
      <c r="A1287" s="2" t="s">
        <v>86</v>
      </c>
      <c r="B1287" s="1" t="s">
        <v>338</v>
      </c>
      <c r="C1287" s="2" t="s">
        <v>70</v>
      </c>
      <c r="D1287" s="2" t="s">
        <v>344</v>
      </c>
      <c r="E1287" s="3" t="str">
        <f t="shared" ref="E1287:E1292" si="252">HYPERLINK("https://oknesset.org/committee/meeting/14069/","https://oknesset.org/committee/meeting/14069/")</f>
        <v>https://oknesset.org/committee/meeting/14069/</v>
      </c>
    </row>
    <row r="1288" ht="14.25" customHeight="1">
      <c r="A1288" s="2" t="s">
        <v>84</v>
      </c>
      <c r="B1288" s="1" t="s">
        <v>338</v>
      </c>
      <c r="C1288" s="2" t="s">
        <v>70</v>
      </c>
      <c r="D1288" s="2" t="s">
        <v>344</v>
      </c>
      <c r="E1288" s="3" t="str">
        <f t="shared" si="252"/>
        <v>https://oknesset.org/committee/meeting/14069/</v>
      </c>
    </row>
    <row r="1289" ht="14.25" customHeight="1">
      <c r="A1289" s="2" t="s">
        <v>107</v>
      </c>
      <c r="B1289" s="1" t="s">
        <v>338</v>
      </c>
      <c r="C1289" s="2" t="s">
        <v>70</v>
      </c>
      <c r="D1289" s="2" t="s">
        <v>344</v>
      </c>
      <c r="E1289" s="3" t="str">
        <f t="shared" si="252"/>
        <v>https://oknesset.org/committee/meeting/14069/</v>
      </c>
    </row>
    <row r="1290" ht="14.25" customHeight="1">
      <c r="A1290" s="2" t="s">
        <v>106</v>
      </c>
      <c r="B1290" s="1" t="s">
        <v>338</v>
      </c>
      <c r="C1290" s="2" t="s">
        <v>70</v>
      </c>
      <c r="D1290" s="2" t="s">
        <v>344</v>
      </c>
      <c r="E1290" s="3" t="str">
        <f t="shared" si="252"/>
        <v>https://oknesset.org/committee/meeting/14069/</v>
      </c>
    </row>
    <row r="1291" ht="14.25" customHeight="1">
      <c r="A1291" s="2" t="s">
        <v>104</v>
      </c>
      <c r="B1291" s="1" t="s">
        <v>338</v>
      </c>
      <c r="C1291" s="2" t="s">
        <v>70</v>
      </c>
      <c r="D1291" s="2" t="s">
        <v>344</v>
      </c>
      <c r="E1291" s="3" t="str">
        <f t="shared" si="252"/>
        <v>https://oknesset.org/committee/meeting/14069/</v>
      </c>
    </row>
    <row r="1292" ht="14.25" customHeight="1">
      <c r="A1292" s="2" t="s">
        <v>28</v>
      </c>
      <c r="B1292" s="1" t="s">
        <v>338</v>
      </c>
      <c r="C1292" s="2" t="s">
        <v>70</v>
      </c>
      <c r="D1292" s="2" t="s">
        <v>344</v>
      </c>
      <c r="E1292" s="3" t="str">
        <f t="shared" si="252"/>
        <v>https://oknesset.org/committee/meeting/14069/</v>
      </c>
    </row>
    <row r="1293" ht="14.25" customHeight="1">
      <c r="A1293" s="2" t="s">
        <v>104</v>
      </c>
      <c r="B1293" s="1" t="s">
        <v>338</v>
      </c>
      <c r="C1293" s="2" t="s">
        <v>70</v>
      </c>
      <c r="D1293" s="2" t="s">
        <v>193</v>
      </c>
      <c r="E1293" s="3" t="str">
        <f t="shared" ref="E1293:E1294" si="253">HYPERLINK("https://oknesset.org/committee/meeting/14067/","https://oknesset.org/committee/meeting/14067/")</f>
        <v>https://oknesset.org/committee/meeting/14067/</v>
      </c>
    </row>
    <row r="1294" ht="14.25" customHeight="1">
      <c r="A1294" s="2" t="s">
        <v>40</v>
      </c>
      <c r="B1294" s="1" t="s">
        <v>338</v>
      </c>
      <c r="C1294" s="2" t="s">
        <v>70</v>
      </c>
      <c r="D1294" s="2" t="s">
        <v>193</v>
      </c>
      <c r="E1294" s="3" t="str">
        <f t="shared" si="253"/>
        <v>https://oknesset.org/committee/meeting/14067/</v>
      </c>
    </row>
    <row r="1295" ht="14.25" customHeight="1">
      <c r="A1295" s="2" t="s">
        <v>66</v>
      </c>
      <c r="B1295" s="1" t="s">
        <v>338</v>
      </c>
      <c r="C1295" s="2" t="s">
        <v>42</v>
      </c>
      <c r="D1295" s="2" t="s">
        <v>345</v>
      </c>
      <c r="E1295" s="3" t="str">
        <f t="shared" ref="E1295:E1301" si="254">HYPERLINK("https://oknesset.org/committee/meeting/14344/","https://oknesset.org/committee/meeting/14344/")</f>
        <v>https://oknesset.org/committee/meeting/14344/</v>
      </c>
    </row>
    <row r="1296" ht="14.25" customHeight="1">
      <c r="A1296" s="2" t="s">
        <v>28</v>
      </c>
      <c r="B1296" s="1" t="s">
        <v>338</v>
      </c>
      <c r="C1296" s="2" t="s">
        <v>42</v>
      </c>
      <c r="D1296" s="2" t="s">
        <v>345</v>
      </c>
      <c r="E1296" s="3" t="str">
        <f t="shared" si="254"/>
        <v>https://oknesset.org/committee/meeting/14344/</v>
      </c>
    </row>
    <row r="1297" ht="14.25" customHeight="1">
      <c r="A1297" s="2" t="s">
        <v>44</v>
      </c>
      <c r="B1297" s="1" t="s">
        <v>338</v>
      </c>
      <c r="C1297" s="2" t="s">
        <v>42</v>
      </c>
      <c r="D1297" s="2" t="s">
        <v>345</v>
      </c>
      <c r="E1297" s="3" t="str">
        <f t="shared" si="254"/>
        <v>https://oknesset.org/committee/meeting/14344/</v>
      </c>
    </row>
    <row r="1298" ht="14.25" customHeight="1">
      <c r="A1298" s="2" t="s">
        <v>97</v>
      </c>
      <c r="B1298" s="1" t="s">
        <v>338</v>
      </c>
      <c r="C1298" s="2" t="s">
        <v>42</v>
      </c>
      <c r="D1298" s="2" t="s">
        <v>345</v>
      </c>
      <c r="E1298" s="3" t="str">
        <f t="shared" si="254"/>
        <v>https://oknesset.org/committee/meeting/14344/</v>
      </c>
    </row>
    <row r="1299" ht="14.25" customHeight="1">
      <c r="A1299" s="2" t="s">
        <v>107</v>
      </c>
      <c r="B1299" s="1" t="s">
        <v>338</v>
      </c>
      <c r="C1299" s="2" t="s">
        <v>42</v>
      </c>
      <c r="D1299" s="2" t="s">
        <v>345</v>
      </c>
      <c r="E1299" s="3" t="str">
        <f t="shared" si="254"/>
        <v>https://oknesset.org/committee/meeting/14344/</v>
      </c>
    </row>
    <row r="1300" ht="14.25" customHeight="1">
      <c r="A1300" s="2" t="s">
        <v>115</v>
      </c>
      <c r="B1300" s="1" t="s">
        <v>338</v>
      </c>
      <c r="C1300" s="2" t="s">
        <v>42</v>
      </c>
      <c r="D1300" s="2" t="s">
        <v>345</v>
      </c>
      <c r="E1300" s="3" t="str">
        <f t="shared" si="254"/>
        <v>https://oknesset.org/committee/meeting/14344/</v>
      </c>
    </row>
    <row r="1301" ht="14.25" customHeight="1">
      <c r="A1301" s="2" t="s">
        <v>11</v>
      </c>
      <c r="B1301" s="1" t="s">
        <v>338</v>
      </c>
      <c r="C1301" s="2" t="s">
        <v>42</v>
      </c>
      <c r="D1301" s="2" t="s">
        <v>345</v>
      </c>
      <c r="E1301" s="3" t="str">
        <f t="shared" si="254"/>
        <v>https://oknesset.org/committee/meeting/14344/</v>
      </c>
    </row>
    <row r="1302" ht="14.25" customHeight="1">
      <c r="A1302" s="2" t="s">
        <v>5</v>
      </c>
      <c r="B1302" s="1" t="s">
        <v>338</v>
      </c>
      <c r="C1302" s="2" t="s">
        <v>45</v>
      </c>
      <c r="D1302" s="2" t="s">
        <v>341</v>
      </c>
      <c r="E1302" s="3" t="str">
        <f t="shared" ref="E1302:E1303" si="255">HYPERLINK("https://oknesset.org/committee/meeting/14125/","https://oknesset.org/committee/meeting/14125/")</f>
        <v>https://oknesset.org/committee/meeting/14125/</v>
      </c>
    </row>
    <row r="1303" ht="14.25" customHeight="1">
      <c r="A1303" s="2" t="s">
        <v>9</v>
      </c>
      <c r="B1303" s="1" t="s">
        <v>338</v>
      </c>
      <c r="C1303" s="2" t="s">
        <v>45</v>
      </c>
      <c r="D1303" s="2" t="s">
        <v>341</v>
      </c>
      <c r="E1303" s="3" t="str">
        <f t="shared" si="255"/>
        <v>https://oknesset.org/committee/meeting/14125/</v>
      </c>
    </row>
    <row r="1304" ht="14.25" customHeight="1">
      <c r="A1304" s="2" t="s">
        <v>84</v>
      </c>
      <c r="B1304" s="1" t="s">
        <v>338</v>
      </c>
      <c r="C1304" s="2" t="s">
        <v>70</v>
      </c>
      <c r="D1304" s="2" t="s">
        <v>340</v>
      </c>
      <c r="E1304" s="3" t="str">
        <f t="shared" ref="E1304:E1307" si="256">HYPERLINK("https://oknesset.org/committee/meeting/14068/","https://oknesset.org/committee/meeting/14068/")</f>
        <v>https://oknesset.org/committee/meeting/14068/</v>
      </c>
    </row>
    <row r="1305" ht="14.25" customHeight="1">
      <c r="A1305" s="2" t="s">
        <v>107</v>
      </c>
      <c r="B1305" s="1" t="s">
        <v>338</v>
      </c>
      <c r="C1305" s="2" t="s">
        <v>70</v>
      </c>
      <c r="D1305" s="2" t="s">
        <v>340</v>
      </c>
      <c r="E1305" s="3" t="str">
        <f t="shared" si="256"/>
        <v>https://oknesset.org/committee/meeting/14068/</v>
      </c>
    </row>
    <row r="1306" ht="14.25" customHeight="1">
      <c r="A1306" s="2" t="s">
        <v>40</v>
      </c>
      <c r="B1306" s="1" t="s">
        <v>338</v>
      </c>
      <c r="C1306" s="2" t="s">
        <v>70</v>
      </c>
      <c r="D1306" s="2" t="s">
        <v>340</v>
      </c>
      <c r="E1306" s="3" t="str">
        <f t="shared" si="256"/>
        <v>https://oknesset.org/committee/meeting/14068/</v>
      </c>
    </row>
    <row r="1307" ht="14.25" customHeight="1">
      <c r="A1307" s="2" t="s">
        <v>104</v>
      </c>
      <c r="B1307" s="1" t="s">
        <v>338</v>
      </c>
      <c r="C1307" s="2" t="s">
        <v>70</v>
      </c>
      <c r="D1307" s="2" t="s">
        <v>340</v>
      </c>
      <c r="E1307" s="3" t="str">
        <f t="shared" si="256"/>
        <v>https://oknesset.org/committee/meeting/14068/</v>
      </c>
    </row>
    <row r="1308" ht="14.25" customHeight="1">
      <c r="A1308" s="2" t="s">
        <v>41</v>
      </c>
      <c r="B1308" s="1" t="s">
        <v>338</v>
      </c>
      <c r="C1308" s="2" t="s">
        <v>42</v>
      </c>
      <c r="D1308" s="2" t="s">
        <v>345</v>
      </c>
      <c r="E1308" s="3" t="str">
        <f>HYPERLINK("https://oknesset.org/committee/meeting/14344/","https://oknesset.org/committee/meeting/14344/")</f>
        <v>https://oknesset.org/committee/meeting/14344/</v>
      </c>
    </row>
    <row r="1309" ht="14.25" customHeight="1">
      <c r="A1309" s="2" t="s">
        <v>28</v>
      </c>
      <c r="B1309" s="1" t="s">
        <v>338</v>
      </c>
      <c r="C1309" s="2" t="s">
        <v>42</v>
      </c>
      <c r="D1309" s="2" t="s">
        <v>250</v>
      </c>
      <c r="E1309" s="3" t="str">
        <f t="shared" ref="E1309:E1310" si="257">HYPERLINK("https://oknesset.org/committee/meeting/14346/","https://oknesset.org/committee/meeting/14346/")</f>
        <v>https://oknesset.org/committee/meeting/14346/</v>
      </c>
    </row>
    <row r="1310" ht="14.25" customHeight="1">
      <c r="A1310" s="2" t="s">
        <v>41</v>
      </c>
      <c r="B1310" s="1" t="s">
        <v>338</v>
      </c>
      <c r="C1310" s="2" t="s">
        <v>42</v>
      </c>
      <c r="D1310" s="2" t="s">
        <v>250</v>
      </c>
      <c r="E1310" s="3" t="str">
        <f t="shared" si="257"/>
        <v>https://oknesset.org/committee/meeting/14346/</v>
      </c>
    </row>
    <row r="1311" ht="14.25" customHeight="1">
      <c r="A1311" s="2" t="s">
        <v>66</v>
      </c>
      <c r="B1311" s="1" t="s">
        <v>338</v>
      </c>
      <c r="C1311" s="2" t="s">
        <v>45</v>
      </c>
      <c r="D1311" s="2" t="s">
        <v>282</v>
      </c>
      <c r="E1311" s="3" t="str">
        <f>HYPERLINK("https://oknesset.org/committee/meeting/14124/","https://oknesset.org/committee/meeting/14124/")</f>
        <v>https://oknesset.org/committee/meeting/14124/</v>
      </c>
    </row>
    <row r="1312" ht="14.25" customHeight="1">
      <c r="A1312" s="2" t="s">
        <v>10</v>
      </c>
      <c r="B1312" s="1" t="s">
        <v>338</v>
      </c>
      <c r="C1312" s="2" t="s">
        <v>37</v>
      </c>
      <c r="D1312" s="2" t="s">
        <v>339</v>
      </c>
      <c r="E1312" s="3" t="str">
        <f t="shared" ref="E1312:E1317" si="258">HYPERLINK("https://oknesset.org/committee/meeting/14411/","https://oknesset.org/committee/meeting/14411/")</f>
        <v>https://oknesset.org/committee/meeting/14411/</v>
      </c>
    </row>
    <row r="1313" ht="14.25" customHeight="1">
      <c r="A1313" s="2" t="s">
        <v>54</v>
      </c>
      <c r="B1313" s="1" t="s">
        <v>338</v>
      </c>
      <c r="C1313" s="2" t="s">
        <v>37</v>
      </c>
      <c r="D1313" s="2" t="s">
        <v>339</v>
      </c>
      <c r="E1313" s="3" t="str">
        <f t="shared" si="258"/>
        <v>https://oknesset.org/committee/meeting/14411/</v>
      </c>
    </row>
    <row r="1314" ht="14.25" customHeight="1">
      <c r="A1314" s="2" t="s">
        <v>17</v>
      </c>
      <c r="B1314" s="1" t="s">
        <v>338</v>
      </c>
      <c r="C1314" s="2" t="s">
        <v>37</v>
      </c>
      <c r="D1314" s="2" t="s">
        <v>339</v>
      </c>
      <c r="E1314" s="3" t="str">
        <f t="shared" si="258"/>
        <v>https://oknesset.org/committee/meeting/14411/</v>
      </c>
    </row>
    <row r="1315" ht="14.25" customHeight="1">
      <c r="A1315" s="2" t="s">
        <v>58</v>
      </c>
      <c r="B1315" s="1" t="s">
        <v>338</v>
      </c>
      <c r="C1315" s="2" t="s">
        <v>37</v>
      </c>
      <c r="D1315" s="2" t="s">
        <v>339</v>
      </c>
      <c r="E1315" s="3" t="str">
        <f t="shared" si="258"/>
        <v>https://oknesset.org/committee/meeting/14411/</v>
      </c>
    </row>
    <row r="1316" ht="14.25" customHeight="1">
      <c r="A1316" s="2" t="s">
        <v>21</v>
      </c>
      <c r="B1316" s="1" t="s">
        <v>338</v>
      </c>
      <c r="C1316" s="2" t="s">
        <v>37</v>
      </c>
      <c r="D1316" s="2" t="s">
        <v>339</v>
      </c>
      <c r="E1316" s="3" t="str">
        <f t="shared" si="258"/>
        <v>https://oknesset.org/committee/meeting/14411/</v>
      </c>
    </row>
    <row r="1317" ht="14.25" customHeight="1">
      <c r="A1317" s="2" t="s">
        <v>85</v>
      </c>
      <c r="B1317" s="1" t="s">
        <v>338</v>
      </c>
      <c r="C1317" s="2" t="s">
        <v>37</v>
      </c>
      <c r="D1317" s="2" t="s">
        <v>339</v>
      </c>
      <c r="E1317" s="3" t="str">
        <f t="shared" si="258"/>
        <v>https://oknesset.org/committee/meeting/14411/</v>
      </c>
    </row>
    <row r="1318" ht="14.25" customHeight="1">
      <c r="A1318" s="2" t="s">
        <v>107</v>
      </c>
      <c r="B1318" s="1" t="s">
        <v>346</v>
      </c>
      <c r="C1318" s="2" t="s">
        <v>70</v>
      </c>
      <c r="D1318" s="2" t="s">
        <v>347</v>
      </c>
      <c r="E1318" s="3" t="str">
        <f t="shared" ref="E1318:E1320" si="259">HYPERLINK("https://oknesset.org/committee/meeting/14066/","https://oknesset.org/committee/meeting/14066/")</f>
        <v>https://oknesset.org/committee/meeting/14066/</v>
      </c>
    </row>
    <row r="1319" ht="14.25" customHeight="1">
      <c r="A1319" s="2" t="s">
        <v>94</v>
      </c>
      <c r="B1319" s="1" t="s">
        <v>346</v>
      </c>
      <c r="C1319" s="2" t="s">
        <v>70</v>
      </c>
      <c r="D1319" s="2" t="s">
        <v>347</v>
      </c>
      <c r="E1319" s="3" t="str">
        <f t="shared" si="259"/>
        <v>https://oknesset.org/committee/meeting/14066/</v>
      </c>
    </row>
    <row r="1320" ht="14.25" customHeight="1">
      <c r="A1320" s="2" t="s">
        <v>104</v>
      </c>
      <c r="B1320" s="1" t="s">
        <v>346</v>
      </c>
      <c r="C1320" s="2" t="s">
        <v>70</v>
      </c>
      <c r="D1320" s="2" t="s">
        <v>347</v>
      </c>
      <c r="E1320" s="3" t="str">
        <f t="shared" si="259"/>
        <v>https://oknesset.org/committee/meeting/14066/</v>
      </c>
    </row>
    <row r="1321" ht="14.25" customHeight="1">
      <c r="A1321" s="2" t="s">
        <v>32</v>
      </c>
      <c r="B1321" s="1" t="s">
        <v>346</v>
      </c>
      <c r="C1321" s="2" t="s">
        <v>48</v>
      </c>
      <c r="D1321" s="2" t="s">
        <v>336</v>
      </c>
      <c r="E1321" s="3" t="str">
        <f t="shared" ref="E1321:E1323" si="260">HYPERLINK("https://oknesset.org/committee/meeting/14178/","https://oknesset.org/committee/meeting/14178/")</f>
        <v>https://oknesset.org/committee/meeting/14178/</v>
      </c>
    </row>
    <row r="1322" ht="14.25" customHeight="1">
      <c r="A1322" s="2" t="s">
        <v>95</v>
      </c>
      <c r="B1322" s="1" t="s">
        <v>346</v>
      </c>
      <c r="C1322" s="2" t="s">
        <v>48</v>
      </c>
      <c r="D1322" s="2" t="s">
        <v>336</v>
      </c>
      <c r="E1322" s="3" t="str">
        <f t="shared" si="260"/>
        <v>https://oknesset.org/committee/meeting/14178/</v>
      </c>
    </row>
    <row r="1323" ht="14.25" customHeight="1">
      <c r="A1323" s="2" t="s">
        <v>114</v>
      </c>
      <c r="B1323" s="1" t="s">
        <v>346</v>
      </c>
      <c r="C1323" s="2" t="s">
        <v>48</v>
      </c>
      <c r="D1323" s="2" t="s">
        <v>336</v>
      </c>
      <c r="E1323" s="3" t="str">
        <f t="shared" si="260"/>
        <v>https://oknesset.org/committee/meeting/14178/</v>
      </c>
    </row>
    <row r="1324" ht="14.25" customHeight="1">
      <c r="A1324" s="2" t="s">
        <v>56</v>
      </c>
      <c r="B1324" s="1" t="s">
        <v>346</v>
      </c>
      <c r="C1324" s="2" t="s">
        <v>65</v>
      </c>
      <c r="D1324" s="2" t="s">
        <v>348</v>
      </c>
      <c r="E1324" s="3" t="str">
        <f t="shared" ref="E1324:E1326" si="261">HYPERLINK("https://oknesset.org/committee/meeting/14168/","https://oknesset.org/committee/meeting/14168/")</f>
        <v>https://oknesset.org/committee/meeting/14168/</v>
      </c>
    </row>
    <row r="1325" ht="14.25" customHeight="1">
      <c r="A1325" s="2" t="s">
        <v>130</v>
      </c>
      <c r="B1325" s="1" t="s">
        <v>346</v>
      </c>
      <c r="C1325" s="2" t="s">
        <v>65</v>
      </c>
      <c r="D1325" s="2" t="s">
        <v>348</v>
      </c>
      <c r="E1325" s="3" t="str">
        <f t="shared" si="261"/>
        <v>https://oknesset.org/committee/meeting/14168/</v>
      </c>
    </row>
    <row r="1326" ht="14.25" customHeight="1">
      <c r="A1326" s="2" t="s">
        <v>59</v>
      </c>
      <c r="B1326" s="1" t="s">
        <v>346</v>
      </c>
      <c r="C1326" s="2" t="s">
        <v>65</v>
      </c>
      <c r="D1326" s="2" t="s">
        <v>348</v>
      </c>
      <c r="E1326" s="3" t="str">
        <f t="shared" si="261"/>
        <v>https://oknesset.org/committee/meeting/14168/</v>
      </c>
    </row>
    <row r="1327" ht="14.25" customHeight="1">
      <c r="A1327" s="2" t="s">
        <v>126</v>
      </c>
      <c r="B1327" s="1" t="s">
        <v>346</v>
      </c>
      <c r="C1327" s="2" t="s">
        <v>52</v>
      </c>
      <c r="D1327" s="2" t="s">
        <v>349</v>
      </c>
      <c r="E1327" s="3" t="str">
        <f t="shared" ref="E1327:E1329" si="262">HYPERLINK("https://oknesset.org/committee/meeting/14228/","https://oknesset.org/committee/meeting/14228/")</f>
        <v>https://oknesset.org/committee/meeting/14228/</v>
      </c>
    </row>
    <row r="1328" ht="14.25" customHeight="1">
      <c r="A1328" s="2" t="s">
        <v>34</v>
      </c>
      <c r="B1328" s="1" t="s">
        <v>346</v>
      </c>
      <c r="C1328" s="2" t="s">
        <v>52</v>
      </c>
      <c r="D1328" s="2" t="s">
        <v>349</v>
      </c>
      <c r="E1328" s="3" t="str">
        <f t="shared" si="262"/>
        <v>https://oknesset.org/committee/meeting/14228/</v>
      </c>
    </row>
    <row r="1329" ht="14.25" customHeight="1">
      <c r="A1329" s="2" t="s">
        <v>108</v>
      </c>
      <c r="B1329" s="1" t="s">
        <v>346</v>
      </c>
      <c r="C1329" s="2" t="s">
        <v>52</v>
      </c>
      <c r="D1329" s="2" t="s">
        <v>349</v>
      </c>
      <c r="E1329" s="3" t="str">
        <f t="shared" si="262"/>
        <v>https://oknesset.org/committee/meeting/14228/</v>
      </c>
    </row>
    <row r="1330" ht="14.25" customHeight="1">
      <c r="A1330" s="2" t="s">
        <v>115</v>
      </c>
      <c r="B1330" s="1" t="s">
        <v>350</v>
      </c>
      <c r="C1330" s="2" t="s">
        <v>42</v>
      </c>
      <c r="D1330" s="2" t="s">
        <v>351</v>
      </c>
      <c r="E1330" s="3" t="str">
        <f>HYPERLINK("https://oknesset.org/committee/meeting/14342/","https://oknesset.org/committee/meeting/14342/")</f>
        <v>https://oknesset.org/committee/meeting/14342/</v>
      </c>
    </row>
    <row r="1331" ht="14.25" customHeight="1">
      <c r="A1331" s="2" t="s">
        <v>130</v>
      </c>
      <c r="B1331" s="1" t="s">
        <v>350</v>
      </c>
      <c r="C1331" s="2" t="s">
        <v>70</v>
      </c>
      <c r="D1331" s="2" t="s">
        <v>352</v>
      </c>
      <c r="E1331" s="3" t="str">
        <f t="shared" ref="E1331:E1347" si="263">HYPERLINK("https://oknesset.org/committee/meeting/14065/","https://oknesset.org/committee/meeting/14065/")</f>
        <v>https://oknesset.org/committee/meeting/14065/</v>
      </c>
    </row>
    <row r="1332" ht="14.25" customHeight="1">
      <c r="A1332" s="2" t="s">
        <v>133</v>
      </c>
      <c r="B1332" s="1" t="s">
        <v>350</v>
      </c>
      <c r="C1332" s="2" t="s">
        <v>70</v>
      </c>
      <c r="D1332" s="2" t="s">
        <v>352</v>
      </c>
      <c r="E1332" s="3" t="str">
        <f t="shared" si="263"/>
        <v>https://oknesset.org/committee/meeting/14065/</v>
      </c>
    </row>
    <row r="1333" ht="14.25" customHeight="1">
      <c r="A1333" s="2" t="s">
        <v>103</v>
      </c>
      <c r="B1333" s="1" t="s">
        <v>350</v>
      </c>
      <c r="C1333" s="2" t="s">
        <v>70</v>
      </c>
      <c r="D1333" s="2" t="s">
        <v>352</v>
      </c>
      <c r="E1333" s="3" t="str">
        <f t="shared" si="263"/>
        <v>https://oknesset.org/committee/meeting/14065/</v>
      </c>
    </row>
    <row r="1334" ht="14.25" customHeight="1">
      <c r="A1334" s="2" t="s">
        <v>104</v>
      </c>
      <c r="B1334" s="1" t="s">
        <v>350</v>
      </c>
      <c r="C1334" s="2" t="s">
        <v>70</v>
      </c>
      <c r="D1334" s="2" t="s">
        <v>352</v>
      </c>
      <c r="E1334" s="3" t="str">
        <f t="shared" si="263"/>
        <v>https://oknesset.org/committee/meeting/14065/</v>
      </c>
    </row>
    <row r="1335" ht="14.25" customHeight="1">
      <c r="A1335" s="2" t="s">
        <v>97</v>
      </c>
      <c r="B1335" s="1" t="s">
        <v>350</v>
      </c>
      <c r="C1335" s="2" t="s">
        <v>70</v>
      </c>
      <c r="D1335" s="2" t="s">
        <v>352</v>
      </c>
      <c r="E1335" s="3" t="str">
        <f t="shared" si="263"/>
        <v>https://oknesset.org/committee/meeting/14065/</v>
      </c>
    </row>
    <row r="1336" ht="14.25" customHeight="1">
      <c r="A1336" s="2" t="s">
        <v>94</v>
      </c>
      <c r="B1336" s="1" t="s">
        <v>350</v>
      </c>
      <c r="C1336" s="2" t="s">
        <v>70</v>
      </c>
      <c r="D1336" s="2" t="s">
        <v>352</v>
      </c>
      <c r="E1336" s="3" t="str">
        <f t="shared" si="263"/>
        <v>https://oknesset.org/committee/meeting/14065/</v>
      </c>
    </row>
    <row r="1337" ht="14.25" customHeight="1">
      <c r="A1337" s="2" t="s">
        <v>40</v>
      </c>
      <c r="B1337" s="1" t="s">
        <v>350</v>
      </c>
      <c r="C1337" s="2" t="s">
        <v>70</v>
      </c>
      <c r="D1337" s="2" t="s">
        <v>352</v>
      </c>
      <c r="E1337" s="3" t="str">
        <f t="shared" si="263"/>
        <v>https://oknesset.org/committee/meeting/14065/</v>
      </c>
    </row>
    <row r="1338" ht="14.25" customHeight="1">
      <c r="A1338" s="2" t="s">
        <v>106</v>
      </c>
      <c r="B1338" s="1" t="s">
        <v>350</v>
      </c>
      <c r="C1338" s="2" t="s">
        <v>70</v>
      </c>
      <c r="D1338" s="2" t="s">
        <v>352</v>
      </c>
      <c r="E1338" s="3" t="str">
        <f t="shared" si="263"/>
        <v>https://oknesset.org/committee/meeting/14065/</v>
      </c>
    </row>
    <row r="1339" ht="14.25" customHeight="1">
      <c r="A1339" s="2" t="s">
        <v>107</v>
      </c>
      <c r="B1339" s="1" t="s">
        <v>350</v>
      </c>
      <c r="C1339" s="2" t="s">
        <v>70</v>
      </c>
      <c r="D1339" s="2" t="s">
        <v>352</v>
      </c>
      <c r="E1339" s="3" t="str">
        <f t="shared" si="263"/>
        <v>https://oknesset.org/committee/meeting/14065/</v>
      </c>
    </row>
    <row r="1340" ht="14.25" customHeight="1">
      <c r="A1340" s="2" t="s">
        <v>36</v>
      </c>
      <c r="B1340" s="1" t="s">
        <v>350</v>
      </c>
      <c r="C1340" s="2" t="s">
        <v>70</v>
      </c>
      <c r="D1340" s="2" t="s">
        <v>352</v>
      </c>
      <c r="E1340" s="3" t="str">
        <f t="shared" si="263"/>
        <v>https://oknesset.org/committee/meeting/14065/</v>
      </c>
    </row>
    <row r="1341" ht="14.25" customHeight="1">
      <c r="A1341" s="2" t="s">
        <v>84</v>
      </c>
      <c r="B1341" s="1" t="s">
        <v>350</v>
      </c>
      <c r="C1341" s="2" t="s">
        <v>70</v>
      </c>
      <c r="D1341" s="2" t="s">
        <v>352</v>
      </c>
      <c r="E1341" s="3" t="str">
        <f t="shared" si="263"/>
        <v>https://oknesset.org/committee/meeting/14065/</v>
      </c>
    </row>
    <row r="1342" ht="14.25" customHeight="1">
      <c r="A1342" s="2" t="s">
        <v>95</v>
      </c>
      <c r="B1342" s="1" t="s">
        <v>350</v>
      </c>
      <c r="C1342" s="2" t="s">
        <v>70</v>
      </c>
      <c r="D1342" s="2" t="s">
        <v>352</v>
      </c>
      <c r="E1342" s="3" t="str">
        <f t="shared" si="263"/>
        <v>https://oknesset.org/committee/meeting/14065/</v>
      </c>
    </row>
    <row r="1343" ht="14.25" customHeight="1">
      <c r="A1343" s="2" t="s">
        <v>75</v>
      </c>
      <c r="B1343" s="1" t="s">
        <v>350</v>
      </c>
      <c r="C1343" s="2" t="s">
        <v>70</v>
      </c>
      <c r="D1343" s="2" t="s">
        <v>352</v>
      </c>
      <c r="E1343" s="3" t="str">
        <f t="shared" si="263"/>
        <v>https://oknesset.org/committee/meeting/14065/</v>
      </c>
    </row>
    <row r="1344" ht="14.25" customHeight="1">
      <c r="A1344" s="2" t="s">
        <v>11</v>
      </c>
      <c r="B1344" s="1" t="s">
        <v>350</v>
      </c>
      <c r="C1344" s="2" t="s">
        <v>70</v>
      </c>
      <c r="D1344" s="2" t="s">
        <v>352</v>
      </c>
      <c r="E1344" s="3" t="str">
        <f t="shared" si="263"/>
        <v>https://oknesset.org/committee/meeting/14065/</v>
      </c>
    </row>
    <row r="1345" ht="14.25" customHeight="1">
      <c r="A1345" s="2" t="s">
        <v>77</v>
      </c>
      <c r="B1345" s="1" t="s">
        <v>350</v>
      </c>
      <c r="C1345" s="2" t="s">
        <v>70</v>
      </c>
      <c r="D1345" s="2" t="s">
        <v>352</v>
      </c>
      <c r="E1345" s="3" t="str">
        <f t="shared" si="263"/>
        <v>https://oknesset.org/committee/meeting/14065/</v>
      </c>
    </row>
    <row r="1346" ht="14.25" customHeight="1">
      <c r="A1346" s="2" t="s">
        <v>61</v>
      </c>
      <c r="B1346" s="1" t="s">
        <v>350</v>
      </c>
      <c r="C1346" s="2" t="s">
        <v>70</v>
      </c>
      <c r="D1346" s="2" t="s">
        <v>352</v>
      </c>
      <c r="E1346" s="3" t="str">
        <f t="shared" si="263"/>
        <v>https://oknesset.org/committee/meeting/14065/</v>
      </c>
    </row>
    <row r="1347" ht="14.25" customHeight="1">
      <c r="A1347" s="2" t="s">
        <v>156</v>
      </c>
      <c r="B1347" s="1" t="s">
        <v>350</v>
      </c>
      <c r="C1347" s="2" t="s">
        <v>70</v>
      </c>
      <c r="D1347" s="2" t="s">
        <v>352</v>
      </c>
      <c r="E1347" s="3" t="str">
        <f t="shared" si="263"/>
        <v>https://oknesset.org/committee/meeting/14065/</v>
      </c>
    </row>
    <row r="1348" ht="14.25" customHeight="1">
      <c r="A1348" s="2" t="s">
        <v>84</v>
      </c>
      <c r="B1348" s="1" t="s">
        <v>350</v>
      </c>
      <c r="C1348" s="2" t="s">
        <v>70</v>
      </c>
      <c r="D1348" s="2" t="s">
        <v>353</v>
      </c>
      <c r="E1348" s="3" t="str">
        <f t="shared" ref="E1348:E1353" si="264">HYPERLINK("https://oknesset.org/committee/meeting/14064/","https://oknesset.org/committee/meeting/14064/")</f>
        <v>https://oknesset.org/committee/meeting/14064/</v>
      </c>
    </row>
    <row r="1349" ht="14.25" customHeight="1">
      <c r="A1349" s="2" t="s">
        <v>107</v>
      </c>
      <c r="B1349" s="1" t="s">
        <v>350</v>
      </c>
      <c r="C1349" s="2" t="s">
        <v>70</v>
      </c>
      <c r="D1349" s="2" t="s">
        <v>353</v>
      </c>
      <c r="E1349" s="3" t="str">
        <f t="shared" si="264"/>
        <v>https://oknesset.org/committee/meeting/14064/</v>
      </c>
    </row>
    <row r="1350" ht="14.25" customHeight="1">
      <c r="A1350" s="2" t="s">
        <v>106</v>
      </c>
      <c r="B1350" s="1" t="s">
        <v>350</v>
      </c>
      <c r="C1350" s="2" t="s">
        <v>70</v>
      </c>
      <c r="D1350" s="2" t="s">
        <v>353</v>
      </c>
      <c r="E1350" s="3" t="str">
        <f t="shared" si="264"/>
        <v>https://oknesset.org/committee/meeting/14064/</v>
      </c>
    </row>
    <row r="1351" ht="14.25" customHeight="1">
      <c r="A1351" s="2" t="s">
        <v>40</v>
      </c>
      <c r="B1351" s="1" t="s">
        <v>350</v>
      </c>
      <c r="C1351" s="2" t="s">
        <v>70</v>
      </c>
      <c r="D1351" s="2" t="s">
        <v>353</v>
      </c>
      <c r="E1351" s="3" t="str">
        <f t="shared" si="264"/>
        <v>https://oknesset.org/committee/meeting/14064/</v>
      </c>
    </row>
    <row r="1352" ht="14.25" customHeight="1">
      <c r="A1352" s="2" t="s">
        <v>104</v>
      </c>
      <c r="B1352" s="1" t="s">
        <v>350</v>
      </c>
      <c r="C1352" s="2" t="s">
        <v>70</v>
      </c>
      <c r="D1352" s="2" t="s">
        <v>353</v>
      </c>
      <c r="E1352" s="3" t="str">
        <f t="shared" si="264"/>
        <v>https://oknesset.org/committee/meeting/14064/</v>
      </c>
    </row>
    <row r="1353" ht="14.25" customHeight="1">
      <c r="A1353" s="2" t="s">
        <v>28</v>
      </c>
      <c r="B1353" s="1" t="s">
        <v>350</v>
      </c>
      <c r="C1353" s="2" t="s">
        <v>70</v>
      </c>
      <c r="D1353" s="2" t="s">
        <v>353</v>
      </c>
      <c r="E1353" s="3" t="str">
        <f t="shared" si="264"/>
        <v>https://oknesset.org/committee/meeting/14064/</v>
      </c>
    </row>
    <row r="1354" ht="14.25" customHeight="1">
      <c r="A1354" s="2" t="s">
        <v>115</v>
      </c>
      <c r="B1354" s="1" t="s">
        <v>350</v>
      </c>
      <c r="C1354" s="2" t="s">
        <v>42</v>
      </c>
      <c r="D1354" s="2" t="s">
        <v>354</v>
      </c>
      <c r="E1354" s="3" t="str">
        <f>HYPERLINK("https://oknesset.org/committee/meeting/14343/","https://oknesset.org/committee/meeting/14343/")</f>
        <v>https://oknesset.org/committee/meeting/14343/</v>
      </c>
    </row>
    <row r="1355" ht="14.25" customHeight="1">
      <c r="A1355" s="2" t="s">
        <v>115</v>
      </c>
      <c r="B1355" s="1" t="s">
        <v>350</v>
      </c>
      <c r="C1355" s="2" t="s">
        <v>42</v>
      </c>
      <c r="D1355" s="2" t="s">
        <v>355</v>
      </c>
      <c r="E1355" s="3" t="str">
        <f>HYPERLINK("https://oknesset.org/committee/meeting/14341/","https://oknesset.org/committee/meeting/14341/")</f>
        <v>https://oknesset.org/committee/meeting/14341/</v>
      </c>
    </row>
    <row r="1356" ht="14.25" customHeight="1">
      <c r="A1356" s="2" t="s">
        <v>121</v>
      </c>
      <c r="B1356" s="1" t="s">
        <v>350</v>
      </c>
      <c r="C1356" s="2" t="s">
        <v>48</v>
      </c>
      <c r="D1356" s="2" t="s">
        <v>356</v>
      </c>
      <c r="E1356" s="3" t="str">
        <f t="shared" ref="E1356:E1361" si="265">HYPERLINK("https://oknesset.org/committee/meeting/14176/","https://oknesset.org/committee/meeting/14176/")</f>
        <v>https://oknesset.org/committee/meeting/14176/</v>
      </c>
    </row>
    <row r="1357" ht="14.25" customHeight="1">
      <c r="A1357" s="2" t="s">
        <v>32</v>
      </c>
      <c r="B1357" s="1" t="s">
        <v>350</v>
      </c>
      <c r="C1357" s="2" t="s">
        <v>48</v>
      </c>
      <c r="D1357" s="2" t="s">
        <v>356</v>
      </c>
      <c r="E1357" s="3" t="str">
        <f t="shared" si="265"/>
        <v>https://oknesset.org/committee/meeting/14176/</v>
      </c>
    </row>
    <row r="1358" ht="14.25" customHeight="1">
      <c r="A1358" s="2" t="s">
        <v>11</v>
      </c>
      <c r="B1358" s="1" t="s">
        <v>350</v>
      </c>
      <c r="C1358" s="2" t="s">
        <v>48</v>
      </c>
      <c r="D1358" s="2" t="s">
        <v>356</v>
      </c>
      <c r="E1358" s="3" t="str">
        <f t="shared" si="265"/>
        <v>https://oknesset.org/committee/meeting/14176/</v>
      </c>
    </row>
    <row r="1359" ht="14.25" customHeight="1">
      <c r="A1359" s="2" t="s">
        <v>57</v>
      </c>
      <c r="B1359" s="1" t="s">
        <v>350</v>
      </c>
      <c r="C1359" s="2" t="s">
        <v>48</v>
      </c>
      <c r="D1359" s="2" t="s">
        <v>356</v>
      </c>
      <c r="E1359" s="3" t="str">
        <f t="shared" si="265"/>
        <v>https://oknesset.org/committee/meeting/14176/</v>
      </c>
    </row>
    <row r="1360" ht="14.25" customHeight="1">
      <c r="A1360" s="2" t="s">
        <v>132</v>
      </c>
      <c r="B1360" s="1" t="s">
        <v>350</v>
      </c>
      <c r="C1360" s="2" t="s">
        <v>48</v>
      </c>
      <c r="D1360" s="2" t="s">
        <v>356</v>
      </c>
      <c r="E1360" s="3" t="str">
        <f t="shared" si="265"/>
        <v>https://oknesset.org/committee/meeting/14176/</v>
      </c>
    </row>
    <row r="1361" ht="14.25" customHeight="1">
      <c r="A1361" s="2" t="s">
        <v>95</v>
      </c>
      <c r="B1361" s="1" t="s">
        <v>350</v>
      </c>
      <c r="C1361" s="2" t="s">
        <v>48</v>
      </c>
      <c r="D1361" s="2" t="s">
        <v>356</v>
      </c>
      <c r="E1361" s="3" t="str">
        <f t="shared" si="265"/>
        <v>https://oknesset.org/committee/meeting/14176/</v>
      </c>
    </row>
    <row r="1362" ht="14.25" customHeight="1">
      <c r="A1362" s="2" t="s">
        <v>21</v>
      </c>
      <c r="B1362" s="1" t="s">
        <v>350</v>
      </c>
      <c r="C1362" s="2" t="s">
        <v>48</v>
      </c>
      <c r="D1362" s="2" t="s">
        <v>357</v>
      </c>
      <c r="E1362" s="3" t="str">
        <f t="shared" ref="E1362:E1369" si="266">HYPERLINK("https://oknesset.org/committee/meeting/14177/","https://oknesset.org/committee/meeting/14177/")</f>
        <v>https://oknesset.org/committee/meeting/14177/</v>
      </c>
    </row>
    <row r="1363" ht="14.25" customHeight="1">
      <c r="A1363" s="2" t="s">
        <v>16</v>
      </c>
      <c r="B1363" s="1" t="s">
        <v>350</v>
      </c>
      <c r="C1363" s="2" t="s">
        <v>48</v>
      </c>
      <c r="D1363" s="2" t="s">
        <v>357</v>
      </c>
      <c r="E1363" s="3" t="str">
        <f t="shared" si="266"/>
        <v>https://oknesset.org/committee/meeting/14177/</v>
      </c>
    </row>
    <row r="1364" ht="14.25" customHeight="1">
      <c r="A1364" s="2" t="s">
        <v>64</v>
      </c>
      <c r="B1364" s="1" t="s">
        <v>350</v>
      </c>
      <c r="C1364" s="2" t="s">
        <v>48</v>
      </c>
      <c r="D1364" s="2" t="s">
        <v>357</v>
      </c>
      <c r="E1364" s="3" t="str">
        <f t="shared" si="266"/>
        <v>https://oknesset.org/committee/meeting/14177/</v>
      </c>
    </row>
    <row r="1365" ht="14.25" customHeight="1">
      <c r="A1365" s="2" t="s">
        <v>95</v>
      </c>
      <c r="B1365" s="1" t="s">
        <v>350</v>
      </c>
      <c r="C1365" s="2" t="s">
        <v>48</v>
      </c>
      <c r="D1365" s="2" t="s">
        <v>357</v>
      </c>
      <c r="E1365" s="3" t="str">
        <f t="shared" si="266"/>
        <v>https://oknesset.org/committee/meeting/14177/</v>
      </c>
    </row>
    <row r="1366" ht="14.25" customHeight="1">
      <c r="A1366" s="2" t="s">
        <v>57</v>
      </c>
      <c r="B1366" s="1" t="s">
        <v>350</v>
      </c>
      <c r="C1366" s="2" t="s">
        <v>48</v>
      </c>
      <c r="D1366" s="2" t="s">
        <v>357</v>
      </c>
      <c r="E1366" s="3" t="str">
        <f t="shared" si="266"/>
        <v>https://oknesset.org/committee/meeting/14177/</v>
      </c>
    </row>
    <row r="1367" ht="14.25" customHeight="1">
      <c r="A1367" s="2" t="s">
        <v>32</v>
      </c>
      <c r="B1367" s="1" t="s">
        <v>350</v>
      </c>
      <c r="C1367" s="2" t="s">
        <v>48</v>
      </c>
      <c r="D1367" s="2" t="s">
        <v>357</v>
      </c>
      <c r="E1367" s="3" t="str">
        <f t="shared" si="266"/>
        <v>https://oknesset.org/committee/meeting/14177/</v>
      </c>
    </row>
    <row r="1368" ht="14.25" customHeight="1">
      <c r="A1368" s="2" t="s">
        <v>121</v>
      </c>
      <c r="B1368" s="1" t="s">
        <v>350</v>
      </c>
      <c r="C1368" s="2" t="s">
        <v>48</v>
      </c>
      <c r="D1368" s="2" t="s">
        <v>357</v>
      </c>
      <c r="E1368" s="3" t="str">
        <f t="shared" si="266"/>
        <v>https://oknesset.org/committee/meeting/14177/</v>
      </c>
    </row>
    <row r="1369" ht="14.25" customHeight="1">
      <c r="A1369" s="2" t="s">
        <v>34</v>
      </c>
      <c r="B1369" s="1" t="s">
        <v>350</v>
      </c>
      <c r="C1369" s="2" t="s">
        <v>48</v>
      </c>
      <c r="D1369" s="2" t="s">
        <v>357</v>
      </c>
      <c r="E1369" s="3" t="str">
        <f t="shared" si="266"/>
        <v>https://oknesset.org/committee/meeting/14177/</v>
      </c>
    </row>
    <row r="1370" ht="14.25" customHeight="1">
      <c r="A1370" s="2" t="s">
        <v>130</v>
      </c>
      <c r="B1370" s="1" t="s">
        <v>350</v>
      </c>
      <c r="C1370" s="2" t="s">
        <v>70</v>
      </c>
      <c r="D1370" s="2" t="s">
        <v>353</v>
      </c>
      <c r="E1370" s="3" t="str">
        <f>HYPERLINK("https://oknesset.org/committee/meeting/14064/","https://oknesset.org/committee/meeting/14064/")</f>
        <v>https://oknesset.org/committee/meeting/14064/</v>
      </c>
    </row>
    <row r="1371" ht="14.25" customHeight="1">
      <c r="A1371" s="2" t="s">
        <v>73</v>
      </c>
      <c r="B1371" s="1" t="s">
        <v>350</v>
      </c>
      <c r="C1371" s="2" t="s">
        <v>70</v>
      </c>
      <c r="D1371" s="2" t="s">
        <v>358</v>
      </c>
      <c r="E1371" s="3" t="str">
        <f t="shared" ref="E1371:E1378" si="267">HYPERLINK("https://oknesset.org/committee/meeting/14063/","https://oknesset.org/committee/meeting/14063/")</f>
        <v>https://oknesset.org/committee/meeting/14063/</v>
      </c>
    </row>
    <row r="1372" ht="14.25" customHeight="1">
      <c r="A1372" s="2" t="s">
        <v>107</v>
      </c>
      <c r="B1372" s="1" t="s">
        <v>350</v>
      </c>
      <c r="C1372" s="2" t="s">
        <v>70</v>
      </c>
      <c r="D1372" s="2" t="s">
        <v>358</v>
      </c>
      <c r="E1372" s="3" t="str">
        <f t="shared" si="267"/>
        <v>https://oknesset.org/committee/meeting/14063/</v>
      </c>
    </row>
    <row r="1373" ht="14.25" customHeight="1">
      <c r="A1373" s="2" t="s">
        <v>106</v>
      </c>
      <c r="B1373" s="1" t="s">
        <v>350</v>
      </c>
      <c r="C1373" s="2" t="s">
        <v>70</v>
      </c>
      <c r="D1373" s="2" t="s">
        <v>358</v>
      </c>
      <c r="E1373" s="3" t="str">
        <f t="shared" si="267"/>
        <v>https://oknesset.org/committee/meeting/14063/</v>
      </c>
    </row>
    <row r="1374" ht="14.25" customHeight="1">
      <c r="A1374" s="2" t="s">
        <v>97</v>
      </c>
      <c r="B1374" s="1" t="s">
        <v>350</v>
      </c>
      <c r="C1374" s="2" t="s">
        <v>70</v>
      </c>
      <c r="D1374" s="2" t="s">
        <v>358</v>
      </c>
      <c r="E1374" s="3" t="str">
        <f t="shared" si="267"/>
        <v>https://oknesset.org/committee/meeting/14063/</v>
      </c>
    </row>
    <row r="1375" ht="14.25" customHeight="1">
      <c r="A1375" s="2" t="s">
        <v>104</v>
      </c>
      <c r="B1375" s="1" t="s">
        <v>350</v>
      </c>
      <c r="C1375" s="2" t="s">
        <v>70</v>
      </c>
      <c r="D1375" s="2" t="s">
        <v>358</v>
      </c>
      <c r="E1375" s="3" t="str">
        <f t="shared" si="267"/>
        <v>https://oknesset.org/committee/meeting/14063/</v>
      </c>
    </row>
    <row r="1376" ht="14.25" customHeight="1">
      <c r="A1376" s="2" t="s">
        <v>28</v>
      </c>
      <c r="B1376" s="1" t="s">
        <v>350</v>
      </c>
      <c r="C1376" s="2" t="s">
        <v>70</v>
      </c>
      <c r="D1376" s="2" t="s">
        <v>358</v>
      </c>
      <c r="E1376" s="3" t="str">
        <f t="shared" si="267"/>
        <v>https://oknesset.org/committee/meeting/14063/</v>
      </c>
    </row>
    <row r="1377" ht="14.25" customHeight="1">
      <c r="A1377" s="2" t="s">
        <v>117</v>
      </c>
      <c r="B1377" s="1" t="s">
        <v>350</v>
      </c>
      <c r="C1377" s="2" t="s">
        <v>70</v>
      </c>
      <c r="D1377" s="2" t="s">
        <v>358</v>
      </c>
      <c r="E1377" s="3" t="str">
        <f t="shared" si="267"/>
        <v>https://oknesset.org/committee/meeting/14063/</v>
      </c>
    </row>
    <row r="1378" ht="14.25" customHeight="1">
      <c r="A1378" s="2" t="s">
        <v>20</v>
      </c>
      <c r="B1378" s="1" t="s">
        <v>350</v>
      </c>
      <c r="C1378" s="2" t="s">
        <v>70</v>
      </c>
      <c r="D1378" s="2" t="s">
        <v>358</v>
      </c>
      <c r="E1378" s="3" t="str">
        <f t="shared" si="267"/>
        <v>https://oknesset.org/committee/meeting/14063/</v>
      </c>
    </row>
    <row r="1379" ht="14.25" customHeight="1">
      <c r="A1379" s="2" t="s">
        <v>58</v>
      </c>
      <c r="B1379" s="1" t="s">
        <v>350</v>
      </c>
      <c r="C1379" s="2" t="s">
        <v>52</v>
      </c>
      <c r="D1379" s="2" t="s">
        <v>359</v>
      </c>
      <c r="E1379" s="3" t="str">
        <f t="shared" ref="E1379:E1383" si="268">HYPERLINK("https://oknesset.org/committee/meeting/14225/","https://oknesset.org/committee/meeting/14225/")</f>
        <v>https://oknesset.org/committee/meeting/14225/</v>
      </c>
    </row>
    <row r="1380" ht="14.25" customHeight="1">
      <c r="A1380" s="2" t="s">
        <v>106</v>
      </c>
      <c r="B1380" s="1" t="s">
        <v>350</v>
      </c>
      <c r="C1380" s="2" t="s">
        <v>52</v>
      </c>
      <c r="D1380" s="2" t="s">
        <v>359</v>
      </c>
      <c r="E1380" s="3" t="str">
        <f t="shared" si="268"/>
        <v>https://oknesset.org/committee/meeting/14225/</v>
      </c>
    </row>
    <row r="1381" ht="14.25" customHeight="1">
      <c r="A1381" s="2" t="s">
        <v>36</v>
      </c>
      <c r="B1381" s="1" t="s">
        <v>350</v>
      </c>
      <c r="C1381" s="2" t="s">
        <v>52</v>
      </c>
      <c r="D1381" s="2" t="s">
        <v>359</v>
      </c>
      <c r="E1381" s="3" t="str">
        <f t="shared" si="268"/>
        <v>https://oknesset.org/committee/meeting/14225/</v>
      </c>
    </row>
    <row r="1382" ht="14.25" customHeight="1">
      <c r="A1382" s="2" t="s">
        <v>64</v>
      </c>
      <c r="B1382" s="1" t="s">
        <v>350</v>
      </c>
      <c r="C1382" s="2" t="s">
        <v>52</v>
      </c>
      <c r="D1382" s="2" t="s">
        <v>359</v>
      </c>
      <c r="E1382" s="3" t="str">
        <f t="shared" si="268"/>
        <v>https://oknesset.org/committee/meeting/14225/</v>
      </c>
    </row>
    <row r="1383" ht="14.25" customHeight="1">
      <c r="A1383" s="2" t="s">
        <v>34</v>
      </c>
      <c r="B1383" s="1" t="s">
        <v>350</v>
      </c>
      <c r="C1383" s="2" t="s">
        <v>52</v>
      </c>
      <c r="D1383" s="2" t="s">
        <v>359</v>
      </c>
      <c r="E1383" s="3" t="str">
        <f t="shared" si="268"/>
        <v>https://oknesset.org/committee/meeting/14225/</v>
      </c>
    </row>
    <row r="1384" ht="14.25" customHeight="1">
      <c r="A1384" s="2" t="s">
        <v>108</v>
      </c>
      <c r="B1384" s="1" t="s">
        <v>350</v>
      </c>
      <c r="C1384" s="2" t="s">
        <v>52</v>
      </c>
      <c r="D1384" s="2" t="s">
        <v>136</v>
      </c>
      <c r="E1384" s="3" t="str">
        <f t="shared" ref="E1384:E1387" si="269">HYPERLINK("https://oknesset.org/committee/meeting/14226/","https://oknesset.org/committee/meeting/14226/")</f>
        <v>https://oknesset.org/committee/meeting/14226/</v>
      </c>
    </row>
    <row r="1385" ht="14.25" customHeight="1">
      <c r="A1385" s="2" t="s">
        <v>57</v>
      </c>
      <c r="B1385" s="1" t="s">
        <v>350</v>
      </c>
      <c r="C1385" s="2" t="s">
        <v>52</v>
      </c>
      <c r="D1385" s="2" t="s">
        <v>136</v>
      </c>
      <c r="E1385" s="3" t="str">
        <f t="shared" si="269"/>
        <v>https://oknesset.org/committee/meeting/14226/</v>
      </c>
    </row>
    <row r="1386" ht="14.25" customHeight="1">
      <c r="A1386" s="2" t="s">
        <v>54</v>
      </c>
      <c r="B1386" s="1" t="s">
        <v>350</v>
      </c>
      <c r="C1386" s="2" t="s">
        <v>52</v>
      </c>
      <c r="D1386" s="2" t="s">
        <v>136</v>
      </c>
      <c r="E1386" s="3" t="str">
        <f t="shared" si="269"/>
        <v>https://oknesset.org/committee/meeting/14226/</v>
      </c>
    </row>
    <row r="1387" ht="14.25" customHeight="1">
      <c r="A1387" s="2" t="s">
        <v>34</v>
      </c>
      <c r="B1387" s="1" t="s">
        <v>350</v>
      </c>
      <c r="C1387" s="2" t="s">
        <v>52</v>
      </c>
      <c r="D1387" s="2" t="s">
        <v>136</v>
      </c>
      <c r="E1387" s="3" t="str">
        <f t="shared" si="269"/>
        <v>https://oknesset.org/committee/meeting/14226/</v>
      </c>
    </row>
    <row r="1388" ht="14.25" customHeight="1">
      <c r="A1388" s="2" t="s">
        <v>108</v>
      </c>
      <c r="B1388" s="1" t="s">
        <v>350</v>
      </c>
      <c r="C1388" s="2" t="s">
        <v>52</v>
      </c>
      <c r="D1388" s="2" t="s">
        <v>360</v>
      </c>
      <c r="E1388" s="3" t="str">
        <f>HYPERLINK("https://oknesset.org/committee/meeting/14227/","https://oknesset.org/committee/meeting/14227/")</f>
        <v>https://oknesset.org/committee/meeting/14227/</v>
      </c>
    </row>
    <row r="1389" ht="14.25" customHeight="1">
      <c r="A1389" s="2" t="s">
        <v>9</v>
      </c>
      <c r="B1389" s="1" t="s">
        <v>350</v>
      </c>
      <c r="C1389" s="2" t="s">
        <v>45</v>
      </c>
      <c r="D1389" s="2" t="s">
        <v>361</v>
      </c>
      <c r="E1389" s="3" t="str">
        <f t="shared" ref="E1389:E1390" si="270">HYPERLINK("https://oknesset.org/committee/meeting/14123/","https://oknesset.org/committee/meeting/14123/")</f>
        <v>https://oknesset.org/committee/meeting/14123/</v>
      </c>
    </row>
    <row r="1390" ht="14.25" customHeight="1">
      <c r="A1390" s="2" t="s">
        <v>62</v>
      </c>
      <c r="B1390" s="1" t="s">
        <v>350</v>
      </c>
      <c r="C1390" s="2" t="s">
        <v>45</v>
      </c>
      <c r="D1390" s="2" t="s">
        <v>361</v>
      </c>
      <c r="E1390" s="3" t="str">
        <f t="shared" si="270"/>
        <v>https://oknesset.org/committee/meeting/14123/</v>
      </c>
    </row>
    <row r="1391" ht="14.25" customHeight="1">
      <c r="A1391" s="2" t="s">
        <v>82</v>
      </c>
      <c r="B1391" s="1" t="s">
        <v>350</v>
      </c>
      <c r="C1391" s="2" t="s">
        <v>42</v>
      </c>
      <c r="D1391" s="2" t="s">
        <v>351</v>
      </c>
      <c r="E1391" s="3" t="str">
        <f>HYPERLINK("https://oknesset.org/committee/meeting/14342/","https://oknesset.org/committee/meeting/14342/")</f>
        <v>https://oknesset.org/committee/meeting/14342/</v>
      </c>
    </row>
    <row r="1392" ht="14.25" customHeight="1">
      <c r="A1392" s="2" t="s">
        <v>112</v>
      </c>
      <c r="B1392" s="1" t="s">
        <v>362</v>
      </c>
      <c r="C1392" s="2" t="s">
        <v>42</v>
      </c>
      <c r="D1392" s="2" t="s">
        <v>363</v>
      </c>
      <c r="E1392" s="3" t="str">
        <f>HYPERLINK("https://oknesset.org/committee/meeting/14340/","https://oknesset.org/committee/meeting/14340/")</f>
        <v>https://oknesset.org/committee/meeting/14340/</v>
      </c>
    </row>
    <row r="1393" ht="14.25" customHeight="1">
      <c r="A1393" s="2" t="s">
        <v>127</v>
      </c>
      <c r="B1393" s="1" t="s">
        <v>362</v>
      </c>
      <c r="C1393" s="2" t="s">
        <v>25</v>
      </c>
      <c r="D1393" s="2" t="s">
        <v>364</v>
      </c>
      <c r="E1393" s="3" t="str">
        <f t="shared" ref="E1393:E1397" si="271">HYPERLINK("https://oknesset.org/committee/meeting/14279/","https://oknesset.org/committee/meeting/14279/")</f>
        <v>https://oknesset.org/committee/meeting/14279/</v>
      </c>
    </row>
    <row r="1394" ht="14.25" customHeight="1">
      <c r="A1394" s="2" t="s">
        <v>94</v>
      </c>
      <c r="B1394" s="1" t="s">
        <v>362</v>
      </c>
      <c r="C1394" s="2" t="s">
        <v>25</v>
      </c>
      <c r="D1394" s="2" t="s">
        <v>364</v>
      </c>
      <c r="E1394" s="3" t="str">
        <f t="shared" si="271"/>
        <v>https://oknesset.org/committee/meeting/14279/</v>
      </c>
    </row>
    <row r="1395" ht="14.25" customHeight="1">
      <c r="A1395" s="2" t="s">
        <v>5</v>
      </c>
      <c r="B1395" s="1" t="s">
        <v>362</v>
      </c>
      <c r="C1395" s="2" t="s">
        <v>25</v>
      </c>
      <c r="D1395" s="2" t="s">
        <v>364</v>
      </c>
      <c r="E1395" s="3" t="str">
        <f t="shared" si="271"/>
        <v>https://oknesset.org/committee/meeting/14279/</v>
      </c>
    </row>
    <row r="1396" ht="14.25" customHeight="1">
      <c r="A1396" s="2" t="s">
        <v>54</v>
      </c>
      <c r="B1396" s="1" t="s">
        <v>362</v>
      </c>
      <c r="C1396" s="2" t="s">
        <v>25</v>
      </c>
      <c r="D1396" s="2" t="s">
        <v>364</v>
      </c>
      <c r="E1396" s="3" t="str">
        <f t="shared" si="271"/>
        <v>https://oknesset.org/committee/meeting/14279/</v>
      </c>
    </row>
    <row r="1397" ht="14.25" customHeight="1">
      <c r="A1397" s="2" t="s">
        <v>27</v>
      </c>
      <c r="B1397" s="1" t="s">
        <v>362</v>
      </c>
      <c r="C1397" s="2" t="s">
        <v>25</v>
      </c>
      <c r="D1397" s="2" t="s">
        <v>364</v>
      </c>
      <c r="E1397" s="3" t="str">
        <f t="shared" si="271"/>
        <v>https://oknesset.org/committee/meeting/14279/</v>
      </c>
    </row>
    <row r="1398" ht="14.25" customHeight="1">
      <c r="A1398" s="2" t="s">
        <v>112</v>
      </c>
      <c r="B1398" s="1" t="s">
        <v>362</v>
      </c>
      <c r="C1398" s="2" t="s">
        <v>365</v>
      </c>
      <c r="D1398" s="2" t="s">
        <v>363</v>
      </c>
      <c r="E1398" s="3" t="str">
        <f>HYPERLINK("https://oknesset.org/committee/meeting/14400/","https://oknesset.org/committee/meeting/14400/")</f>
        <v>https://oknesset.org/committee/meeting/14400/</v>
      </c>
    </row>
    <row r="1399" ht="14.25" customHeight="1">
      <c r="A1399" s="2" t="s">
        <v>85</v>
      </c>
      <c r="B1399" s="1" t="s">
        <v>366</v>
      </c>
      <c r="C1399" s="2" t="s">
        <v>29</v>
      </c>
      <c r="D1399" s="2" t="s">
        <v>367</v>
      </c>
      <c r="E1399" s="3" t="str">
        <f>HYPERLINK("https://oknesset.org/committee/meeting/14027/","https://oknesset.org/committee/meeting/14027/")</f>
        <v>https://oknesset.org/committee/meeting/14027/</v>
      </c>
    </row>
    <row r="1400" ht="14.25" customHeight="1">
      <c r="A1400" s="2" t="s">
        <v>104</v>
      </c>
      <c r="B1400" s="1" t="s">
        <v>366</v>
      </c>
      <c r="C1400" s="2" t="s">
        <v>70</v>
      </c>
      <c r="D1400" s="2" t="s">
        <v>295</v>
      </c>
      <c r="E1400" s="3" t="str">
        <f t="shared" ref="E1400:E1403" si="272">HYPERLINK("https://oknesset.org/committee/meeting/14061/","https://oknesset.org/committee/meeting/14061/")</f>
        <v>https://oknesset.org/committee/meeting/14061/</v>
      </c>
    </row>
    <row r="1401" ht="14.25" customHeight="1">
      <c r="A1401" s="2" t="s">
        <v>106</v>
      </c>
      <c r="B1401" s="1" t="s">
        <v>366</v>
      </c>
      <c r="C1401" s="2" t="s">
        <v>70</v>
      </c>
      <c r="D1401" s="2" t="s">
        <v>295</v>
      </c>
      <c r="E1401" s="3" t="str">
        <f t="shared" si="272"/>
        <v>https://oknesset.org/committee/meeting/14061/</v>
      </c>
    </row>
    <row r="1402" ht="14.25" customHeight="1">
      <c r="A1402" s="2" t="s">
        <v>107</v>
      </c>
      <c r="B1402" s="1" t="s">
        <v>366</v>
      </c>
      <c r="C1402" s="2" t="s">
        <v>70</v>
      </c>
      <c r="D1402" s="2" t="s">
        <v>295</v>
      </c>
      <c r="E1402" s="3" t="str">
        <f t="shared" si="272"/>
        <v>https://oknesset.org/committee/meeting/14061/</v>
      </c>
    </row>
    <row r="1403" ht="14.25" customHeight="1">
      <c r="A1403" s="2" t="s">
        <v>101</v>
      </c>
      <c r="B1403" s="1" t="s">
        <v>366</v>
      </c>
      <c r="C1403" s="2" t="s">
        <v>70</v>
      </c>
      <c r="D1403" s="2" t="s">
        <v>295</v>
      </c>
      <c r="E1403" s="3" t="str">
        <f t="shared" si="272"/>
        <v>https://oknesset.org/committee/meeting/14061/</v>
      </c>
    </row>
    <row r="1404" ht="14.25" customHeight="1">
      <c r="A1404" s="2" t="s">
        <v>104</v>
      </c>
      <c r="B1404" s="1" t="s">
        <v>366</v>
      </c>
      <c r="C1404" s="2" t="s">
        <v>70</v>
      </c>
      <c r="D1404" s="2" t="s">
        <v>368</v>
      </c>
      <c r="E1404" s="3" t="str">
        <f>HYPERLINK("https://oknesset.org/committee/meeting/14062/","https://oknesset.org/committee/meeting/14062/")</f>
        <v>https://oknesset.org/committee/meeting/14062/</v>
      </c>
    </row>
    <row r="1405" ht="14.25" customHeight="1">
      <c r="A1405" s="2" t="s">
        <v>35</v>
      </c>
      <c r="B1405" s="1" t="s">
        <v>366</v>
      </c>
      <c r="C1405" s="2" t="s">
        <v>29</v>
      </c>
      <c r="D1405" s="2" t="s">
        <v>367</v>
      </c>
      <c r="E1405" s="3" t="str">
        <f t="shared" ref="E1405:E1415" si="273">HYPERLINK("https://oknesset.org/committee/meeting/14027/","https://oknesset.org/committee/meeting/14027/")</f>
        <v>https://oknesset.org/committee/meeting/14027/</v>
      </c>
    </row>
    <row r="1406" ht="14.25" customHeight="1">
      <c r="A1406" s="2" t="s">
        <v>34</v>
      </c>
      <c r="B1406" s="1" t="s">
        <v>366</v>
      </c>
      <c r="C1406" s="2" t="s">
        <v>29</v>
      </c>
      <c r="D1406" s="2" t="s">
        <v>367</v>
      </c>
      <c r="E1406" s="3" t="str">
        <f t="shared" si="273"/>
        <v>https://oknesset.org/committee/meeting/14027/</v>
      </c>
    </row>
    <row r="1407" ht="14.25" customHeight="1">
      <c r="A1407" s="2" t="s">
        <v>11</v>
      </c>
      <c r="B1407" s="1" t="s">
        <v>366</v>
      </c>
      <c r="C1407" s="2" t="s">
        <v>29</v>
      </c>
      <c r="D1407" s="2" t="s">
        <v>367</v>
      </c>
      <c r="E1407" s="3" t="str">
        <f t="shared" si="273"/>
        <v>https://oknesset.org/committee/meeting/14027/</v>
      </c>
    </row>
    <row r="1408" ht="14.25" customHeight="1">
      <c r="A1408" s="2" t="s">
        <v>95</v>
      </c>
      <c r="B1408" s="1" t="s">
        <v>366</v>
      </c>
      <c r="C1408" s="2" t="s">
        <v>29</v>
      </c>
      <c r="D1408" s="2" t="s">
        <v>367</v>
      </c>
      <c r="E1408" s="3" t="str">
        <f t="shared" si="273"/>
        <v>https://oknesset.org/committee/meeting/14027/</v>
      </c>
    </row>
    <row r="1409" ht="14.25" customHeight="1">
      <c r="A1409" s="2" t="s">
        <v>13</v>
      </c>
      <c r="B1409" s="1" t="s">
        <v>366</v>
      </c>
      <c r="C1409" s="2" t="s">
        <v>29</v>
      </c>
      <c r="D1409" s="2" t="s">
        <v>367</v>
      </c>
      <c r="E1409" s="3" t="str">
        <f t="shared" si="273"/>
        <v>https://oknesset.org/committee/meeting/14027/</v>
      </c>
    </row>
    <row r="1410" ht="14.25" customHeight="1">
      <c r="A1410" s="2" t="s">
        <v>16</v>
      </c>
      <c r="B1410" s="1" t="s">
        <v>366</v>
      </c>
      <c r="C1410" s="2" t="s">
        <v>29</v>
      </c>
      <c r="D1410" s="2" t="s">
        <v>367</v>
      </c>
      <c r="E1410" s="3" t="str">
        <f t="shared" si="273"/>
        <v>https://oknesset.org/committee/meeting/14027/</v>
      </c>
    </row>
    <row r="1411" ht="14.25" customHeight="1">
      <c r="A1411" s="2" t="s">
        <v>97</v>
      </c>
      <c r="B1411" s="1" t="s">
        <v>366</v>
      </c>
      <c r="C1411" s="2" t="s">
        <v>29</v>
      </c>
      <c r="D1411" s="2" t="s">
        <v>367</v>
      </c>
      <c r="E1411" s="3" t="str">
        <f t="shared" si="273"/>
        <v>https://oknesset.org/committee/meeting/14027/</v>
      </c>
    </row>
    <row r="1412" ht="14.25" customHeight="1">
      <c r="A1412" s="2" t="s">
        <v>44</v>
      </c>
      <c r="B1412" s="1" t="s">
        <v>366</v>
      </c>
      <c r="C1412" s="2" t="s">
        <v>29</v>
      </c>
      <c r="D1412" s="2" t="s">
        <v>367</v>
      </c>
      <c r="E1412" s="3" t="str">
        <f t="shared" si="273"/>
        <v>https://oknesset.org/committee/meeting/14027/</v>
      </c>
    </row>
    <row r="1413" ht="14.25" customHeight="1">
      <c r="A1413" s="2" t="s">
        <v>28</v>
      </c>
      <c r="B1413" s="1" t="s">
        <v>366</v>
      </c>
      <c r="C1413" s="2" t="s">
        <v>29</v>
      </c>
      <c r="D1413" s="2" t="s">
        <v>367</v>
      </c>
      <c r="E1413" s="3" t="str">
        <f t="shared" si="273"/>
        <v>https://oknesset.org/committee/meeting/14027/</v>
      </c>
    </row>
    <row r="1414" ht="14.25" customHeight="1">
      <c r="A1414" s="2" t="s">
        <v>20</v>
      </c>
      <c r="B1414" s="1" t="s">
        <v>366</v>
      </c>
      <c r="C1414" s="2" t="s">
        <v>29</v>
      </c>
      <c r="D1414" s="2" t="s">
        <v>367</v>
      </c>
      <c r="E1414" s="3" t="str">
        <f t="shared" si="273"/>
        <v>https://oknesset.org/committee/meeting/14027/</v>
      </c>
    </row>
    <row r="1415" ht="14.25" customHeight="1">
      <c r="A1415" s="2" t="s">
        <v>21</v>
      </c>
      <c r="B1415" s="1" t="s">
        <v>366</v>
      </c>
      <c r="C1415" s="2" t="s">
        <v>29</v>
      </c>
      <c r="D1415" s="2" t="s">
        <v>367</v>
      </c>
      <c r="E1415" s="3" t="str">
        <f t="shared" si="273"/>
        <v>https://oknesset.org/committee/meeting/14027/</v>
      </c>
    </row>
    <row r="1416" ht="14.25" customHeight="1">
      <c r="A1416" s="2" t="s">
        <v>13</v>
      </c>
      <c r="B1416" s="1" t="s">
        <v>369</v>
      </c>
      <c r="C1416" s="2" t="s">
        <v>29</v>
      </c>
      <c r="D1416" s="2" t="s">
        <v>370</v>
      </c>
      <c r="E1416" s="3" t="str">
        <f t="shared" ref="E1416:E1419" si="274">HYPERLINK("https://oknesset.org/committee/meeting/14026/","https://oknesset.org/committee/meeting/14026/")</f>
        <v>https://oknesset.org/committee/meeting/14026/</v>
      </c>
    </row>
    <row r="1417" ht="14.25" customHeight="1">
      <c r="A1417" s="2" t="s">
        <v>10</v>
      </c>
      <c r="B1417" s="1" t="s">
        <v>369</v>
      </c>
      <c r="C1417" s="2" t="s">
        <v>29</v>
      </c>
      <c r="D1417" s="2" t="s">
        <v>370</v>
      </c>
      <c r="E1417" s="3" t="str">
        <f t="shared" si="274"/>
        <v>https://oknesset.org/committee/meeting/14026/</v>
      </c>
    </row>
    <row r="1418" ht="14.25" customHeight="1">
      <c r="A1418" s="2" t="s">
        <v>11</v>
      </c>
      <c r="B1418" s="1" t="s">
        <v>369</v>
      </c>
      <c r="C1418" s="2" t="s">
        <v>29</v>
      </c>
      <c r="D1418" s="2" t="s">
        <v>370</v>
      </c>
      <c r="E1418" s="3" t="str">
        <f t="shared" si="274"/>
        <v>https://oknesset.org/committee/meeting/14026/</v>
      </c>
    </row>
    <row r="1419" ht="14.25" customHeight="1">
      <c r="A1419" s="2" t="s">
        <v>95</v>
      </c>
      <c r="B1419" s="1" t="s">
        <v>369</v>
      </c>
      <c r="C1419" s="2" t="s">
        <v>29</v>
      </c>
      <c r="D1419" s="2" t="s">
        <v>370</v>
      </c>
      <c r="E1419" s="3" t="str">
        <f t="shared" si="274"/>
        <v>https://oknesset.org/committee/meeting/14026/</v>
      </c>
    </row>
    <row r="1420" ht="14.25" customHeight="1">
      <c r="A1420" s="2" t="s">
        <v>9</v>
      </c>
      <c r="B1420" s="1" t="s">
        <v>369</v>
      </c>
      <c r="C1420" s="2" t="s">
        <v>45</v>
      </c>
      <c r="D1420" s="2" t="s">
        <v>371</v>
      </c>
      <c r="E1420" s="3" t="str">
        <f t="shared" ref="E1420:E1421" si="275">HYPERLINK("https://oknesset.org/committee/meeting/14122/","https://oknesset.org/committee/meeting/14122/")</f>
        <v>https://oknesset.org/committee/meeting/14122/</v>
      </c>
    </row>
    <row r="1421" ht="14.25" customHeight="1">
      <c r="A1421" s="2" t="s">
        <v>237</v>
      </c>
      <c r="B1421" s="1" t="s">
        <v>369</v>
      </c>
      <c r="C1421" s="2" t="s">
        <v>45</v>
      </c>
      <c r="D1421" s="2" t="s">
        <v>371</v>
      </c>
      <c r="E1421" s="3" t="str">
        <f t="shared" si="275"/>
        <v>https://oknesset.org/committee/meeting/14122/</v>
      </c>
    </row>
    <row r="1422" ht="14.25" customHeight="1">
      <c r="A1422" s="2" t="s">
        <v>40</v>
      </c>
      <c r="B1422" s="1" t="s">
        <v>369</v>
      </c>
      <c r="C1422" s="2" t="s">
        <v>29</v>
      </c>
      <c r="D1422" s="2" t="s">
        <v>370</v>
      </c>
      <c r="E1422" s="3" t="str">
        <f t="shared" ref="E1422:E1423" si="276">HYPERLINK("https://oknesset.org/committee/meeting/14026/","https://oknesset.org/committee/meeting/14026/")</f>
        <v>https://oknesset.org/committee/meeting/14026/</v>
      </c>
    </row>
    <row r="1423" ht="14.25" customHeight="1">
      <c r="A1423" s="2" t="s">
        <v>97</v>
      </c>
      <c r="B1423" s="1" t="s">
        <v>369</v>
      </c>
      <c r="C1423" s="2" t="s">
        <v>29</v>
      </c>
      <c r="D1423" s="2" t="s">
        <v>370</v>
      </c>
      <c r="E1423" s="3" t="str">
        <f t="shared" si="276"/>
        <v>https://oknesset.org/committee/meeting/14026/</v>
      </c>
    </row>
    <row r="1424" ht="14.25" customHeight="1">
      <c r="A1424" s="2" t="s">
        <v>66</v>
      </c>
      <c r="B1424" s="1" t="s">
        <v>369</v>
      </c>
      <c r="C1424" s="2" t="s">
        <v>70</v>
      </c>
      <c r="D1424" s="2" t="s">
        <v>372</v>
      </c>
      <c r="E1424" s="3" t="str">
        <f t="shared" ref="E1424:E1425" si="277">HYPERLINK("https://oknesset.org/committee/meeting/14060/","https://oknesset.org/committee/meeting/14060/")</f>
        <v>https://oknesset.org/committee/meeting/14060/</v>
      </c>
    </row>
    <row r="1425" ht="14.25" customHeight="1">
      <c r="A1425" s="2" t="s">
        <v>82</v>
      </c>
      <c r="B1425" s="1" t="s">
        <v>369</v>
      </c>
      <c r="C1425" s="2" t="s">
        <v>70</v>
      </c>
      <c r="D1425" s="2" t="s">
        <v>372</v>
      </c>
      <c r="E1425" s="3" t="str">
        <f t="shared" si="277"/>
        <v>https://oknesset.org/committee/meeting/14060/</v>
      </c>
    </row>
    <row r="1426" ht="14.25" customHeight="1">
      <c r="A1426" s="2" t="s">
        <v>35</v>
      </c>
      <c r="B1426" s="1" t="s">
        <v>369</v>
      </c>
      <c r="C1426" s="2" t="s">
        <v>52</v>
      </c>
      <c r="D1426" s="2" t="s">
        <v>199</v>
      </c>
      <c r="E1426" s="3" t="str">
        <f t="shared" ref="E1426:E1436" si="278">HYPERLINK("https://oknesset.org/committee/meeting/14224/","https://oknesset.org/committee/meeting/14224/")</f>
        <v>https://oknesset.org/committee/meeting/14224/</v>
      </c>
    </row>
    <row r="1427" ht="14.25" customHeight="1">
      <c r="A1427" s="2" t="s">
        <v>34</v>
      </c>
      <c r="B1427" s="1" t="s">
        <v>369</v>
      </c>
      <c r="C1427" s="2" t="s">
        <v>52</v>
      </c>
      <c r="D1427" s="2" t="s">
        <v>199</v>
      </c>
      <c r="E1427" s="3" t="str">
        <f t="shared" si="278"/>
        <v>https://oknesset.org/committee/meeting/14224/</v>
      </c>
    </row>
    <row r="1428" ht="14.25" customHeight="1">
      <c r="A1428" s="2" t="s">
        <v>54</v>
      </c>
      <c r="B1428" s="1" t="s">
        <v>369</v>
      </c>
      <c r="C1428" s="2" t="s">
        <v>52</v>
      </c>
      <c r="D1428" s="2" t="s">
        <v>199</v>
      </c>
      <c r="E1428" s="3" t="str">
        <f t="shared" si="278"/>
        <v>https://oknesset.org/committee/meeting/14224/</v>
      </c>
    </row>
    <row r="1429" ht="14.25" customHeight="1">
      <c r="A1429" s="2" t="s">
        <v>57</v>
      </c>
      <c r="B1429" s="1" t="s">
        <v>369</v>
      </c>
      <c r="C1429" s="2" t="s">
        <v>52</v>
      </c>
      <c r="D1429" s="2" t="s">
        <v>199</v>
      </c>
      <c r="E1429" s="3" t="str">
        <f t="shared" si="278"/>
        <v>https://oknesset.org/committee/meeting/14224/</v>
      </c>
    </row>
    <row r="1430" ht="14.25" customHeight="1">
      <c r="A1430" s="2" t="s">
        <v>64</v>
      </c>
      <c r="B1430" s="1" t="s">
        <v>369</v>
      </c>
      <c r="C1430" s="2" t="s">
        <v>52</v>
      </c>
      <c r="D1430" s="2" t="s">
        <v>199</v>
      </c>
      <c r="E1430" s="3" t="str">
        <f t="shared" si="278"/>
        <v>https://oknesset.org/committee/meeting/14224/</v>
      </c>
    </row>
    <row r="1431" ht="14.25" customHeight="1">
      <c r="A1431" s="2" t="s">
        <v>16</v>
      </c>
      <c r="B1431" s="1" t="s">
        <v>369</v>
      </c>
      <c r="C1431" s="2" t="s">
        <v>52</v>
      </c>
      <c r="D1431" s="2" t="s">
        <v>199</v>
      </c>
      <c r="E1431" s="3" t="str">
        <f t="shared" si="278"/>
        <v>https://oknesset.org/committee/meeting/14224/</v>
      </c>
    </row>
    <row r="1432" ht="14.25" customHeight="1">
      <c r="A1432" s="2" t="s">
        <v>17</v>
      </c>
      <c r="B1432" s="1" t="s">
        <v>369</v>
      </c>
      <c r="C1432" s="2" t="s">
        <v>52</v>
      </c>
      <c r="D1432" s="2" t="s">
        <v>199</v>
      </c>
      <c r="E1432" s="3" t="str">
        <f t="shared" si="278"/>
        <v>https://oknesset.org/committee/meeting/14224/</v>
      </c>
    </row>
    <row r="1433" ht="14.25" customHeight="1">
      <c r="A1433" s="2" t="s">
        <v>108</v>
      </c>
      <c r="B1433" s="1" t="s">
        <v>369</v>
      </c>
      <c r="C1433" s="2" t="s">
        <v>52</v>
      </c>
      <c r="D1433" s="2" t="s">
        <v>199</v>
      </c>
      <c r="E1433" s="3" t="str">
        <f t="shared" si="278"/>
        <v>https://oknesset.org/committee/meeting/14224/</v>
      </c>
    </row>
    <row r="1434" ht="14.25" customHeight="1">
      <c r="A1434" s="2" t="s">
        <v>168</v>
      </c>
      <c r="B1434" s="1" t="s">
        <v>369</v>
      </c>
      <c r="C1434" s="2" t="s">
        <v>52</v>
      </c>
      <c r="D1434" s="2" t="s">
        <v>199</v>
      </c>
      <c r="E1434" s="3" t="str">
        <f t="shared" si="278"/>
        <v>https://oknesset.org/committee/meeting/14224/</v>
      </c>
    </row>
    <row r="1435" ht="14.25" customHeight="1">
      <c r="A1435" s="2" t="s">
        <v>20</v>
      </c>
      <c r="B1435" s="1" t="s">
        <v>369</v>
      </c>
      <c r="C1435" s="2" t="s">
        <v>52</v>
      </c>
      <c r="D1435" s="2" t="s">
        <v>199</v>
      </c>
      <c r="E1435" s="3" t="str">
        <f t="shared" si="278"/>
        <v>https://oknesset.org/committee/meeting/14224/</v>
      </c>
    </row>
    <row r="1436" ht="14.25" customHeight="1">
      <c r="A1436" s="2" t="s">
        <v>21</v>
      </c>
      <c r="B1436" s="1" t="s">
        <v>369</v>
      </c>
      <c r="C1436" s="2" t="s">
        <v>52</v>
      </c>
      <c r="D1436" s="2" t="s">
        <v>199</v>
      </c>
      <c r="E1436" s="3" t="str">
        <f t="shared" si="278"/>
        <v>https://oknesset.org/committee/meeting/14224/</v>
      </c>
    </row>
    <row r="1437" ht="14.25" customHeight="1">
      <c r="A1437" s="2" t="s">
        <v>130</v>
      </c>
      <c r="B1437" s="1" t="s">
        <v>369</v>
      </c>
      <c r="C1437" s="2" t="s">
        <v>29</v>
      </c>
      <c r="D1437" s="2" t="s">
        <v>370</v>
      </c>
      <c r="E1437" s="3" t="str">
        <f t="shared" ref="E1437:E1438" si="279">HYPERLINK("https://oknesset.org/committee/meeting/14026/","https://oknesset.org/committee/meeting/14026/")</f>
        <v>https://oknesset.org/committee/meeting/14026/</v>
      </c>
    </row>
    <row r="1438" ht="14.25" customHeight="1">
      <c r="A1438" s="2" t="s">
        <v>104</v>
      </c>
      <c r="B1438" s="1" t="s">
        <v>369</v>
      </c>
      <c r="C1438" s="2" t="s">
        <v>29</v>
      </c>
      <c r="D1438" s="2" t="s">
        <v>370</v>
      </c>
      <c r="E1438" s="3" t="str">
        <f t="shared" si="279"/>
        <v>https://oknesset.org/committee/meeting/14026/</v>
      </c>
    </row>
    <row r="1439" ht="14.25" customHeight="1">
      <c r="A1439" s="2" t="s">
        <v>73</v>
      </c>
      <c r="B1439" s="1" t="s">
        <v>369</v>
      </c>
      <c r="C1439" s="2" t="s">
        <v>45</v>
      </c>
      <c r="D1439" s="2" t="s">
        <v>371</v>
      </c>
      <c r="E1439" s="3" t="str">
        <f t="shared" ref="E1439:E1440" si="280">HYPERLINK("https://oknesset.org/committee/meeting/14122/","https://oknesset.org/committee/meeting/14122/")</f>
        <v>https://oknesset.org/committee/meeting/14122/</v>
      </c>
    </row>
    <row r="1440" ht="14.25" customHeight="1">
      <c r="A1440" s="2" t="s">
        <v>15</v>
      </c>
      <c r="B1440" s="1" t="s">
        <v>369</v>
      </c>
      <c r="C1440" s="2" t="s">
        <v>45</v>
      </c>
      <c r="D1440" s="2" t="s">
        <v>371</v>
      </c>
      <c r="E1440" s="3" t="str">
        <f t="shared" si="280"/>
        <v>https://oknesset.org/committee/meeting/14122/</v>
      </c>
    </row>
    <row r="1441" ht="14.25" customHeight="1">
      <c r="A1441" s="2" t="s">
        <v>17</v>
      </c>
      <c r="B1441" s="1" t="s">
        <v>369</v>
      </c>
      <c r="C1441" s="2" t="s">
        <v>29</v>
      </c>
      <c r="D1441" s="2" t="s">
        <v>370</v>
      </c>
      <c r="E1441" s="3" t="str">
        <f>HYPERLINK("https://oknesset.org/committee/meeting/14026/","https://oknesset.org/committee/meeting/14026/")</f>
        <v>https://oknesset.org/committee/meeting/14026/</v>
      </c>
    </row>
    <row r="1442" ht="14.25" customHeight="1">
      <c r="A1442" s="2" t="s">
        <v>126</v>
      </c>
      <c r="B1442" s="1" t="s">
        <v>369</v>
      </c>
      <c r="C1442" s="2" t="s">
        <v>70</v>
      </c>
      <c r="D1442" s="2" t="s">
        <v>372</v>
      </c>
      <c r="E1442" s="3" t="str">
        <f t="shared" ref="E1442:E1448" si="281">HYPERLINK("https://oknesset.org/committee/meeting/14060/","https://oknesset.org/committee/meeting/14060/")</f>
        <v>https://oknesset.org/committee/meeting/14060/</v>
      </c>
    </row>
    <row r="1443" ht="14.25" customHeight="1">
      <c r="A1443" s="2" t="s">
        <v>79</v>
      </c>
      <c r="B1443" s="1" t="s">
        <v>369</v>
      </c>
      <c r="C1443" s="2" t="s">
        <v>70</v>
      </c>
      <c r="D1443" s="2" t="s">
        <v>372</v>
      </c>
      <c r="E1443" s="3" t="str">
        <f t="shared" si="281"/>
        <v>https://oknesset.org/committee/meeting/14060/</v>
      </c>
    </row>
    <row r="1444" ht="14.25" customHeight="1">
      <c r="A1444" s="2" t="s">
        <v>61</v>
      </c>
      <c r="B1444" s="1" t="s">
        <v>369</v>
      </c>
      <c r="C1444" s="2" t="s">
        <v>70</v>
      </c>
      <c r="D1444" s="2" t="s">
        <v>372</v>
      </c>
      <c r="E1444" s="3" t="str">
        <f t="shared" si="281"/>
        <v>https://oknesset.org/committee/meeting/14060/</v>
      </c>
    </row>
    <row r="1445" ht="14.25" customHeight="1">
      <c r="A1445" s="2" t="s">
        <v>134</v>
      </c>
      <c r="B1445" s="1" t="s">
        <v>369</v>
      </c>
      <c r="C1445" s="2" t="s">
        <v>70</v>
      </c>
      <c r="D1445" s="2" t="s">
        <v>372</v>
      </c>
      <c r="E1445" s="3" t="str">
        <f t="shared" si="281"/>
        <v>https://oknesset.org/committee/meeting/14060/</v>
      </c>
    </row>
    <row r="1446" ht="14.25" customHeight="1">
      <c r="A1446" s="2" t="s">
        <v>127</v>
      </c>
      <c r="B1446" s="1" t="s">
        <v>369</v>
      </c>
      <c r="C1446" s="2" t="s">
        <v>70</v>
      </c>
      <c r="D1446" s="2" t="s">
        <v>372</v>
      </c>
      <c r="E1446" s="3" t="str">
        <f t="shared" si="281"/>
        <v>https://oknesset.org/committee/meeting/14060/</v>
      </c>
    </row>
    <row r="1447" ht="14.25" customHeight="1">
      <c r="A1447" s="2" t="s">
        <v>84</v>
      </c>
      <c r="B1447" s="1" t="s">
        <v>369</v>
      </c>
      <c r="C1447" s="2" t="s">
        <v>70</v>
      </c>
      <c r="D1447" s="2" t="s">
        <v>372</v>
      </c>
      <c r="E1447" s="3" t="str">
        <f t="shared" si="281"/>
        <v>https://oknesset.org/committee/meeting/14060/</v>
      </c>
    </row>
    <row r="1448" ht="14.25" customHeight="1">
      <c r="A1448" s="2" t="s">
        <v>106</v>
      </c>
      <c r="B1448" s="1" t="s">
        <v>369</v>
      </c>
      <c r="C1448" s="2" t="s">
        <v>70</v>
      </c>
      <c r="D1448" s="2" t="s">
        <v>372</v>
      </c>
      <c r="E1448" s="3" t="str">
        <f t="shared" si="281"/>
        <v>https://oknesset.org/committee/meeting/14060/</v>
      </c>
    </row>
    <row r="1449" ht="14.25" customHeight="1">
      <c r="A1449" s="2" t="s">
        <v>44</v>
      </c>
      <c r="B1449" s="1" t="s">
        <v>369</v>
      </c>
      <c r="C1449" s="2" t="s">
        <v>29</v>
      </c>
      <c r="D1449" s="2" t="s">
        <v>370</v>
      </c>
      <c r="E1449" s="3" t="str">
        <f t="shared" ref="E1449:E1455" si="282">HYPERLINK("https://oknesset.org/committee/meeting/14026/","https://oknesset.org/committee/meeting/14026/")</f>
        <v>https://oknesset.org/committee/meeting/14026/</v>
      </c>
    </row>
    <row r="1450" ht="14.25" customHeight="1">
      <c r="A1450" s="2" t="s">
        <v>68</v>
      </c>
      <c r="B1450" s="1" t="s">
        <v>369</v>
      </c>
      <c r="C1450" s="2" t="s">
        <v>29</v>
      </c>
      <c r="D1450" s="2" t="s">
        <v>370</v>
      </c>
      <c r="E1450" s="3" t="str">
        <f t="shared" si="282"/>
        <v>https://oknesset.org/committee/meeting/14026/</v>
      </c>
    </row>
    <row r="1451" ht="14.25" customHeight="1">
      <c r="A1451" s="2" t="s">
        <v>58</v>
      </c>
      <c r="B1451" s="1" t="s">
        <v>369</v>
      </c>
      <c r="C1451" s="2" t="s">
        <v>29</v>
      </c>
      <c r="D1451" s="2" t="s">
        <v>370</v>
      </c>
      <c r="E1451" s="3" t="str">
        <f t="shared" si="282"/>
        <v>https://oknesset.org/committee/meeting/14026/</v>
      </c>
    </row>
    <row r="1452" ht="14.25" customHeight="1">
      <c r="A1452" s="2" t="s">
        <v>19</v>
      </c>
      <c r="B1452" s="1" t="s">
        <v>369</v>
      </c>
      <c r="C1452" s="2" t="s">
        <v>29</v>
      </c>
      <c r="D1452" s="2" t="s">
        <v>370</v>
      </c>
      <c r="E1452" s="3" t="str">
        <f t="shared" si="282"/>
        <v>https://oknesset.org/committee/meeting/14026/</v>
      </c>
    </row>
    <row r="1453" ht="14.25" customHeight="1">
      <c r="A1453" s="2" t="s">
        <v>20</v>
      </c>
      <c r="B1453" s="1" t="s">
        <v>369</v>
      </c>
      <c r="C1453" s="2" t="s">
        <v>29</v>
      </c>
      <c r="D1453" s="2" t="s">
        <v>370</v>
      </c>
      <c r="E1453" s="3" t="str">
        <f t="shared" si="282"/>
        <v>https://oknesset.org/committee/meeting/14026/</v>
      </c>
    </row>
    <row r="1454" ht="14.25" customHeight="1">
      <c r="A1454" s="2" t="s">
        <v>21</v>
      </c>
      <c r="B1454" s="1" t="s">
        <v>369</v>
      </c>
      <c r="C1454" s="2" t="s">
        <v>29</v>
      </c>
      <c r="D1454" s="2" t="s">
        <v>370</v>
      </c>
      <c r="E1454" s="3" t="str">
        <f t="shared" si="282"/>
        <v>https://oknesset.org/committee/meeting/14026/</v>
      </c>
    </row>
    <row r="1455" ht="14.25" customHeight="1">
      <c r="A1455" s="2" t="s">
        <v>126</v>
      </c>
      <c r="B1455" s="1" t="s">
        <v>369</v>
      </c>
      <c r="C1455" s="2" t="s">
        <v>29</v>
      </c>
      <c r="D1455" s="2" t="s">
        <v>370</v>
      </c>
      <c r="E1455" s="3" t="str">
        <f t="shared" si="282"/>
        <v>https://oknesset.org/committee/meeting/14026/</v>
      </c>
    </row>
    <row r="1456" ht="14.25" customHeight="1">
      <c r="A1456" s="2" t="s">
        <v>104</v>
      </c>
      <c r="B1456" s="1" t="s">
        <v>369</v>
      </c>
      <c r="C1456" s="2" t="s">
        <v>70</v>
      </c>
      <c r="D1456" s="2" t="s">
        <v>372</v>
      </c>
      <c r="E1456" s="3" t="str">
        <f t="shared" ref="E1456:E1458" si="283">HYPERLINK("https://oknesset.org/committee/meeting/14060/","https://oknesset.org/committee/meeting/14060/")</f>
        <v>https://oknesset.org/committee/meeting/14060/</v>
      </c>
    </row>
    <row r="1457" ht="14.25" customHeight="1">
      <c r="A1457" s="2" t="s">
        <v>28</v>
      </c>
      <c r="B1457" s="1" t="s">
        <v>369</v>
      </c>
      <c r="C1457" s="2" t="s">
        <v>70</v>
      </c>
      <c r="D1457" s="2" t="s">
        <v>372</v>
      </c>
      <c r="E1457" s="3" t="str">
        <f t="shared" si="283"/>
        <v>https://oknesset.org/committee/meeting/14060/</v>
      </c>
    </row>
    <row r="1458" ht="14.25" customHeight="1">
      <c r="A1458" s="2" t="s">
        <v>39</v>
      </c>
      <c r="B1458" s="1" t="s">
        <v>369</v>
      </c>
      <c r="C1458" s="2" t="s">
        <v>70</v>
      </c>
      <c r="D1458" s="2" t="s">
        <v>372</v>
      </c>
      <c r="E1458" s="3" t="str">
        <f t="shared" si="283"/>
        <v>https://oknesset.org/committee/meeting/14060/</v>
      </c>
    </row>
    <row r="1459" ht="14.25" customHeight="1">
      <c r="A1459" s="2" t="s">
        <v>66</v>
      </c>
      <c r="B1459" s="1" t="s">
        <v>369</v>
      </c>
      <c r="C1459" s="2" t="s">
        <v>45</v>
      </c>
      <c r="D1459" s="2" t="s">
        <v>371</v>
      </c>
      <c r="E1459" s="3" t="str">
        <f t="shared" ref="E1459:E1460" si="284">HYPERLINK("https://oknesset.org/committee/meeting/14122/","https://oknesset.org/committee/meeting/14122/")</f>
        <v>https://oknesset.org/committee/meeting/14122/</v>
      </c>
    </row>
    <row r="1460" ht="14.25" customHeight="1">
      <c r="A1460" s="2" t="s">
        <v>22</v>
      </c>
      <c r="B1460" s="1" t="s">
        <v>369</v>
      </c>
      <c r="C1460" s="2" t="s">
        <v>45</v>
      </c>
      <c r="D1460" s="2" t="s">
        <v>371</v>
      </c>
      <c r="E1460" s="3" t="str">
        <f t="shared" si="284"/>
        <v>https://oknesset.org/committee/meeting/14122/</v>
      </c>
    </row>
    <row r="1461" ht="14.25" customHeight="1">
      <c r="A1461" s="2" t="s">
        <v>35</v>
      </c>
      <c r="B1461" s="1" t="s">
        <v>369</v>
      </c>
      <c r="C1461" s="2" t="s">
        <v>29</v>
      </c>
      <c r="D1461" s="2" t="s">
        <v>370</v>
      </c>
      <c r="E1461" s="3" t="str">
        <f t="shared" ref="E1461:E1462" si="285">HYPERLINK("https://oknesset.org/committee/meeting/14026/","https://oknesset.org/committee/meeting/14026/")</f>
        <v>https://oknesset.org/committee/meeting/14026/</v>
      </c>
    </row>
    <row r="1462" ht="14.25" customHeight="1">
      <c r="A1462" s="2" t="s">
        <v>79</v>
      </c>
      <c r="B1462" s="1" t="s">
        <v>369</v>
      </c>
      <c r="C1462" s="2" t="s">
        <v>29</v>
      </c>
      <c r="D1462" s="2" t="s">
        <v>370</v>
      </c>
      <c r="E1462" s="3" t="str">
        <f t="shared" si="285"/>
        <v>https://oknesset.org/committee/meeting/14026/</v>
      </c>
    </row>
    <row r="1463" ht="14.25" customHeight="1">
      <c r="A1463" s="2" t="s">
        <v>126</v>
      </c>
      <c r="B1463" s="1" t="s">
        <v>373</v>
      </c>
      <c r="C1463" s="2" t="s">
        <v>52</v>
      </c>
      <c r="D1463" s="2" t="s">
        <v>374</v>
      </c>
      <c r="E1463" s="3" t="str">
        <f t="shared" ref="E1463:E1467" si="286">HYPERLINK("https://oknesset.org/committee/meeting/14223/","https://oknesset.org/committee/meeting/14223/")</f>
        <v>https://oknesset.org/committee/meeting/14223/</v>
      </c>
    </row>
    <row r="1464" ht="14.25" customHeight="1">
      <c r="A1464" s="2" t="s">
        <v>221</v>
      </c>
      <c r="B1464" s="1" t="s">
        <v>373</v>
      </c>
      <c r="C1464" s="2" t="s">
        <v>52</v>
      </c>
      <c r="D1464" s="2" t="s">
        <v>374</v>
      </c>
      <c r="E1464" s="3" t="str">
        <f t="shared" si="286"/>
        <v>https://oknesset.org/committee/meeting/14223/</v>
      </c>
    </row>
    <row r="1465" ht="14.25" customHeight="1">
      <c r="A1465" s="2" t="s">
        <v>15</v>
      </c>
      <c r="B1465" s="1" t="s">
        <v>373</v>
      </c>
      <c r="C1465" s="2" t="s">
        <v>52</v>
      </c>
      <c r="D1465" s="2" t="s">
        <v>374</v>
      </c>
      <c r="E1465" s="3" t="str">
        <f t="shared" si="286"/>
        <v>https://oknesset.org/committee/meeting/14223/</v>
      </c>
    </row>
    <row r="1466" ht="14.25" customHeight="1">
      <c r="A1466" s="2" t="s">
        <v>83</v>
      </c>
      <c r="B1466" s="1" t="s">
        <v>373</v>
      </c>
      <c r="C1466" s="2" t="s">
        <v>52</v>
      </c>
      <c r="D1466" s="2" t="s">
        <v>374</v>
      </c>
      <c r="E1466" s="3" t="str">
        <f t="shared" si="286"/>
        <v>https://oknesset.org/committee/meeting/14223/</v>
      </c>
    </row>
    <row r="1467" ht="14.25" customHeight="1">
      <c r="A1467" s="2" t="s">
        <v>108</v>
      </c>
      <c r="B1467" s="1" t="s">
        <v>373</v>
      </c>
      <c r="C1467" s="2" t="s">
        <v>52</v>
      </c>
      <c r="D1467" s="2" t="s">
        <v>374</v>
      </c>
      <c r="E1467" s="3" t="str">
        <f t="shared" si="286"/>
        <v>https://oknesset.org/committee/meeting/14223/</v>
      </c>
    </row>
    <row r="1468" ht="14.25" customHeight="1">
      <c r="A1468" s="2" t="s">
        <v>108</v>
      </c>
      <c r="B1468" s="1" t="s">
        <v>373</v>
      </c>
      <c r="C1468" s="2" t="s">
        <v>52</v>
      </c>
      <c r="D1468" s="2" t="s">
        <v>375</v>
      </c>
      <c r="E1468" s="3" t="str">
        <f>HYPERLINK("https://oknesset.org/committee/meeting/14222/","https://oknesset.org/committee/meeting/14222/")</f>
        <v>https://oknesset.org/committee/meeting/14222/</v>
      </c>
    </row>
    <row r="1469" ht="14.25" customHeight="1">
      <c r="A1469" s="2" t="s">
        <v>73</v>
      </c>
      <c r="B1469" s="1" t="s">
        <v>373</v>
      </c>
      <c r="C1469" s="2" t="s">
        <v>52</v>
      </c>
      <c r="D1469" s="2" t="s">
        <v>374</v>
      </c>
      <c r="E1469" s="3" t="str">
        <f>HYPERLINK("https://oknesset.org/committee/meeting/14223/","https://oknesset.org/committee/meeting/14223/")</f>
        <v>https://oknesset.org/committee/meeting/14223/</v>
      </c>
    </row>
    <row r="1470" ht="14.25" customHeight="1">
      <c r="A1470" s="2" t="s">
        <v>13</v>
      </c>
      <c r="B1470" s="1" t="s">
        <v>376</v>
      </c>
      <c r="C1470" s="2" t="s">
        <v>29</v>
      </c>
      <c r="D1470" s="2" t="s">
        <v>377</v>
      </c>
      <c r="E1470" s="3" t="str">
        <f>HYPERLINK("https://oknesset.org/committee/meeting/14467/","https://oknesset.org/committee/meeting/14467/")</f>
        <v>https://oknesset.org/committee/meeting/14467/</v>
      </c>
    </row>
    <row r="1471" ht="14.25" customHeight="1">
      <c r="A1471" s="2" t="s">
        <v>58</v>
      </c>
      <c r="B1471" s="1" t="s">
        <v>376</v>
      </c>
      <c r="C1471" s="2" t="s">
        <v>52</v>
      </c>
      <c r="D1471" s="2" t="s">
        <v>378</v>
      </c>
      <c r="E1471" s="3" t="str">
        <f t="shared" ref="E1471:E1473" si="287">HYPERLINK("https://oknesset.org/committee/meeting/14468/","https://oknesset.org/committee/meeting/14468/")</f>
        <v>https://oknesset.org/committee/meeting/14468/</v>
      </c>
    </row>
    <row r="1472" ht="14.25" customHeight="1">
      <c r="A1472" s="2" t="s">
        <v>127</v>
      </c>
      <c r="B1472" s="1" t="s">
        <v>376</v>
      </c>
      <c r="C1472" s="2" t="s">
        <v>52</v>
      </c>
      <c r="D1472" s="2" t="s">
        <v>378</v>
      </c>
      <c r="E1472" s="3" t="str">
        <f t="shared" si="287"/>
        <v>https://oknesset.org/committee/meeting/14468/</v>
      </c>
    </row>
    <row r="1473" ht="14.25" customHeight="1">
      <c r="A1473" s="2" t="s">
        <v>64</v>
      </c>
      <c r="B1473" s="1" t="s">
        <v>376</v>
      </c>
      <c r="C1473" s="2" t="s">
        <v>52</v>
      </c>
      <c r="D1473" s="2" t="s">
        <v>378</v>
      </c>
      <c r="E1473" s="3" t="str">
        <f t="shared" si="287"/>
        <v>https://oknesset.org/committee/meeting/14468/</v>
      </c>
    </row>
    <row r="1474" ht="14.25" customHeight="1">
      <c r="A1474" s="2" t="s">
        <v>72</v>
      </c>
      <c r="B1474" s="1" t="s">
        <v>379</v>
      </c>
      <c r="C1474" s="2" t="s">
        <v>29</v>
      </c>
      <c r="D1474" s="2" t="s">
        <v>380</v>
      </c>
      <c r="E1474" s="3" t="str">
        <f t="shared" ref="E1474:E1479" si="288">HYPERLINK("https://oknesset.org/committee/meeting/14466/","https://oknesset.org/committee/meeting/14466/")</f>
        <v>https://oknesset.org/committee/meeting/14466/</v>
      </c>
    </row>
    <row r="1475" ht="14.25" customHeight="1">
      <c r="A1475" s="2" t="s">
        <v>32</v>
      </c>
      <c r="B1475" s="1" t="s">
        <v>379</v>
      </c>
      <c r="C1475" s="2" t="s">
        <v>29</v>
      </c>
      <c r="D1475" s="2" t="s">
        <v>380</v>
      </c>
      <c r="E1475" s="3" t="str">
        <f t="shared" si="288"/>
        <v>https://oknesset.org/committee/meeting/14466/</v>
      </c>
    </row>
    <row r="1476" ht="14.25" customHeight="1">
      <c r="A1476" s="2" t="s">
        <v>10</v>
      </c>
      <c r="B1476" s="1" t="s">
        <v>379</v>
      </c>
      <c r="C1476" s="2" t="s">
        <v>29</v>
      </c>
      <c r="D1476" s="2" t="s">
        <v>380</v>
      </c>
      <c r="E1476" s="3" t="str">
        <f t="shared" si="288"/>
        <v>https://oknesset.org/committee/meeting/14466/</v>
      </c>
    </row>
    <row r="1477" ht="14.25" customHeight="1">
      <c r="A1477" s="2" t="s">
        <v>35</v>
      </c>
      <c r="B1477" s="1" t="s">
        <v>379</v>
      </c>
      <c r="C1477" s="2" t="s">
        <v>29</v>
      </c>
      <c r="D1477" s="2" t="s">
        <v>380</v>
      </c>
      <c r="E1477" s="3" t="str">
        <f t="shared" si="288"/>
        <v>https://oknesset.org/committee/meeting/14466/</v>
      </c>
    </row>
    <row r="1478" ht="14.25" customHeight="1">
      <c r="A1478" s="2" t="s">
        <v>11</v>
      </c>
      <c r="B1478" s="1" t="s">
        <v>379</v>
      </c>
      <c r="C1478" s="2" t="s">
        <v>29</v>
      </c>
      <c r="D1478" s="2" t="s">
        <v>380</v>
      </c>
      <c r="E1478" s="3" t="str">
        <f t="shared" si="288"/>
        <v>https://oknesset.org/committee/meeting/14466/</v>
      </c>
    </row>
    <row r="1479" ht="14.25" customHeight="1">
      <c r="A1479" s="2" t="s">
        <v>95</v>
      </c>
      <c r="B1479" s="1" t="s">
        <v>379</v>
      </c>
      <c r="C1479" s="2" t="s">
        <v>29</v>
      </c>
      <c r="D1479" s="2" t="s">
        <v>380</v>
      </c>
      <c r="E1479" s="3" t="str">
        <f t="shared" si="288"/>
        <v>https://oknesset.org/committee/meeting/14466/</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14.38"/>
  </cols>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sheetData>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88.38"/>
    <col customWidth="1" min="2" max="2" width="17.63"/>
  </cols>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sheetData>
  <drawing r:id="rId2"/>
</worksheet>
</file>