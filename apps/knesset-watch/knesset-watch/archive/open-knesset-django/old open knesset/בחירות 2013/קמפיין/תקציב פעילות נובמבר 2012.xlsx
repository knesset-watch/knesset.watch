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ריכוז" sheetId="1" r:id="rId4"/>
    <sheet state="visible" name="תקציב כנסת פתוחה - נובמבר 2012" sheetId="2" r:id="rId5"/>
    <sheet state="visible" name="תקציב בחירות לכנסת ה19" sheetId="3" r:id="rId6"/>
    <sheet state="visible" name="שימוש בתרומות" sheetId="4" r:id="rId7"/>
    <sheet state="visible" name="טיוטה" sheetId="5" r:id="rId8"/>
  </sheets>
  <definedNames/>
  <calcPr/>
</workbook>
</file>

<file path=xl/sharedStrings.xml><?xml version="1.0" encoding="utf-8"?>
<sst xmlns="http://schemas.openxmlformats.org/spreadsheetml/2006/main" count="89" uniqueCount="72">
  <si>
    <t>ריכוז תוספת תקציבית נובמבר 2012</t>
  </si>
  <si>
    <t>למשך</t>
  </si>
  <si>
    <t>סך הכל</t>
  </si>
  <si>
    <t>פרויקט</t>
  </si>
  <si>
    <t>חצי שנה</t>
  </si>
  <si>
    <t>כנסת פתוחה</t>
  </si>
  <si>
    <t>שלושה חודשים</t>
  </si>
  <si>
    <t>בחירות</t>
  </si>
  <si>
    <t>תלוי...</t>
  </si>
  <si>
    <t>משאבים</t>
  </si>
  <si>
    <t>חותמים מחדש</t>
  </si>
  <si>
    <t>תרומות שהתקבלו</t>
  </si>
  <si>
    <t>קרן היזמות יד הנדיב</t>
  </si>
  <si>
    <t>תרומות בסבירות &gt;80%</t>
  </si>
  <si>
    <t>עורו, רודיום, תורמים פרטיים</t>
  </si>
  <si>
    <t>נותר לגייס בסבירות &lt;80%</t>
  </si>
  <si>
    <t>כנסת פתוחה - חצי שנה 11/2012 - 4/2013</t>
  </si>
  <si>
    <t>הערה</t>
  </si>
  <si>
    <t>סכום</t>
  </si>
  <si>
    <t>תאור</t>
  </si>
  <si>
    <t>בני בודק תמיכה מאמזון</t>
  </si>
  <si>
    <t>ארוח שרתים, אמזון</t>
  </si>
  <si>
    <t>מתבסס על הצעת מחיר ממאיר קריחלי . שאקל שמתנדב כבר שנים</t>
  </si>
  <si>
    <t>מפתח מוביל</t>
  </si>
  <si>
    <t>הערכה גסה מאוד, אם יהיה צורך בעוד יובל אחראי לגייס ולהפחית ממקומות אחרים</t>
  </si>
  <si>
    <t>עיצוב ממשק וגרפי</t>
  </si>
  <si>
    <t>סך הכל :</t>
  </si>
  <si>
    <t>מקור</t>
  </si>
  <si>
    <t>תקציב הבחירות לכנסת ה-19 - 11/2012 - 1/2013</t>
  </si>
  <si>
    <t>מסמך מפורט כאן https://docs.google.com/document/d/1QuCKAgoF2d6bMaxCId7crnJBWx4E1JWGEKf6S7kq21Q/edit</t>
  </si>
  <si>
    <t>מערכה תקשורתית</t>
  </si>
  <si>
    <t>פיתוח קוד:</t>
  </si>
  <si>
    <t>http://okqa.herokuapp.com</t>
  </si>
  <si>
    <t>מערכת שו"ת למפלגות</t>
  </si>
  <si>
    <t>עיצוב ושת"פ עם "מתנדבים"</t>
  </si>
  <si>
    <t>אג'נדות</t>
  </si>
  <si>
    <t>פותחים את המפלגות ואת הפריימריז</t>
  </si>
  <si>
    <t>סך הכל פיתוח קוד:</t>
  </si>
  <si>
    <t>יעוץ משפטי</t>
  </si>
  <si>
    <t>שימוש בתרומות</t>
  </si>
  <si>
    <t>נותר לשימוש</t>
  </si>
  <si>
    <t>לשימוש תוכנית זו</t>
  </si>
  <si>
    <t xml:space="preserve">לפני </t>
  </si>
  <si>
    <t>שם תורם</t>
  </si>
  <si>
    <t>200 נוספים מיד הנתיב</t>
  </si>
  <si>
    <t>נותר לגייס</t>
  </si>
  <si>
    <t>הערות</t>
  </si>
  <si>
    <t>פעילות</t>
  </si>
  <si>
    <t>300,000 פחות 5% תקורה של חותמים מחדש. כמו כן, הכסף הזה לא יכול לעבור דרך הסדנא אלא ישירות מחותמים מחדש להוצאות שלנו</t>
  </si>
  <si>
    <t>שרתים לכנסת פתוחה</t>
  </si>
  <si>
    <t>עקב הגידול בכמות הכניסות שכבר החל להצטבר. אני עובד מול אמיר מור ועפרי על זה.</t>
  </si>
  <si>
    <t>מפתח מוביל לכנסת פתוחה</t>
  </si>
  <si>
    <t>20000 לחודש כפול 6 חודשים. מאיר קירחלי הביע התעניינות ועפרי מאוד מעוניין בו. יכול לתת 4 ימים בשבוע על פי שכר של 25000 למשרה מלאה (עלות שכר), גם יכתוב קוד וגם יבנה תשתית לניהול קהילת המפתחים בצורה יותר טובה. כמו כן- יתמוך בעיצוב מחדש</t>
  </si>
  <si>
    <t>עיצוב מחדש של כנסת פתוחה</t>
  </si>
  <si>
    <t>הערכת מחיר. שכירת סטודיו עיצוב לסיום העיצוב מחדש עד לתחילת הכנסת ה-19 (אמצע פברואר 2013). המטרה היא שהאתר יושק עם העיצוב החדש במועד הזה. פיתוח מלווה- כאמור בסעיף נפרד למעלה.</t>
  </si>
  <si>
    <t>קמפיין בחירות 2013 של הסדנא</t>
  </si>
  <si>
    <t>שכירת מנהל קמפיין, מעצב, רכישת מדיות וכו' לניהול קמפיין מיטבי בהתאם למסמך https://docs.google.com/a/hasadna.org.il/document/d/1QuCKAgoF2d6bMaxCId7crnJBWx4E1JWGEKf6S7kq21Q/edit  במידה ויגויס עוד כסף מהקרן החדשה- הוא יושקע גם כן בקמפיין. סך הסכום תלוי גם בעלות הסופית של העיצוב מחדש של כנסת פתוחה, ברגע שתהיה הצעת מחיר נהיה חכמים יותר.</t>
  </si>
  <si>
    <t>יד הנדיב</t>
  </si>
  <si>
    <t xml:space="preserve">קרן היזמות של יד הנדיב, במסגרת המענק האחרון שקיבלנו שייועד בעיקר לרשויות מקומיות פתוחות. הקרן לאו דווקא מיועד לזה, אלא לפרויקטים חדשים. </t>
  </si>
  <si>
    <t>ווידג'ט אג'נדות (בהובלת מושון ויהונתן דניב)</t>
  </si>
  <si>
    <t xml:space="preserve">7100-12000 </t>
  </si>
  <si>
    <t>יהונתן כבר מסיים להכין את זה ויקבל כ-7100 ש"ח מאיתנו. מושון צריך להודיע לי אם הוא ייקח על זה כסף ואם כן אז כמה.</t>
  </si>
  <si>
    <t>אפליקציית אג'נדות משותפת עם מתפקדים</t>
  </si>
  <si>
    <t>0-5000</t>
  </si>
  <si>
    <t>הערכה ראשונית מאוד, רק למקרה שלא יספיקו להכין בזמן בהתנדבות. אלון אנתין מוביל את זה.</t>
  </si>
  <si>
    <t>אתר שאלות ותשובות</t>
  </si>
  <si>
    <t>במידה והוועד מחליט שהפרויקט יתוקצב על ידי הסדנא, בהתאם לנוהל קליטת פרויקט, צריך לחשוב בכמה לתמחר עכשיו. זהו פרויקט רלוונטי כמובן לבחירות ולכן הדחיפות. לדעתי שווה לנסות להביא במקביל חלק מהכסף דרך שיתופי פעולה.</t>
  </si>
  <si>
    <t>פרויקט פתיחת מפלגות ופריימריז</t>
  </si>
  <si>
    <t>תחרות משותפת עם יד הנדיב, דה מרקר, המכון הישראלי לדמוקרטיה. שני האחרונים יוסיפו בתקווה עוד כסף לסכום. הגשת אפליקציות עד 15.12</t>
  </si>
  <si>
    <t>תחרות אפליקציות בחירות כלליות</t>
  </si>
  <si>
    <t>כ-105000</t>
  </si>
  <si>
    <t>אופציה- תחרות אפליקציות עם יד הנדיב, המכון הישראלי לדמוקרטיה ודה מרקר (פרטים בהמשך)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</si>
</sst>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font>
    <font>
      <sz val="14.0"/>
    </font>
    <font>
      <b/>
      <sz val="12.0"/>
    </font>
    <font/>
    <font>
      <b/>
      <sz val="10.0"/>
    </font>
    <font>
      <b/>
      <sz val="14.0"/>
    </font>
    <font>
      <u/>
      <color rgb="FF0000FF"/>
    </font>
  </fonts>
  <fills count="3">
    <fill>
      <patternFill patternType="none"/>
    </fill>
    <fill>
      <patternFill patternType="lightGray"/>
    </fill>
    <fill>
      <patternFill patternType="solid">
        <fgColor rgb="FFFFFF00"/>
        <bgColor rgb="FFFFFF00"/>
      </patternFill>
    </fill>
  </fills>
  <borders count="10">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1"/>
    </xf>
    <xf borderId="0" fillId="0" fontId="1" numFmtId="0" xfId="0" applyAlignment="1" applyFont="1">
      <alignment horizontal="center" readingOrder="0" shrinkToFit="0" vertical="bottom" wrapText="1"/>
    </xf>
    <xf borderId="0" fillId="0" fontId="2" numFmtId="0" xfId="0" applyAlignment="1" applyFont="1">
      <alignment readingOrder="0" shrinkToFit="0" wrapText="1"/>
    </xf>
    <xf borderId="0" fillId="0" fontId="2" numFmtId="0" xfId="0" applyAlignment="1" applyFont="1">
      <alignment horizontal="center" readingOrder="0" shrinkToFit="0" vertical="bottom" wrapText="1"/>
    </xf>
    <xf borderId="0" fillId="0" fontId="3" numFmtId="0" xfId="0" applyAlignment="1" applyFont="1">
      <alignment readingOrder="0" shrinkToFit="0" wrapText="1"/>
    </xf>
    <xf borderId="0" fillId="0" fontId="3" numFmtId="164" xfId="0" applyAlignment="1" applyFont="1" applyNumberFormat="1">
      <alignment horizontal="center" shrinkToFit="0" vertical="bottom" wrapText="1"/>
    </xf>
    <xf borderId="0" fillId="0" fontId="4" numFmtId="164" xfId="0" applyAlignment="1" applyFont="1" applyNumberFormat="1">
      <alignment horizontal="center" shrinkToFit="0" vertical="bottom" wrapText="1"/>
    </xf>
    <xf borderId="0" fillId="0" fontId="3" numFmtId="0" xfId="0" applyAlignment="1" applyFont="1">
      <alignment horizontal="left" readingOrder="0" shrinkToFit="0" vertical="bottom" wrapText="1"/>
    </xf>
    <xf borderId="0" fillId="0" fontId="4" numFmtId="0" xfId="0" applyAlignment="1" applyFont="1">
      <alignment readingOrder="0" shrinkToFit="0" wrapText="1"/>
    </xf>
    <xf borderId="0" fillId="0" fontId="3" numFmtId="164" xfId="0" applyAlignment="1" applyFont="1" applyNumberFormat="1">
      <alignment horizontal="center" readingOrder="0" shrinkToFit="0" vertical="bottom" wrapText="1"/>
    </xf>
    <xf borderId="0" fillId="0" fontId="3" numFmtId="0" xfId="0" applyAlignment="1" applyFont="1">
      <alignment horizontal="center" shrinkToFit="0" vertical="bottom" wrapText="1"/>
    </xf>
    <xf borderId="0" fillId="0" fontId="5" numFmtId="0" xfId="0" applyAlignment="1" applyFont="1">
      <alignment horizontal="center" readingOrder="0" shrinkToFit="0" vertical="bottom" wrapText="1"/>
    </xf>
    <xf borderId="1" fillId="0" fontId="3" numFmtId="0" xfId="0" applyAlignment="1" applyBorder="1" applyFont="1">
      <alignment shrinkToFit="0" wrapText="1"/>
    </xf>
    <xf borderId="1" fillId="0" fontId="4" numFmtId="0" xfId="0" applyAlignment="1" applyBorder="1" applyFont="1">
      <alignment readingOrder="0" shrinkToFit="0" wrapText="1"/>
    </xf>
    <xf borderId="1" fillId="0" fontId="4" numFmtId="0" xfId="0" applyAlignment="1" applyBorder="1" applyFont="1">
      <alignment horizontal="center" readingOrder="0" shrinkToFit="0" vertical="bottom" wrapText="1"/>
    </xf>
    <xf borderId="2" fillId="0" fontId="3" numFmtId="0" xfId="0" applyAlignment="1" applyBorder="1" applyFont="1">
      <alignment shrinkToFit="0" wrapText="1"/>
    </xf>
    <xf borderId="3" fillId="0" fontId="3" numFmtId="0" xfId="0" applyAlignment="1" applyBorder="1" applyFont="1">
      <alignment horizontal="right" readingOrder="2" shrinkToFit="0" vertical="bottom" wrapText="1"/>
    </xf>
    <xf borderId="3" fillId="0" fontId="3" numFmtId="164" xfId="0" applyAlignment="1" applyBorder="1" applyFont="1" applyNumberFormat="1">
      <alignment horizontal="center" readingOrder="2" shrinkToFit="0" vertical="bottom" wrapText="1"/>
    </xf>
    <xf borderId="4" fillId="0" fontId="3" numFmtId="0" xfId="0" applyAlignment="1" applyBorder="1" applyFont="1">
      <alignment horizontal="right" readingOrder="2" shrinkToFit="0" vertical="bottom" wrapText="1"/>
    </xf>
    <xf borderId="5" fillId="0" fontId="3" numFmtId="0" xfId="0" applyAlignment="1" applyBorder="1" applyFont="1">
      <alignment shrinkToFit="0" wrapText="1"/>
    </xf>
    <xf borderId="6" fillId="0" fontId="3" numFmtId="0" xfId="0" applyAlignment="1" applyBorder="1" applyFont="1">
      <alignment shrinkToFit="0" wrapText="1"/>
    </xf>
    <xf borderId="3" fillId="0" fontId="3" numFmtId="0" xfId="0" applyAlignment="1" applyBorder="1" applyFont="1">
      <alignment shrinkToFit="0" wrapText="1"/>
    </xf>
    <xf borderId="0" fillId="0" fontId="3" numFmtId="0" xfId="0" applyAlignment="1" applyFont="1">
      <alignment horizontal="right" readingOrder="2" shrinkToFit="0" vertical="bottom" wrapText="1"/>
    </xf>
    <xf borderId="0" fillId="0" fontId="3" numFmtId="164" xfId="0" applyAlignment="1" applyFont="1" applyNumberFormat="1">
      <alignment horizontal="center" readingOrder="2" shrinkToFit="0" vertical="bottom" wrapText="1"/>
    </xf>
    <xf borderId="6" fillId="0" fontId="3" numFmtId="0" xfId="0" applyAlignment="1" applyBorder="1" applyFont="1">
      <alignment horizontal="right" readingOrder="2" shrinkToFit="0" vertical="bottom" wrapText="1"/>
    </xf>
    <xf borderId="7" fillId="0" fontId="3" numFmtId="0" xfId="0" applyAlignment="1" applyBorder="1" applyFont="1">
      <alignment shrinkToFit="0" wrapText="1"/>
    </xf>
    <xf borderId="1" fillId="0" fontId="3" numFmtId="0" xfId="0" applyAlignment="1" applyBorder="1" applyFont="1">
      <alignment horizontal="center" shrinkToFit="0" vertical="bottom" wrapText="1"/>
    </xf>
    <xf borderId="8" fillId="0" fontId="3" numFmtId="0" xfId="0" applyAlignment="1" applyBorder="1" applyFont="1">
      <alignment shrinkToFit="0" wrapText="1"/>
    </xf>
    <xf borderId="3" fillId="0" fontId="4" numFmtId="164" xfId="0" applyAlignment="1" applyBorder="1" applyFont="1" applyNumberFormat="1">
      <alignment horizontal="center" shrinkToFit="0" vertical="bottom" wrapText="1"/>
    </xf>
    <xf borderId="3" fillId="0" fontId="4" numFmtId="0" xfId="0" applyAlignment="1" applyBorder="1" applyFont="1">
      <alignment horizontal="left" readingOrder="0" shrinkToFit="0" vertical="bottom" wrapText="1"/>
    </xf>
    <xf borderId="3" fillId="0" fontId="3" numFmtId="0" xfId="0" applyAlignment="1" applyBorder="1" applyFont="1">
      <alignment horizontal="center" shrinkToFit="0" vertical="bottom" wrapText="1"/>
    </xf>
    <xf borderId="0" fillId="2" fontId="5" numFmtId="0" xfId="0" applyAlignment="1" applyFill="1" applyFont="1">
      <alignment horizontal="center" readingOrder="0" shrinkToFit="0" vertical="bottom" wrapText="1"/>
    </xf>
    <xf borderId="3" fillId="0" fontId="4" numFmtId="164" xfId="0" applyAlignment="1" applyBorder="1" applyFont="1" applyNumberFormat="1">
      <alignment horizontal="center" readingOrder="2" shrinkToFit="0" vertical="bottom" wrapText="1"/>
    </xf>
    <xf borderId="4" fillId="0" fontId="4" numFmtId="0" xfId="0" applyAlignment="1" applyBorder="1" applyFont="1">
      <alignment horizontal="right" readingOrder="2" shrinkToFit="0" vertical="bottom" wrapText="1"/>
    </xf>
    <xf borderId="6" fillId="0" fontId="4" numFmtId="0" xfId="0" applyAlignment="1" applyBorder="1" applyFont="1">
      <alignment horizontal="right" readingOrder="2" shrinkToFit="0" vertical="bottom" wrapText="1"/>
    </xf>
    <xf borderId="0" fillId="0" fontId="6" numFmtId="0" xfId="0" applyAlignment="1" applyFont="1">
      <alignment horizontal="right" readingOrder="2" shrinkToFit="0" vertical="bottom" wrapText="1"/>
    </xf>
    <xf borderId="6" fillId="0" fontId="3" numFmtId="0" xfId="0" applyAlignment="1" applyBorder="1" applyFont="1">
      <alignment horizontal="left" readingOrder="2" shrinkToFit="0" vertical="bottom" wrapText="1"/>
    </xf>
    <xf borderId="0" fillId="0" fontId="4" numFmtId="0" xfId="0" applyAlignment="1" applyFont="1">
      <alignment horizontal="left" readingOrder="0" shrinkToFit="0" vertical="bottom" wrapText="1"/>
    </xf>
    <xf borderId="0" fillId="0" fontId="3"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0" fontId="4" numFmtId="164" xfId="0" applyAlignment="1" applyFont="1" applyNumberFormat="1">
      <alignment horizontal="center" readingOrder="0" shrinkToFit="0" vertical="bottom" wrapText="1"/>
    </xf>
    <xf borderId="1" fillId="2" fontId="5" numFmtId="0" xfId="0" applyAlignment="1" applyBorder="1" applyFont="1">
      <alignment horizontal="center" readingOrder="0" shrinkToFit="0" vertical="bottom" wrapText="1"/>
    </xf>
    <xf borderId="1" fillId="0" fontId="5" numFmtId="0" xfId="0" applyAlignment="1" applyBorder="1" applyFont="1">
      <alignment horizontal="center" shrinkToFit="0" vertical="bottom" wrapText="1"/>
    </xf>
    <xf borderId="2" fillId="0" fontId="3" numFmtId="0" xfId="0" applyAlignment="1" applyBorder="1" applyFont="1">
      <alignment readingOrder="0" shrinkToFit="0" wrapText="1"/>
    </xf>
    <xf borderId="3" fillId="0" fontId="3" numFmtId="0" xfId="0" applyAlignment="1" applyBorder="1" applyFont="1">
      <alignment readingOrder="0" shrinkToFit="0" wrapText="1"/>
    </xf>
    <xf borderId="3" fillId="0" fontId="3" numFmtId="0" xfId="0" applyAlignment="1" applyBorder="1" applyFont="1">
      <alignment readingOrder="0" shrinkToFit="0" wrapText="1"/>
    </xf>
    <xf borderId="4" fillId="0" fontId="3" numFmtId="0" xfId="0" applyAlignment="1" applyBorder="1" applyFont="1">
      <alignment readingOrder="0" shrinkToFit="0" wrapText="1"/>
    </xf>
    <xf borderId="0" fillId="0" fontId="3" numFmtId="0" xfId="0" applyAlignment="1" applyFont="1">
      <alignment readingOrder="0" shrinkToFit="0" wrapText="1"/>
    </xf>
    <xf borderId="6" fillId="0" fontId="3" numFmtId="0" xfId="0" applyAlignment="1" applyBorder="1" applyFont="1">
      <alignment readingOrder="0" shrinkToFit="0" wrapText="1"/>
    </xf>
    <xf borderId="1" fillId="0" fontId="3" numFmtId="0" xfId="0" applyAlignment="1" applyBorder="1" applyFont="1">
      <alignment readingOrder="0" shrinkToFit="0" wrapText="1"/>
    </xf>
    <xf borderId="1" fillId="0" fontId="3" numFmtId="0" xfId="0" applyAlignment="1" applyBorder="1" applyFont="1">
      <alignment readingOrder="0" shrinkToFit="0" wrapText="1"/>
    </xf>
    <xf borderId="8" fillId="0" fontId="3" numFmtId="0" xfId="0" applyAlignment="1" applyBorder="1" applyFont="1">
      <alignment readingOrder="0" shrinkToFit="0" wrapText="1"/>
    </xf>
    <xf borderId="9"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okqa.herokuapp.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38"/>
    <col customWidth="1" min="2" max="2" width="24.75"/>
    <col customWidth="1" min="3" max="3" width="17.13"/>
    <col customWidth="1" min="4" max="4" width="22.38"/>
    <col customWidth="1" min="5" max="19" width="15.13"/>
  </cols>
  <sheetData>
    <row r="2">
      <c r="B2" s="1" t="s">
        <v>0</v>
      </c>
    </row>
    <row r="4">
      <c r="B4" s="2" t="s">
        <v>1</v>
      </c>
      <c r="C4" s="3" t="s">
        <v>2</v>
      </c>
      <c r="D4" s="2" t="s">
        <v>3</v>
      </c>
    </row>
    <row r="5">
      <c r="B5" s="4" t="s">
        <v>4</v>
      </c>
      <c r="C5" s="5">
        <f>'תקציב כנסת פתוחה - נובמבר 2012'!C9</f>
        <v>180000</v>
      </c>
      <c r="D5" s="4" t="s">
        <v>5</v>
      </c>
    </row>
    <row r="6">
      <c r="B6" s="4" t="s">
        <v>6</v>
      </c>
      <c r="C6" s="5">
        <f>'תקציב בחירות לכנסת ה19'!C12</f>
        <v>335000</v>
      </c>
      <c r="D6" s="4" t="s">
        <v>7</v>
      </c>
    </row>
    <row r="7">
      <c r="C7" s="5"/>
    </row>
    <row r="8">
      <c r="B8" s="4" t="s">
        <v>8</v>
      </c>
      <c r="C8" s="6">
        <f>sum(C5:C7)</f>
        <v>515000</v>
      </c>
      <c r="D8" s="7" t="s">
        <v>2</v>
      </c>
    </row>
    <row r="10">
      <c r="D10" s="8" t="s">
        <v>9</v>
      </c>
    </row>
    <row r="11">
      <c r="B11" s="4" t="s">
        <v>10</v>
      </c>
      <c r="C11" s="9">
        <v>285000.0</v>
      </c>
      <c r="D11" s="4" t="s">
        <v>11</v>
      </c>
    </row>
    <row r="12">
      <c r="B12" s="4" t="s">
        <v>12</v>
      </c>
      <c r="C12" s="5">
        <f>'תקציב בחירות לכנסת ה19'!C10</f>
        <v>105000</v>
      </c>
      <c r="D12" s="4" t="s">
        <v>13</v>
      </c>
    </row>
    <row r="13">
      <c r="B13" s="4" t="s">
        <v>14</v>
      </c>
      <c r="C13" s="6">
        <f>C8-C11-C12</f>
        <v>125000</v>
      </c>
      <c r="D13" s="4" t="s">
        <v>15</v>
      </c>
    </row>
  </sheetData>
  <mergeCells count="1">
    <mergeCell ref="B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88"/>
    <col customWidth="1" min="2" max="2" width="36.13"/>
    <col customWidth="1" min="3" max="3" width="30.13"/>
    <col customWidth="1" min="4" max="4" width="36.88"/>
    <col customWidth="1" min="5" max="5" width="4.25"/>
    <col customWidth="1" min="6" max="6" width="5.25"/>
    <col customWidth="1" min="7" max="7" width="41.25"/>
    <col customWidth="1" min="8" max="22" width="15.13"/>
  </cols>
  <sheetData>
    <row r="1">
      <c r="C1" s="10"/>
    </row>
    <row r="2">
      <c r="B2" s="11" t="s">
        <v>16</v>
      </c>
    </row>
    <row r="3">
      <c r="C3" s="10"/>
    </row>
    <row r="4">
      <c r="A4" s="12"/>
      <c r="B4" s="13" t="s">
        <v>17</v>
      </c>
      <c r="C4" s="14" t="s">
        <v>18</v>
      </c>
      <c r="D4" s="13" t="s">
        <v>19</v>
      </c>
      <c r="H4" s="12"/>
      <c r="I4" s="12"/>
    </row>
    <row r="5">
      <c r="A5" s="15"/>
      <c r="B5" s="16" t="s">
        <v>20</v>
      </c>
      <c r="C5" s="17">
        <v>10000.0</v>
      </c>
      <c r="D5" s="18" t="s">
        <v>21</v>
      </c>
      <c r="E5" s="19"/>
      <c r="G5" s="20"/>
      <c r="H5" s="15"/>
      <c r="I5" s="21"/>
    </row>
    <row r="6">
      <c r="A6" s="19"/>
      <c r="B6" s="22" t="s">
        <v>22</v>
      </c>
      <c r="C6" s="23">
        <v>120000.0</v>
      </c>
      <c r="D6" s="24" t="s">
        <v>23</v>
      </c>
      <c r="E6" s="19"/>
      <c r="G6" s="20"/>
      <c r="H6" s="19"/>
    </row>
    <row r="7">
      <c r="A7" s="19"/>
      <c r="B7" s="22" t="s">
        <v>24</v>
      </c>
      <c r="C7" s="23">
        <v>50000.0</v>
      </c>
      <c r="D7" s="24" t="s">
        <v>25</v>
      </c>
      <c r="E7" s="19"/>
      <c r="G7" s="20"/>
      <c r="H7" s="19"/>
    </row>
    <row r="8">
      <c r="A8" s="25"/>
      <c r="B8" s="12"/>
      <c r="C8" s="26"/>
      <c r="D8" s="27"/>
      <c r="E8" s="25"/>
      <c r="G8" s="27"/>
      <c r="H8" s="19"/>
    </row>
    <row r="9">
      <c r="A9" s="21"/>
      <c r="B9" s="21"/>
      <c r="C9" s="28">
        <f>sum(C5:C8)</f>
        <v>180000</v>
      </c>
      <c r="D9" s="29" t="s">
        <v>26</v>
      </c>
      <c r="E9" s="21"/>
      <c r="G9" s="21"/>
    </row>
    <row r="10">
      <c r="A10" s="19"/>
      <c r="C10" s="10"/>
      <c r="G10" s="20"/>
      <c r="H10" s="19"/>
    </row>
    <row r="11">
      <c r="A11" s="19"/>
      <c r="C11" s="10"/>
      <c r="G11" s="20"/>
      <c r="H11" s="19"/>
    </row>
    <row r="12">
      <c r="A12" s="19"/>
      <c r="B12" s="22"/>
      <c r="G12" s="20"/>
      <c r="H12" s="19"/>
    </row>
    <row r="13">
      <c r="A13" s="19"/>
      <c r="C13" s="10"/>
      <c r="G13" s="20"/>
      <c r="H13" s="19"/>
    </row>
    <row r="14">
      <c r="A14" s="25"/>
      <c r="B14" s="12"/>
      <c r="C14" s="26"/>
      <c r="D14" s="12"/>
      <c r="E14" s="12"/>
      <c r="G14" s="27"/>
      <c r="H14" s="19"/>
    </row>
    <row r="15">
      <c r="A15" s="21"/>
      <c r="B15" s="21"/>
      <c r="C15" s="30"/>
      <c r="D15" s="21"/>
      <c r="E15" s="21"/>
      <c r="G15" s="21"/>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A104" s="31" t="s">
        <v>27</v>
      </c>
      <c r="B104" s="31" t="s">
        <v>18</v>
      </c>
      <c r="G104" s="31" t="s">
        <v>3</v>
      </c>
    </row>
    <row r="105">
      <c r="C105" s="10"/>
    </row>
    <row r="106">
      <c r="C106" s="10"/>
    </row>
    <row r="107">
      <c r="C107" s="10"/>
    </row>
  </sheetData>
  <mergeCells count="3">
    <mergeCell ref="B2:F2"/>
    <mergeCell ref="B12:D12"/>
    <mergeCell ref="B104:F10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88"/>
    <col customWidth="1" min="2" max="2" width="36.13"/>
    <col customWidth="1" min="3" max="3" width="30.13"/>
    <col customWidth="1" min="4" max="4" width="36.88"/>
    <col customWidth="1" min="5" max="5" width="4.25"/>
    <col customWidth="1" min="6" max="6" width="5.25"/>
    <col customWidth="1" min="7" max="7" width="41.25"/>
    <col customWidth="1" min="8" max="22" width="15.13"/>
  </cols>
  <sheetData>
    <row r="1">
      <c r="C1" s="10"/>
    </row>
    <row r="2">
      <c r="B2" s="11" t="s">
        <v>28</v>
      </c>
    </row>
    <row r="3">
      <c r="C3" s="10"/>
    </row>
    <row r="4">
      <c r="A4" s="12"/>
      <c r="B4" s="13" t="s">
        <v>17</v>
      </c>
      <c r="C4" s="14" t="s">
        <v>18</v>
      </c>
      <c r="D4" s="13" t="s">
        <v>19</v>
      </c>
      <c r="I4" s="12"/>
    </row>
    <row r="5">
      <c r="A5" s="15"/>
      <c r="B5" s="16" t="s">
        <v>29</v>
      </c>
      <c r="C5" s="32">
        <v>220000.0</v>
      </c>
      <c r="D5" s="33" t="s">
        <v>30</v>
      </c>
      <c r="E5" s="19"/>
      <c r="I5" s="21"/>
    </row>
    <row r="6">
      <c r="A6" s="19"/>
      <c r="B6" s="22"/>
      <c r="C6" s="23"/>
      <c r="D6" s="34" t="s">
        <v>31</v>
      </c>
      <c r="E6" s="19"/>
    </row>
    <row r="7">
      <c r="A7" s="19"/>
      <c r="B7" s="35" t="s">
        <v>32</v>
      </c>
      <c r="C7" s="23">
        <v>60000.0</v>
      </c>
      <c r="D7" s="36" t="s">
        <v>33</v>
      </c>
      <c r="E7" s="19"/>
    </row>
    <row r="8">
      <c r="A8" s="19"/>
      <c r="B8" s="22" t="s">
        <v>34</v>
      </c>
      <c r="C8" s="23">
        <v>25000.0</v>
      </c>
      <c r="D8" s="36" t="s">
        <v>35</v>
      </c>
      <c r="E8" s="19"/>
    </row>
    <row r="9">
      <c r="A9" s="19"/>
      <c r="C9" s="9">
        <v>20000.0</v>
      </c>
      <c r="D9" s="7" t="s">
        <v>36</v>
      </c>
    </row>
    <row r="10">
      <c r="A10" s="19"/>
      <c r="C10" s="6">
        <f>sum(C7:C9)</f>
        <v>105000</v>
      </c>
      <c r="D10" s="37" t="s">
        <v>37</v>
      </c>
    </row>
    <row r="11">
      <c r="A11" s="19"/>
      <c r="C11" s="9">
        <v>10000.0</v>
      </c>
      <c r="D11" s="7" t="s">
        <v>38</v>
      </c>
    </row>
    <row r="12">
      <c r="C12" s="6">
        <f>C10+C5+C11</f>
        <v>335000</v>
      </c>
      <c r="D12" s="37" t="s">
        <v>26</v>
      </c>
    </row>
    <row r="13">
      <c r="A13" s="19"/>
      <c r="C13" s="10"/>
    </row>
    <row r="14">
      <c r="A14" s="19"/>
      <c r="C14" s="10"/>
    </row>
    <row r="15">
      <c r="A15" s="19"/>
      <c r="B15" s="22"/>
    </row>
    <row r="16">
      <c r="A16" s="19"/>
      <c r="C16" s="10"/>
    </row>
    <row r="17">
      <c r="A17" s="25"/>
      <c r="B17" s="12"/>
      <c r="C17" s="12"/>
      <c r="D17" s="12"/>
      <c r="E17" s="12"/>
      <c r="G17" s="12"/>
    </row>
    <row r="18">
      <c r="A18" s="21"/>
      <c r="B18" s="21"/>
      <c r="C18" s="30"/>
      <c r="D18" s="21"/>
      <c r="E18" s="21"/>
      <c r="G18" s="21"/>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A107" s="31" t="s">
        <v>27</v>
      </c>
      <c r="B107" s="31" t="s">
        <v>18</v>
      </c>
      <c r="G107" s="31" t="s">
        <v>3</v>
      </c>
    </row>
    <row r="108">
      <c r="C108" s="10"/>
    </row>
    <row r="109">
      <c r="C109" s="10"/>
    </row>
    <row r="110">
      <c r="C110" s="10"/>
    </row>
  </sheetData>
  <mergeCells count="3">
    <mergeCell ref="B2:F2"/>
    <mergeCell ref="B15:D15"/>
    <mergeCell ref="B107:F107"/>
  </mergeCells>
  <hyperlinks>
    <hyperlink r:id="rId1" ref="B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0" width="15.13"/>
  </cols>
  <sheetData>
    <row r="2">
      <c r="B2" s="1" t="s">
        <v>39</v>
      </c>
    </row>
    <row r="4">
      <c r="C4" s="38" t="s">
        <v>18</v>
      </c>
    </row>
    <row r="5">
      <c r="B5" s="39" t="s">
        <v>40</v>
      </c>
      <c r="C5" s="39" t="s">
        <v>41</v>
      </c>
      <c r="D5" s="39" t="s">
        <v>42</v>
      </c>
      <c r="E5" s="8" t="s">
        <v>43</v>
      </c>
    </row>
    <row r="6">
      <c r="B6" s="10"/>
      <c r="C6" s="10"/>
      <c r="D6" s="10"/>
    </row>
    <row r="7">
      <c r="B7" s="9">
        <v>0.0</v>
      </c>
      <c r="C7" s="9">
        <v>285000.0</v>
      </c>
      <c r="D7" s="9">
        <v>285000.0</v>
      </c>
      <c r="E7" s="4" t="s">
        <v>10</v>
      </c>
    </row>
    <row r="8">
      <c r="B8" s="5">
        <f>D8-C8</f>
        <v>95000</v>
      </c>
      <c r="C8" s="5">
        <f>'תקציב בחירות לכנסת ה19'!C10</f>
        <v>105000</v>
      </c>
      <c r="D8" s="9">
        <v>200000.0</v>
      </c>
      <c r="E8" s="4" t="s">
        <v>44</v>
      </c>
    </row>
    <row r="10">
      <c r="C10" s="40">
        <v>-120000.0</v>
      </c>
      <c r="E10" s="7" t="s">
        <v>45</v>
      </c>
    </row>
  </sheetData>
  <mergeCells count="2">
    <mergeCell ref="B2:E2"/>
    <mergeCell ref="C4:D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 customWidth="1" min="3" max="3" width="30.13"/>
    <col customWidth="1" min="4" max="6" width="15.13"/>
    <col customWidth="1" min="7" max="7" width="41.25"/>
    <col customWidth="1" min="8" max="22" width="15.13"/>
  </cols>
  <sheetData>
    <row r="1">
      <c r="A1" s="41" t="s">
        <v>27</v>
      </c>
      <c r="B1" s="41" t="s">
        <v>18</v>
      </c>
      <c r="C1" s="41" t="s">
        <v>46</v>
      </c>
      <c r="D1" s="42"/>
      <c r="E1" s="41" t="s">
        <v>47</v>
      </c>
      <c r="F1" s="41" t="s">
        <v>18</v>
      </c>
      <c r="G1" s="41" t="s">
        <v>46</v>
      </c>
      <c r="H1" s="12"/>
      <c r="I1" s="12"/>
    </row>
    <row r="2">
      <c r="A2" s="43" t="s">
        <v>10</v>
      </c>
      <c r="B2" s="44">
        <v>285000.0</v>
      </c>
      <c r="C2" s="45" t="s">
        <v>48</v>
      </c>
      <c r="D2" s="21"/>
      <c r="E2" s="45" t="s">
        <v>49</v>
      </c>
      <c r="F2" s="44">
        <v>15000.0</v>
      </c>
      <c r="G2" s="46" t="s">
        <v>50</v>
      </c>
      <c r="H2" s="15"/>
      <c r="I2" s="21"/>
    </row>
    <row r="3">
      <c r="A3" s="19"/>
      <c r="E3" s="4" t="s">
        <v>51</v>
      </c>
      <c r="F3" s="47">
        <v>120000.0</v>
      </c>
      <c r="G3" s="48" t="s">
        <v>52</v>
      </c>
      <c r="H3" s="19"/>
    </row>
    <row r="4">
      <c r="A4" s="19"/>
      <c r="E4" s="4" t="s">
        <v>53</v>
      </c>
      <c r="F4" s="47">
        <v>50000.0</v>
      </c>
      <c r="G4" s="48" t="s">
        <v>54</v>
      </c>
      <c r="H4" s="19"/>
    </row>
    <row r="5">
      <c r="A5" s="25"/>
      <c r="B5" s="12"/>
      <c r="C5" s="12"/>
      <c r="D5" s="12"/>
      <c r="E5" s="49" t="s">
        <v>55</v>
      </c>
      <c r="F5" s="50">
        <v>100000.0</v>
      </c>
      <c r="G5" s="51" t="s">
        <v>56</v>
      </c>
      <c r="H5" s="19"/>
    </row>
    <row r="6">
      <c r="A6" s="52"/>
      <c r="B6" s="52"/>
      <c r="C6" s="52"/>
      <c r="D6" s="52"/>
      <c r="E6" s="52"/>
      <c r="F6" s="52"/>
      <c r="G6" s="52"/>
    </row>
    <row r="7">
      <c r="A7" s="43" t="s">
        <v>57</v>
      </c>
      <c r="B7" s="44">
        <v>200000.0</v>
      </c>
      <c r="C7" s="45" t="s">
        <v>58</v>
      </c>
      <c r="D7" s="21"/>
      <c r="E7" s="45" t="s">
        <v>59</v>
      </c>
      <c r="F7" s="44" t="s">
        <v>60</v>
      </c>
      <c r="G7" s="46" t="s">
        <v>61</v>
      </c>
      <c r="H7" s="19"/>
    </row>
    <row r="8">
      <c r="A8" s="19"/>
      <c r="E8" s="4" t="s">
        <v>62</v>
      </c>
      <c r="F8" s="47" t="s">
        <v>63</v>
      </c>
      <c r="G8" s="48" t="s">
        <v>64</v>
      </c>
      <c r="H8" s="19"/>
    </row>
    <row r="9">
      <c r="A9" s="19"/>
      <c r="E9" s="4" t="s">
        <v>65</v>
      </c>
      <c r="F9" s="47">
        <v>60000.0</v>
      </c>
      <c r="G9" s="48" t="s">
        <v>66</v>
      </c>
      <c r="H9" s="19"/>
    </row>
    <row r="10">
      <c r="A10" s="19"/>
      <c r="E10" s="4" t="s">
        <v>67</v>
      </c>
      <c r="F10" s="47">
        <v>20000.0</v>
      </c>
      <c r="G10" s="48" t="s">
        <v>68</v>
      </c>
      <c r="H10" s="19"/>
    </row>
    <row r="11">
      <c r="A11" s="25"/>
      <c r="B11" s="12"/>
      <c r="C11" s="12"/>
      <c r="D11" s="12"/>
      <c r="E11" s="49" t="s">
        <v>69</v>
      </c>
      <c r="F11" s="49" t="s">
        <v>70</v>
      </c>
      <c r="G11" s="51" t="s">
        <v>71</v>
      </c>
      <c r="H11" s="19"/>
    </row>
    <row r="12">
      <c r="A12" s="21"/>
      <c r="B12" s="21"/>
      <c r="C12" s="21"/>
      <c r="D12" s="21"/>
      <c r="E12" s="21"/>
      <c r="F12" s="21"/>
      <c r="G12" s="21"/>
    </row>
  </sheetData>
  <drawing r:id="rId1"/>
</worksheet>
</file>