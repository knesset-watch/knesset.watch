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צעד הנוכחות" sheetId="1" r:id="rId4"/>
    <sheet state="visible" name="נוכחות לפי ועדות" sheetId="2" r:id="rId5"/>
    <sheet state="visible" name="מדד פופולריות של ועדה" sheetId="3" r:id="rId6"/>
    <sheet state="visible" name="פרוטוקולים לפי ועדות" sheetId="4" r:id="rId7"/>
  </sheets>
  <definedNames/>
  <calcPr/>
</workbook>
</file>

<file path=xl/sharedStrings.xml><?xml version="1.0" encoding="utf-8"?>
<sst xmlns="http://schemas.openxmlformats.org/spreadsheetml/2006/main" count="373" uniqueCount="204">
  <si>
    <t>תוויות שורה</t>
  </si>
  <si>
    <t>COUNTA of meeting_url</t>
  </si>
  <si>
    <t>משה גפני</t>
  </si>
  <si>
    <t>דוד ביטן</t>
  </si>
  <si>
    <t>אורי מקלב</t>
  </si>
  <si>
    <t>דב חנין</t>
  </si>
  <si>
    <t>איתן כבל</t>
  </si>
  <si>
    <t>מיקי לוי</t>
  </si>
  <si>
    <t>רועי פולקמן</t>
  </si>
  <si>
    <t>איתן ברושי</t>
  </si>
  <si>
    <t>יואב בן צור</t>
  </si>
  <si>
    <t>מיקי רוזנטל</t>
  </si>
  <si>
    <t>עבדאללה אבו מערוף</t>
  </si>
  <si>
    <t>אוסאמה סעדי</t>
  </si>
  <si>
    <t>יואב קיש</t>
  </si>
  <si>
    <t>מרב מיכאלי</t>
  </si>
  <si>
    <t>עבד אלחכים חאג` יחיא</t>
  </si>
  <si>
    <t>יעל כהן פארן</t>
  </si>
  <si>
    <t>עודד פורר</t>
  </si>
  <si>
    <t>נורית קורן</t>
  </si>
  <si>
    <t>אלי אלאלוף</t>
  </si>
  <si>
    <t>דוד אמסלם</t>
  </si>
  <si>
    <t>ענת ברקו</t>
  </si>
  <si>
    <t>אברהם נגוסה</t>
  </si>
  <si>
    <t>שולי מועלם-רפאלי</t>
  </si>
  <si>
    <t>איילת נחמיאס ורבין</t>
  </si>
  <si>
    <t>יעקב פרי</t>
  </si>
  <si>
    <t>מיכאל מלכיאלי</t>
  </si>
  <si>
    <t>בצלאל סמוטריץ</t>
  </si>
  <si>
    <t>מכלוף מיקי זוהר</t>
  </si>
  <si>
    <t>יעקב אשר</t>
  </si>
  <si>
    <t>יעל גרמן</t>
  </si>
  <si>
    <t>רוברט אילטוב</t>
  </si>
  <si>
    <t>ניסן סלומינסקי</t>
  </si>
  <si>
    <t>יצחק וקנין</t>
  </si>
  <si>
    <t>אמיר אוחנה</t>
  </si>
  <si>
    <t>יוסי יונה</t>
  </si>
  <si>
    <t>חמד עמאר</t>
  </si>
  <si>
    <t>מנחם אליעזר מוזס</t>
  </si>
  <si>
    <t>מנואל טרכטנברג</t>
  </si>
  <si>
    <t>אחמד טיבי</t>
  </si>
  <si>
    <t>זאב בנימין בגין</t>
  </si>
  <si>
    <t>תמר זנדברג</t>
  </si>
  <si>
    <t>יוליה מלינובסקי</t>
  </si>
  <si>
    <t>מיכל בירן</t>
  </si>
  <si>
    <t>ישראל אייכלר</t>
  </si>
  <si>
    <t>מיכל רוזין</t>
  </si>
  <si>
    <t>יוסף ג`בארין</t>
  </si>
  <si>
    <t>רחל עזריה</t>
  </si>
  <si>
    <t>מרדכי יוגב</t>
  </si>
  <si>
    <t>טלי פלוסקוב</t>
  </si>
  <si>
    <t>סתיו שפיר</t>
  </si>
  <si>
    <t>חיים ילין</t>
  </si>
  <si>
    <t>איל בן-ראובן</t>
  </si>
  <si>
    <t>מאיר כהן</t>
  </si>
  <si>
    <t>אכרם חסון</t>
  </si>
  <si>
    <t>יפעת שאשא ביטון</t>
  </si>
  <si>
    <t>אורן אסף חזן</t>
  </si>
  <si>
    <t>עיסאווי פריג`</t>
  </si>
  <si>
    <t>אלעזר שטרן</t>
  </si>
  <si>
    <t>יעקב מרגי</t>
  </si>
  <si>
    <t>אבי (משה) דיכטר</t>
  </si>
  <si>
    <t>אורלי לוי-אבקסיס</t>
  </si>
  <si>
    <t>יואל חסון</t>
  </si>
  <si>
    <t>קארין אלהרר</t>
  </si>
  <si>
    <t>זהבה גלאון</t>
  </si>
  <si>
    <t>רויטל סויד</t>
  </si>
  <si>
    <t>ג'מעה אזברגה</t>
  </si>
  <si>
    <t>מסעוד גנאים</t>
  </si>
  <si>
    <t>זוהיר בהלול</t>
  </si>
  <si>
    <t>יהודה יהושע גליק</t>
  </si>
  <si>
    <t>יגאל גואטה</t>
  </si>
  <si>
    <t>עליזה לביא</t>
  </si>
  <si>
    <t>טלב אבו עראר</t>
  </si>
  <si>
    <t>נאוה בוקר</t>
  </si>
  <si>
    <t>ג`מאל זחאלקה</t>
  </si>
  <si>
    <t>איציק שמולי</t>
  </si>
  <si>
    <t>שרן השכל</t>
  </si>
  <si>
    <t>עאידה תומא סלימאן</t>
  </si>
  <si>
    <t>נחמן שי</t>
  </si>
  <si>
    <t>עפר שלח</t>
  </si>
  <si>
    <t>קסניה סבטלובה</t>
  </si>
  <si>
    <t>אילן גילאון</t>
  </si>
  <si>
    <t>שלי יחימוביץ</t>
  </si>
  <si>
    <t>יריב לוין</t>
  </si>
  <si>
    <t>חנין זועבי</t>
  </si>
  <si>
    <t>יואל רזבוזוב</t>
  </si>
  <si>
    <t>איימן עודה</t>
  </si>
  <si>
    <t>מירב  בן-ארי</t>
  </si>
  <si>
    <t>זאב אלקין</t>
  </si>
  <si>
    <t>עמר בר-לב</t>
  </si>
  <si>
    <t>איילת שקד</t>
  </si>
  <si>
    <t>דוד אזולאי</t>
  </si>
  <si>
    <t>אראל מרגלית</t>
  </si>
  <si>
    <t>צחי הנגבי</t>
  </si>
  <si>
    <t>אורי יהודה אריאל</t>
  </si>
  <si>
    <t>חיליק בר</t>
  </si>
  <si>
    <t>יואב גלנט</t>
  </si>
  <si>
    <t>מיכאל אורן</t>
  </si>
  <si>
    <t>יצחק כהן</t>
  </si>
  <si>
    <t>חיים כץ</t>
  </si>
  <si>
    <t>ציפי לבני</t>
  </si>
  <si>
    <t>סופה לנדבר</t>
  </si>
  <si>
    <t>אלי כהן</t>
  </si>
  <si>
    <t>גלעד ארדן</t>
  </si>
  <si>
    <t>בנימין נתניהו</t>
  </si>
  <si>
    <t>סכום כולל</t>
  </si>
  <si>
    <t>תוויות עמודה</t>
  </si>
  <si>
    <t>ועדת הכספים</t>
  </si>
  <si>
    <t>הועדה המיוחדת לפרשת היעלמותם של ילדי תימן, מזרח והבלקן</t>
  </si>
  <si>
    <t>ועדת הפנים והגנת הסביבה</t>
  </si>
  <si>
    <t>ועדת הכלכלה</t>
  </si>
  <si>
    <t>ועדת החוקה, חוק ומשפט</t>
  </si>
  <si>
    <t>ועדת הכנסת</t>
  </si>
  <si>
    <t>ועדת משנה לבטיחות בדרכים</t>
  </si>
  <si>
    <t>ועדת העבודה, הרווחה והבריאות</t>
  </si>
  <si>
    <t>ועדת משנה לבחינת התנהלות הבנקים והגופים המוסדיים בהעמדת אשראי ללווים מסוימים</t>
  </si>
  <si>
    <t>הוועדה לקידום מעמד האישה ולשוויון מגדרי</t>
  </si>
  <si>
    <t>הוועדה לענייני ביקורת המדינה</t>
  </si>
  <si>
    <t>ועדה משותפת (כלכלה+כנסת) לדיון בהצ"ח השידור הציבורי הישראלי (תיקון מספר 7), התשע"ז-2017</t>
  </si>
  <si>
    <t>הוועדה המיוחדת לפניות הציבור</t>
  </si>
  <si>
    <t>ועדה משותפת לועדת הכלכלה ולועדת הכנסת להצעת חוק השידור הציבורי הישראלי</t>
  </si>
  <si>
    <t>ועדה משותפת חוץ וביטחון-חוקה לעניין הצורך להכריז על מצב חירום</t>
  </si>
  <si>
    <t>ועדת החינוך, התרבות והספורט</t>
  </si>
  <si>
    <t>ועדת החוץ והביטחון</t>
  </si>
  <si>
    <t>ועדת משנה לתחבורה ציבורית</t>
  </si>
  <si>
    <t>הוועדה המיוחדת למאבק בנגעי הסמים והאלכוהול</t>
  </si>
  <si>
    <t>הוועדה המיוחדת ליישום הנגשת המידע הממשלתי ועקרונות שקיפותו לציבור</t>
  </si>
  <si>
    <t>ועדת  המדע  והטכנולוגיה</t>
  </si>
  <si>
    <t>הוועדה המיוחדת לזכויות הילד</t>
  </si>
  <si>
    <t>ועדת המשנה לעניין בטיחות בעבודה בענף הבנין</t>
  </si>
  <si>
    <t>ועדת המשנה לנושא קידום טכנולוגיות לאנרגיה מתחדשת - פיקוח ומעקב אחר יישום החלטות ועידת פריז</t>
  </si>
  <si>
    <t>ועדת העלייה, הקליטה והתפוצות</t>
  </si>
  <si>
    <t>ועדה משותפת לתקציב הכנסת</t>
  </si>
  <si>
    <t>ועדה משותפת חוץ וביטחון ופנים לדיון בהארכת תוקף חוק האזרחות והכניסה לישראל</t>
  </si>
  <si>
    <t>ועדה משותפת לוועדת הכנסת וועדת המדע לדיון בהלס"י בנושא אבטחת מאגרי מידע ממשלתיים ואופן השימוש בהם</t>
  </si>
  <si>
    <t>ועדה משותפת כלכלה ופנים לדיון בהצ"ח תאגידי מים וביוב</t>
  </si>
  <si>
    <t>ועדת משנה לתקנות חוק שוויון זכויות לאנשים עם מוגבלות</t>
  </si>
  <si>
    <t>מספר פרוטוקולים</t>
  </si>
  <si>
    <t>מספר חכים נוכחים בכל הדיונים</t>
  </si>
  <si>
    <t>מספר ח"כים שונים שנכחו בדיונים</t>
  </si>
  <si>
    <t>נוכחות ממוצעת
 של ח"כים בועדה</t>
  </si>
  <si>
    <t>COUNTUNIQUE of meeting_url</t>
  </si>
  <si>
    <t>COUNTA of member_name</t>
  </si>
  <si>
    <t>COUNTUNIQUE of member_name</t>
  </si>
  <si>
    <t>תיקון 8 :תאגיד החדשות</t>
  </si>
  <si>
    <t>תיקון 7: דחיית מועד</t>
  </si>
  <si>
    <t>דיון אחד</t>
  </si>
  <si>
    <t>Grand Total</t>
  </si>
  <si>
    <t>https://oknesset.org/committee/meeting/14110/</t>
  </si>
  <si>
    <t>https://oknesset.org/committee/meeting/14106/</t>
  </si>
  <si>
    <t>https://oknesset.org/committee/meeting/14103/</t>
  </si>
  <si>
    <t>https://oknesset.org/committee/meeting/14101/</t>
  </si>
  <si>
    <t>https://oknesset.org/committee/meeting/14091/</t>
  </si>
  <si>
    <t>https://oknesset.org/committee/meeting/14088/</t>
  </si>
  <si>
    <t>https://oknesset.org/committee/meeting/14078/</t>
  </si>
  <si>
    <t>https://oknesset.org/committee/meeting/14074/</t>
  </si>
  <si>
    <t>https://oknesset.org/committee/meeting/14073/</t>
  </si>
  <si>
    <t>https://oknesset.org/committee/meeting/14071/</t>
  </si>
  <si>
    <t>https://oknesset.org/committee/meeting/14069/</t>
  </si>
  <si>
    <t>https://oknesset.org/committee/meeting/14067/</t>
  </si>
  <si>
    <t>https://oknesset.org/committee/meeting/14472/</t>
  </si>
  <si>
    <t>ועדת הכספים סה"כ</t>
  </si>
  <si>
    <t>https://oknesset.org/committee/meeting/14415/</t>
  </si>
  <si>
    <t>הועדה המיוחדת לפרשת היעלמותם של ילדי תימן, מזרח והבלקן סה"כ</t>
  </si>
  <si>
    <t>https://oknesset.org/committee/meeting/14198/</t>
  </si>
  <si>
    <t>ועדת הפנים והגנת הסביבה סה"כ</t>
  </si>
  <si>
    <t>https://oknesset.org/committee/meeting/14138/</t>
  </si>
  <si>
    <t>https://oknesset.org/committee/meeting/14127/</t>
  </si>
  <si>
    <t>ועדת הכלכלה סה"כ</t>
  </si>
  <si>
    <t>https://oknesset.org/committee/meeting/14229/</t>
  </si>
  <si>
    <t>ועדת החוקה, חוק ומשפט סה"כ</t>
  </si>
  <si>
    <t>https://oknesset.org/committee/meeting/14036/</t>
  </si>
  <si>
    <t>ועדת הכנסת סה"כ</t>
  </si>
  <si>
    <t>ועדת משנה לבטיחות בדרכים סה"כ</t>
  </si>
  <si>
    <t>ועדת העבודה, הרווחה והבריאות סה"כ</t>
  </si>
  <si>
    <t>ועדת משנה לבחינת התנהלות הבנקים והגופים המוסדיים בהעמדת אשראי ללווים מסוימים סה"כ</t>
  </si>
  <si>
    <t>https://oknesset.org/committee/meeting/14312/</t>
  </si>
  <si>
    <t>https://oknesset.org/committee/meeting/14310/</t>
  </si>
  <si>
    <t>הוועדה לקידום מעמד האישה ולשוויון מגדרי סה"כ</t>
  </si>
  <si>
    <t>https://oknesset.org/committee/meeting/14299/</t>
  </si>
  <si>
    <t>הוועדה לענייני ביקורת המדינה סה"כ</t>
  </si>
  <si>
    <t>ועדה משותפת (כלכלה+כנסת) לדיון בהצ"ח השידור הציבורי הישראלי (תיקון מספר 7), התשע"ז-2017 סה"כ</t>
  </si>
  <si>
    <t>הוועדה המיוחדת לפניות הציבור סה"כ</t>
  </si>
  <si>
    <t>ועדה משותפת לועדת הכלכלה ולועדת הכנסת להצעת חוק השידור הציבורי הישראלי סה"כ</t>
  </si>
  <si>
    <t>ועדה משותפת חוץ וביטחון-חוקה לעניין הצורך להכריז על מצב חירום סה"כ</t>
  </si>
  <si>
    <t>ועדת החינוך, התרבות והספורט סה"כ</t>
  </si>
  <si>
    <t>https://oknesset.org/committee/meeting/14497/</t>
  </si>
  <si>
    <t>ועדת החוץ והביטחון סה"כ</t>
  </si>
  <si>
    <t>ועדת משנה לתחבורה ציבורית סה"כ</t>
  </si>
  <si>
    <t>הוועדה המיוחדת למאבק בנגעי הסמים והאלכוהול סה"כ</t>
  </si>
  <si>
    <t>הוועדה המיוחדת ליישום הנגשת המידע הממשלתי ועקרונות שקיפותו לציבור סה"כ</t>
  </si>
  <si>
    <t>ועדת  המדע  והטכנולוגיה סה"כ</t>
  </si>
  <si>
    <t>הוועדה המיוחדת לזכויות הילד סה"כ</t>
  </si>
  <si>
    <t>ועדת המשנה לעניין בטיחות בעבודה בענף הבנין סה"כ</t>
  </si>
  <si>
    <t>ועדת המשנה לנושא קידום טכנולוגיות לאנרגיה מתחדשת - פיקוח ומעקב אחר יישום החלטות ועידת פריז סה"כ</t>
  </si>
  <si>
    <t>ועדת העלייה, הקליטה והתפוצות סה"כ</t>
  </si>
  <si>
    <t>ועדה משותפת לתקציב הכנסת סה"כ</t>
  </si>
  <si>
    <t>https://oknesset.org/committee/meeting/14406/</t>
  </si>
  <si>
    <t>ועדה משותפת חוץ וביטחון ופנים לדיון בהארכת תוקף חוק האזרחות והכניסה לישראל סה"כ</t>
  </si>
  <si>
    <t>ועדה משותפת לוועדת הכנסת וועדת המדע לדיון בהלס"י בנושא אבטחת מאגרי מידע ממשלתיים ואופן השימוש בהם סה"כ</t>
  </si>
  <si>
    <t>https://oknesset.org/committee/meeting/14423/</t>
  </si>
  <si>
    <t>ועדה משותפת כלכלה ופנים לדיון בהצ"ח תאגידי מים וביוב סה"כ</t>
  </si>
  <si>
    <t>ועדת משנה לתקנות חוק שוויון זכויות לאנשים עם מוגבלות סה"כ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</si>
</sst>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0.0"/>
      <name val="Arial"/>
    </font>
    <font>
      <b/>
      <sz val="10.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left style="thin">
        <color rgb="FF999999"/>
      </left>
      <top style="thin">
        <color rgb="FFFFFFFF"/>
      </top>
    </border>
    <border>
      <left style="thin">
        <color rgb="FFFFFFFF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readingOrder="0" shrinkToFit="0" wrapText="0"/>
    </xf>
    <xf borderId="2" fillId="0" fontId="0" numFmtId="0" xfId="0" applyAlignment="1" applyBorder="1" applyFont="1">
      <alignment shrinkToFit="0" wrapText="0"/>
    </xf>
    <xf borderId="1" fillId="0" fontId="0" numFmtId="0" xfId="0" applyAlignment="1" applyBorder="1" applyFont="1">
      <alignment horizontal="right" readingOrder="0" shrinkToFit="0" wrapText="0"/>
    </xf>
    <xf borderId="3" fillId="0" fontId="0" numFmtId="0" xfId="0" applyAlignment="1" applyBorder="1" applyFont="1">
      <alignment horizontal="right" readingOrder="0" shrinkToFit="0" wrapText="0"/>
    </xf>
    <xf borderId="4" fillId="0" fontId="0" numFmtId="0" xfId="0" applyAlignment="1" applyBorder="1" applyFont="1">
      <alignment shrinkToFit="0" wrapText="0"/>
    </xf>
    <xf borderId="5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1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shrinkToFit="0" wrapText="0"/>
    </xf>
    <xf borderId="9" fillId="0" fontId="0" numFmtId="0" xfId="0" applyAlignment="1" applyBorder="1" applyFont="1">
      <alignment readingOrder="0" shrinkToFit="0" wrapText="0"/>
    </xf>
    <xf borderId="2" fillId="0" fontId="0" numFmtId="0" xfId="0" applyAlignment="1" applyBorder="1" applyFont="1">
      <alignment readingOrder="0" shrinkToFit="0" wrapText="0"/>
    </xf>
    <xf borderId="9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5" fillId="0" fontId="0" numFmtId="0" xfId="0" applyAlignment="1" applyBorder="1" applyFont="1">
      <alignment shrinkToFit="0" wrapText="0"/>
    </xf>
    <xf borderId="10" fillId="0" fontId="0" numFmtId="0" xfId="0" applyAlignment="1" applyBorder="1" applyFont="1">
      <alignment shrinkToFit="0" wrapText="0"/>
    </xf>
    <xf borderId="1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2" fontId="0" numFmtId="0" xfId="0" applyAlignment="1" applyFill="1" applyFont="1">
      <alignment readingOrder="0" shrinkToFit="0" wrapText="0"/>
    </xf>
    <xf borderId="0" fillId="2" fontId="0" numFmtId="0" xfId="0" applyAlignment="1" applyFont="1">
      <alignment shrinkToFit="0" wrapText="0"/>
    </xf>
    <xf borderId="0" fillId="2" fontId="1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2" fillId="0" fontId="3" numFmtId="0" xfId="0" applyAlignment="1" applyBorder="1" applyFont="1">
      <alignment horizontal="right" shrinkToFit="0" wrapText="0"/>
    </xf>
    <xf borderId="12" fillId="0" fontId="0" numFmtId="0" xfId="0" applyAlignment="1" applyBorder="1" applyFont="1">
      <alignment horizontal="right" shrinkToFit="0" wrapText="0"/>
    </xf>
    <xf borderId="4" fillId="0" fontId="4" numFmtId="0" xfId="0" applyAlignment="1" applyBorder="1" applyFont="1">
      <alignment horizontal="right" shrinkToFit="0" wrapText="0"/>
    </xf>
    <xf borderId="4" fillId="0" fontId="0" numFmtId="0" xfId="0" applyAlignment="1" applyBorder="1" applyFont="1">
      <alignment horizontal="right" shrinkToFit="0" wrapText="0"/>
    </xf>
    <xf borderId="8" fillId="0" fontId="0" numFmtId="0" xfId="0" applyAlignment="1" applyBorder="1" applyFont="1">
      <alignment horizontal="right" shrinkToFit="0" wrapText="0"/>
    </xf>
    <xf borderId="8" fillId="0" fontId="5" numFmtId="0" xfId="0" applyAlignment="1" applyBorder="1" applyFont="1">
      <alignment horizontal="right" shrinkToFit="0" wrapText="0"/>
    </xf>
    <xf borderId="2" fillId="0" fontId="0" numFmtId="0" xfId="0" applyAlignment="1" applyBorder="1" applyFont="1">
      <alignment horizontal="right" shrinkToFit="0" wrapText="0"/>
    </xf>
    <xf borderId="13" fillId="0" fontId="0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0"/>
  <cols>
    <col customWidth="1" min="1" max="1" width="16.13"/>
    <col customWidth="1" min="2" max="2" width="17.88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2">
        <v>70.0</v>
      </c>
    </row>
    <row r="3" ht="15.75" customHeight="1">
      <c r="A3" s="4" t="s">
        <v>3</v>
      </c>
      <c r="B3" s="5">
        <v>66.0</v>
      </c>
    </row>
    <row r="4" ht="15.75" customHeight="1">
      <c r="A4" s="4" t="s">
        <v>4</v>
      </c>
      <c r="B4" s="5">
        <v>57.0</v>
      </c>
    </row>
    <row r="5" ht="15.75" customHeight="1">
      <c r="A5" s="4" t="s">
        <v>5</v>
      </c>
      <c r="B5" s="5">
        <v>55.0</v>
      </c>
    </row>
    <row r="6" ht="15.75" customHeight="1">
      <c r="A6" s="4" t="s">
        <v>6</v>
      </c>
      <c r="B6" s="5">
        <v>54.0</v>
      </c>
    </row>
    <row r="7" ht="15.75" customHeight="1">
      <c r="A7" s="4" t="s">
        <v>7</v>
      </c>
      <c r="B7" s="5">
        <v>51.0</v>
      </c>
    </row>
    <row r="8" ht="15.75" customHeight="1">
      <c r="A8" s="4" t="s">
        <v>8</v>
      </c>
      <c r="B8" s="5">
        <v>51.0</v>
      </c>
    </row>
    <row r="9" ht="15.75" customHeight="1">
      <c r="A9" s="4" t="s">
        <v>9</v>
      </c>
      <c r="B9" s="5">
        <v>51.0</v>
      </c>
    </row>
    <row r="10" ht="15.75" customHeight="1">
      <c r="A10" s="4" t="s">
        <v>10</v>
      </c>
      <c r="B10" s="5">
        <v>45.0</v>
      </c>
    </row>
    <row r="11" ht="15.75" customHeight="1">
      <c r="A11" s="4" t="s">
        <v>11</v>
      </c>
      <c r="B11" s="5">
        <v>44.0</v>
      </c>
    </row>
    <row r="12" ht="15.75" customHeight="1">
      <c r="A12" s="4" t="s">
        <v>12</v>
      </c>
      <c r="B12" s="5">
        <v>43.0</v>
      </c>
    </row>
    <row r="13" ht="15.75" customHeight="1">
      <c r="A13" s="4" t="s">
        <v>13</v>
      </c>
      <c r="B13" s="5">
        <v>43.0</v>
      </c>
    </row>
    <row r="14" ht="15.75" customHeight="1">
      <c r="A14" s="4" t="s">
        <v>14</v>
      </c>
      <c r="B14" s="5">
        <v>42.0</v>
      </c>
    </row>
    <row r="15" ht="15.75" customHeight="1">
      <c r="A15" s="4" t="s">
        <v>15</v>
      </c>
      <c r="B15" s="5">
        <v>42.0</v>
      </c>
    </row>
    <row r="16" ht="15.75" customHeight="1">
      <c r="A16" s="4" t="s">
        <v>16</v>
      </c>
      <c r="B16" s="5">
        <v>42.0</v>
      </c>
    </row>
    <row r="17" ht="15.75" customHeight="1">
      <c r="A17" s="4" t="s">
        <v>17</v>
      </c>
      <c r="B17" s="5">
        <v>41.0</v>
      </c>
    </row>
    <row r="18" ht="15.75" customHeight="1">
      <c r="A18" s="4" t="s">
        <v>18</v>
      </c>
      <c r="B18" s="5">
        <v>40.0</v>
      </c>
    </row>
    <row r="19" ht="15.75" customHeight="1">
      <c r="A19" s="4" t="s">
        <v>19</v>
      </c>
      <c r="B19" s="5">
        <v>39.0</v>
      </c>
    </row>
    <row r="20" ht="15.75" customHeight="1">
      <c r="A20" s="4" t="s">
        <v>20</v>
      </c>
      <c r="B20" s="5">
        <v>39.0</v>
      </c>
    </row>
    <row r="21" ht="15.75" customHeight="1">
      <c r="A21" s="4" t="s">
        <v>21</v>
      </c>
      <c r="B21" s="5">
        <v>37.0</v>
      </c>
    </row>
    <row r="22" ht="15.75" customHeight="1">
      <c r="A22" s="4" t="s">
        <v>22</v>
      </c>
      <c r="B22" s="5">
        <v>37.0</v>
      </c>
    </row>
    <row r="23" ht="15.75" customHeight="1">
      <c r="A23" s="4" t="s">
        <v>23</v>
      </c>
      <c r="B23" s="5">
        <v>37.0</v>
      </c>
    </row>
    <row r="24" ht="15.75" customHeight="1">
      <c r="A24" s="4" t="s">
        <v>24</v>
      </c>
      <c r="B24" s="5">
        <v>35.0</v>
      </c>
    </row>
    <row r="25" ht="15.75" customHeight="1">
      <c r="A25" s="4" t="s">
        <v>25</v>
      </c>
      <c r="B25" s="5">
        <v>35.0</v>
      </c>
    </row>
    <row r="26" ht="15.75" customHeight="1">
      <c r="A26" s="4" t="s">
        <v>26</v>
      </c>
      <c r="B26" s="5">
        <v>32.0</v>
      </c>
    </row>
    <row r="27" ht="15.75" customHeight="1">
      <c r="A27" s="4" t="s">
        <v>27</v>
      </c>
      <c r="B27" s="5">
        <v>32.0</v>
      </c>
    </row>
    <row r="28" ht="15.75" customHeight="1">
      <c r="A28" s="4" t="s">
        <v>28</v>
      </c>
      <c r="B28" s="5">
        <v>30.0</v>
      </c>
    </row>
    <row r="29" ht="15.75" customHeight="1">
      <c r="A29" s="4" t="s">
        <v>29</v>
      </c>
      <c r="B29" s="5">
        <v>30.0</v>
      </c>
    </row>
    <row r="30" ht="15.75" customHeight="1">
      <c r="A30" s="4" t="s">
        <v>30</v>
      </c>
      <c r="B30" s="5">
        <v>28.0</v>
      </c>
    </row>
    <row r="31" ht="15.75" customHeight="1">
      <c r="A31" s="4" t="s">
        <v>31</v>
      </c>
      <c r="B31" s="5">
        <v>28.0</v>
      </c>
    </row>
    <row r="32" ht="15.75" customHeight="1">
      <c r="A32" s="4" t="s">
        <v>32</v>
      </c>
      <c r="B32" s="5">
        <v>28.0</v>
      </c>
    </row>
    <row r="33" ht="15.75" customHeight="1">
      <c r="A33" s="4" t="s">
        <v>33</v>
      </c>
      <c r="B33" s="5">
        <v>27.0</v>
      </c>
    </row>
    <row r="34" ht="15.75" customHeight="1">
      <c r="A34" s="4" t="s">
        <v>34</v>
      </c>
      <c r="B34" s="5">
        <v>26.0</v>
      </c>
    </row>
    <row r="35" ht="15.75" customHeight="1">
      <c r="A35" s="4" t="s">
        <v>35</v>
      </c>
      <c r="B35" s="5">
        <v>26.0</v>
      </c>
    </row>
    <row r="36" ht="15.75" customHeight="1">
      <c r="A36" s="4" t="s">
        <v>36</v>
      </c>
      <c r="B36" s="5">
        <v>25.0</v>
      </c>
    </row>
    <row r="37" ht="15.75" customHeight="1">
      <c r="A37" s="4" t="s">
        <v>37</v>
      </c>
      <c r="B37" s="5">
        <v>24.0</v>
      </c>
    </row>
    <row r="38" ht="15.75" customHeight="1">
      <c r="A38" s="4" t="s">
        <v>38</v>
      </c>
      <c r="B38" s="5">
        <v>24.0</v>
      </c>
    </row>
    <row r="39" ht="15.75" customHeight="1">
      <c r="A39" s="4" t="s">
        <v>39</v>
      </c>
      <c r="B39" s="5">
        <v>23.0</v>
      </c>
    </row>
    <row r="40" ht="15.75" customHeight="1">
      <c r="A40" s="4" t="s">
        <v>40</v>
      </c>
      <c r="B40" s="5">
        <v>21.0</v>
      </c>
    </row>
    <row r="41" ht="15.75" customHeight="1">
      <c r="A41" s="4" t="s">
        <v>41</v>
      </c>
      <c r="B41" s="5">
        <v>21.0</v>
      </c>
    </row>
    <row r="42" ht="15.75" customHeight="1">
      <c r="A42" s="4" t="s">
        <v>42</v>
      </c>
      <c r="B42" s="5">
        <v>21.0</v>
      </c>
    </row>
    <row r="43" ht="15.75" customHeight="1">
      <c r="A43" s="4" t="s">
        <v>43</v>
      </c>
      <c r="B43" s="5">
        <v>20.0</v>
      </c>
    </row>
    <row r="44" ht="15.75" customHeight="1">
      <c r="A44" s="4" t="s">
        <v>44</v>
      </c>
      <c r="B44" s="5">
        <v>19.0</v>
      </c>
    </row>
    <row r="45" ht="15.75" customHeight="1">
      <c r="A45" s="4" t="s">
        <v>45</v>
      </c>
      <c r="B45" s="5">
        <v>18.0</v>
      </c>
    </row>
    <row r="46" ht="15.75" customHeight="1">
      <c r="A46" s="4" t="s">
        <v>46</v>
      </c>
      <c r="B46" s="5">
        <v>18.0</v>
      </c>
    </row>
    <row r="47" ht="15.75" customHeight="1">
      <c r="A47" s="4" t="s">
        <v>47</v>
      </c>
      <c r="B47" s="5">
        <v>18.0</v>
      </c>
    </row>
    <row r="48" ht="15.75" customHeight="1">
      <c r="A48" s="4" t="s">
        <v>48</v>
      </c>
      <c r="B48" s="5">
        <v>18.0</v>
      </c>
    </row>
    <row r="49" ht="15.75" customHeight="1">
      <c r="A49" s="4" t="s">
        <v>49</v>
      </c>
      <c r="B49" s="5">
        <v>18.0</v>
      </c>
    </row>
    <row r="50" ht="15.75" customHeight="1">
      <c r="A50" s="4" t="s">
        <v>50</v>
      </c>
      <c r="B50" s="5">
        <v>17.0</v>
      </c>
    </row>
    <row r="51" ht="15.75" customHeight="1">
      <c r="A51" s="4" t="s">
        <v>51</v>
      </c>
      <c r="B51" s="5">
        <v>16.0</v>
      </c>
    </row>
    <row r="52" ht="15.75" customHeight="1">
      <c r="A52" s="4" t="s">
        <v>52</v>
      </c>
      <c r="B52" s="5">
        <v>16.0</v>
      </c>
    </row>
    <row r="53" ht="15.75" customHeight="1">
      <c r="A53" s="4" t="s">
        <v>53</v>
      </c>
      <c r="B53" s="5">
        <v>15.0</v>
      </c>
    </row>
    <row r="54" ht="15.75" customHeight="1">
      <c r="A54" s="4" t="s">
        <v>54</v>
      </c>
      <c r="B54" s="5">
        <v>15.0</v>
      </c>
    </row>
    <row r="55" ht="15.75" customHeight="1">
      <c r="A55" s="4" t="s">
        <v>55</v>
      </c>
      <c r="B55" s="5">
        <v>14.0</v>
      </c>
    </row>
    <row r="56" ht="15.75" customHeight="1">
      <c r="A56" s="4" t="s">
        <v>56</v>
      </c>
      <c r="B56" s="5">
        <v>13.0</v>
      </c>
    </row>
    <row r="57" ht="15.75" customHeight="1">
      <c r="A57" s="4" t="s">
        <v>57</v>
      </c>
      <c r="B57" s="5">
        <v>13.0</v>
      </c>
    </row>
    <row r="58" ht="15.75" customHeight="1">
      <c r="A58" s="4" t="s">
        <v>58</v>
      </c>
      <c r="B58" s="5">
        <v>13.0</v>
      </c>
    </row>
    <row r="59" ht="15.75" customHeight="1">
      <c r="A59" s="4" t="s">
        <v>59</v>
      </c>
      <c r="B59" s="5">
        <v>12.0</v>
      </c>
    </row>
    <row r="60" ht="15.75" customHeight="1">
      <c r="A60" s="4" t="s">
        <v>60</v>
      </c>
      <c r="B60" s="5">
        <v>12.0</v>
      </c>
    </row>
    <row r="61" ht="15.75" customHeight="1">
      <c r="A61" s="4" t="s">
        <v>61</v>
      </c>
      <c r="B61" s="5">
        <v>12.0</v>
      </c>
    </row>
    <row r="62" ht="15.75" customHeight="1">
      <c r="A62" s="4" t="s">
        <v>62</v>
      </c>
      <c r="B62" s="5">
        <v>11.0</v>
      </c>
    </row>
    <row r="63" ht="15.75" customHeight="1">
      <c r="A63" s="4" t="s">
        <v>63</v>
      </c>
      <c r="B63" s="5">
        <v>10.0</v>
      </c>
    </row>
    <row r="64" ht="15.75" customHeight="1">
      <c r="A64" s="4" t="s">
        <v>64</v>
      </c>
      <c r="B64" s="5">
        <v>10.0</v>
      </c>
    </row>
    <row r="65" ht="15.75" customHeight="1">
      <c r="A65" s="4" t="s">
        <v>65</v>
      </c>
      <c r="B65" s="5">
        <v>10.0</v>
      </c>
    </row>
    <row r="66" ht="15.75" customHeight="1">
      <c r="A66" s="4" t="s">
        <v>66</v>
      </c>
      <c r="B66" s="5">
        <v>9.0</v>
      </c>
    </row>
    <row r="67" ht="15.75" customHeight="1">
      <c r="A67" s="4" t="s">
        <v>67</v>
      </c>
      <c r="B67" s="5">
        <v>9.0</v>
      </c>
    </row>
    <row r="68" ht="15.75" customHeight="1">
      <c r="A68" s="4" t="s">
        <v>68</v>
      </c>
      <c r="B68" s="5">
        <v>9.0</v>
      </c>
    </row>
    <row r="69" ht="15.75" customHeight="1">
      <c r="A69" s="4" t="s">
        <v>69</v>
      </c>
      <c r="B69" s="5">
        <v>9.0</v>
      </c>
    </row>
    <row r="70" ht="15.75" customHeight="1">
      <c r="A70" s="4" t="s">
        <v>70</v>
      </c>
      <c r="B70" s="5">
        <v>8.0</v>
      </c>
    </row>
    <row r="71" ht="15.75" customHeight="1">
      <c r="A71" s="4" t="s">
        <v>71</v>
      </c>
      <c r="B71" s="5">
        <v>8.0</v>
      </c>
    </row>
    <row r="72" ht="15.75" customHeight="1">
      <c r="A72" s="4" t="s">
        <v>72</v>
      </c>
      <c r="B72" s="5">
        <v>8.0</v>
      </c>
    </row>
    <row r="73" ht="15.75" customHeight="1">
      <c r="A73" s="4" t="s">
        <v>73</v>
      </c>
      <c r="B73" s="5">
        <v>8.0</v>
      </c>
    </row>
    <row r="74" ht="15.75" customHeight="1">
      <c r="A74" s="4" t="s">
        <v>74</v>
      </c>
      <c r="B74" s="5">
        <v>7.0</v>
      </c>
    </row>
    <row r="75" ht="15.75" customHeight="1">
      <c r="A75" s="4" t="s">
        <v>75</v>
      </c>
      <c r="B75" s="5">
        <v>7.0</v>
      </c>
    </row>
    <row r="76" ht="15.75" customHeight="1">
      <c r="A76" s="4" t="s">
        <v>76</v>
      </c>
      <c r="B76" s="5">
        <v>7.0</v>
      </c>
    </row>
    <row r="77" ht="15.75" customHeight="1">
      <c r="A77" s="4" t="s">
        <v>77</v>
      </c>
      <c r="B77" s="5">
        <v>7.0</v>
      </c>
    </row>
    <row r="78" ht="15.75" customHeight="1">
      <c r="A78" s="4" t="s">
        <v>78</v>
      </c>
      <c r="B78" s="5">
        <v>7.0</v>
      </c>
    </row>
    <row r="79" ht="15.75" customHeight="1">
      <c r="A79" s="4" t="s">
        <v>79</v>
      </c>
      <c r="B79" s="5">
        <v>7.0</v>
      </c>
    </row>
    <row r="80" ht="15.75" customHeight="1">
      <c r="A80" s="4" t="s">
        <v>80</v>
      </c>
      <c r="B80" s="5">
        <v>6.0</v>
      </c>
    </row>
    <row r="81" ht="15.75" customHeight="1">
      <c r="A81" s="4" t="s">
        <v>81</v>
      </c>
      <c r="B81" s="5">
        <v>6.0</v>
      </c>
    </row>
    <row r="82" ht="15.75" customHeight="1">
      <c r="A82" s="4" t="s">
        <v>82</v>
      </c>
      <c r="B82" s="5">
        <v>5.0</v>
      </c>
    </row>
    <row r="83" ht="15.75" customHeight="1">
      <c r="A83" s="4" t="s">
        <v>83</v>
      </c>
      <c r="B83" s="5">
        <v>5.0</v>
      </c>
    </row>
    <row r="84" ht="15.75" customHeight="1">
      <c r="A84" s="4" t="s">
        <v>84</v>
      </c>
      <c r="B84" s="5">
        <v>3.0</v>
      </c>
    </row>
    <row r="85" ht="15.75" customHeight="1">
      <c r="A85" s="4" t="s">
        <v>85</v>
      </c>
      <c r="B85" s="5">
        <v>3.0</v>
      </c>
    </row>
    <row r="86" ht="15.75" customHeight="1">
      <c r="A86" s="4" t="s">
        <v>86</v>
      </c>
      <c r="B86" s="5">
        <v>3.0</v>
      </c>
    </row>
    <row r="87" ht="15.75" customHeight="1">
      <c r="A87" s="4" t="s">
        <v>87</v>
      </c>
      <c r="B87" s="5">
        <v>3.0</v>
      </c>
    </row>
    <row r="88" ht="15.75" customHeight="1">
      <c r="A88" s="4" t="s">
        <v>88</v>
      </c>
      <c r="B88" s="5">
        <v>3.0</v>
      </c>
    </row>
    <row r="89" ht="15.75" customHeight="1">
      <c r="A89" s="4" t="s">
        <v>89</v>
      </c>
      <c r="B89" s="5">
        <v>2.0</v>
      </c>
    </row>
    <row r="90" ht="15.75" customHeight="1">
      <c r="A90" s="4" t="s">
        <v>90</v>
      </c>
      <c r="B90" s="5">
        <v>2.0</v>
      </c>
    </row>
    <row r="91" ht="15.75" customHeight="1">
      <c r="A91" s="4" t="s">
        <v>91</v>
      </c>
      <c r="B91" s="5">
        <v>2.0</v>
      </c>
    </row>
    <row r="92" ht="15.75" customHeight="1">
      <c r="A92" s="4" t="s">
        <v>92</v>
      </c>
      <c r="B92" s="5">
        <v>2.0</v>
      </c>
    </row>
    <row r="93" ht="15.75" customHeight="1">
      <c r="A93" s="4" t="s">
        <v>93</v>
      </c>
      <c r="B93" s="5">
        <v>2.0</v>
      </c>
    </row>
    <row r="94" ht="15.75" customHeight="1">
      <c r="A94" s="4" t="s">
        <v>94</v>
      </c>
      <c r="B94" s="5">
        <v>2.0</v>
      </c>
    </row>
    <row r="95" ht="15.75" customHeight="1">
      <c r="A95" s="4" t="s">
        <v>95</v>
      </c>
      <c r="B95" s="5">
        <v>2.0</v>
      </c>
    </row>
    <row r="96" ht="15.75" customHeight="1">
      <c r="A96" s="4" t="s">
        <v>96</v>
      </c>
      <c r="B96" s="5">
        <v>1.0</v>
      </c>
    </row>
    <row r="97" ht="15.75" customHeight="1">
      <c r="A97" s="4" t="s">
        <v>97</v>
      </c>
      <c r="B97" s="5">
        <v>1.0</v>
      </c>
    </row>
    <row r="98" ht="15.75" customHeight="1">
      <c r="A98" s="4" t="s">
        <v>98</v>
      </c>
      <c r="B98" s="5">
        <v>1.0</v>
      </c>
    </row>
    <row r="99" ht="15.75" customHeight="1">
      <c r="A99" s="4" t="s">
        <v>99</v>
      </c>
      <c r="B99" s="5">
        <v>1.0</v>
      </c>
    </row>
    <row r="100" ht="15.75" customHeight="1">
      <c r="A100" s="4" t="s">
        <v>100</v>
      </c>
      <c r="B100" s="5">
        <v>1.0</v>
      </c>
    </row>
    <row r="101" ht="15.75" customHeight="1">
      <c r="A101" s="4" t="s">
        <v>101</v>
      </c>
      <c r="B101" s="5">
        <v>1.0</v>
      </c>
    </row>
    <row r="102" ht="15.75" customHeight="1">
      <c r="A102" s="4" t="s">
        <v>102</v>
      </c>
      <c r="B102" s="5">
        <v>1.0</v>
      </c>
    </row>
    <row r="103" ht="15.75" customHeight="1">
      <c r="A103" s="4" t="s">
        <v>103</v>
      </c>
      <c r="B103" s="5">
        <v>1.0</v>
      </c>
    </row>
    <row r="104" ht="15.75" customHeight="1">
      <c r="A104" s="4" t="s">
        <v>104</v>
      </c>
      <c r="B104" s="5">
        <v>1.0</v>
      </c>
    </row>
    <row r="105" ht="15.75" customHeight="1">
      <c r="A105" s="4" t="s">
        <v>105</v>
      </c>
      <c r="B105" s="5">
        <v>1.0</v>
      </c>
    </row>
    <row r="106" ht="15.75" customHeight="1">
      <c r="A106" s="6" t="s">
        <v>106</v>
      </c>
      <c r="B106" s="7">
        <v>2051.0</v>
      </c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0"/>
  <cols>
    <col customWidth="1" min="1" max="1" width="19.0"/>
    <col customWidth="1" min="2" max="32" width="12.63"/>
  </cols>
  <sheetData>
    <row r="1" ht="15.75" customHeight="1">
      <c r="A1" s="9" t="s">
        <v>1</v>
      </c>
      <c r="B1" s="1" t="s">
        <v>107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1"/>
    </row>
    <row r="2" ht="15.75" customHeight="1">
      <c r="A2" s="1" t="s">
        <v>0</v>
      </c>
      <c r="B2" s="1" t="s">
        <v>108</v>
      </c>
      <c r="C2" s="12" t="s">
        <v>109</v>
      </c>
      <c r="D2" s="12" t="s">
        <v>110</v>
      </c>
      <c r="E2" s="12" t="s">
        <v>111</v>
      </c>
      <c r="F2" s="12" t="s">
        <v>112</v>
      </c>
      <c r="G2" s="12" t="s">
        <v>113</v>
      </c>
      <c r="H2" s="12" t="s">
        <v>114</v>
      </c>
      <c r="I2" s="12" t="s">
        <v>115</v>
      </c>
      <c r="J2" s="12" t="s">
        <v>116</v>
      </c>
      <c r="K2" s="12" t="s">
        <v>117</v>
      </c>
      <c r="L2" s="12" t="s">
        <v>118</v>
      </c>
      <c r="M2" s="12" t="s">
        <v>119</v>
      </c>
      <c r="N2" s="12" t="s">
        <v>120</v>
      </c>
      <c r="O2" s="12" t="s">
        <v>121</v>
      </c>
      <c r="P2" s="12" t="s">
        <v>122</v>
      </c>
      <c r="Q2" s="12" t="s">
        <v>123</v>
      </c>
      <c r="R2" s="12" t="s">
        <v>124</v>
      </c>
      <c r="S2" s="12" t="s">
        <v>125</v>
      </c>
      <c r="T2" s="12" t="s">
        <v>126</v>
      </c>
      <c r="U2" s="12" t="s">
        <v>127</v>
      </c>
      <c r="V2" s="12" t="s">
        <v>128</v>
      </c>
      <c r="W2" s="12" t="s">
        <v>129</v>
      </c>
      <c r="X2" s="12" t="s">
        <v>130</v>
      </c>
      <c r="Y2" s="12" t="s">
        <v>131</v>
      </c>
      <c r="Z2" s="12" t="s">
        <v>132</v>
      </c>
      <c r="AA2" s="12" t="s">
        <v>133</v>
      </c>
      <c r="AB2" s="12" t="s">
        <v>134</v>
      </c>
      <c r="AC2" s="12" t="s">
        <v>135</v>
      </c>
      <c r="AD2" s="12" t="s">
        <v>136</v>
      </c>
      <c r="AE2" s="12" t="s">
        <v>137</v>
      </c>
      <c r="AF2" s="13" t="s">
        <v>106</v>
      </c>
    </row>
    <row r="3" ht="15.75" customHeight="1">
      <c r="A3" s="3" t="s">
        <v>2</v>
      </c>
      <c r="B3" s="9">
        <v>62.0</v>
      </c>
      <c r="C3" s="14"/>
      <c r="D3" s="14"/>
      <c r="E3" s="14"/>
      <c r="F3" s="14"/>
      <c r="G3" s="14">
        <v>5.0</v>
      </c>
      <c r="H3" s="14"/>
      <c r="I3" s="14"/>
      <c r="J3" s="14"/>
      <c r="K3" s="14"/>
      <c r="L3" s="14"/>
      <c r="M3" s="14"/>
      <c r="N3" s="14"/>
      <c r="O3" s="14"/>
      <c r="P3" s="14"/>
      <c r="Q3" s="14">
        <v>1.0</v>
      </c>
      <c r="R3" s="14"/>
      <c r="S3" s="14"/>
      <c r="T3" s="14"/>
      <c r="U3" s="14"/>
      <c r="V3" s="14">
        <v>1.0</v>
      </c>
      <c r="W3" s="14"/>
      <c r="X3" s="14"/>
      <c r="Y3" s="14"/>
      <c r="Z3" s="14"/>
      <c r="AA3" s="14">
        <v>1.0</v>
      </c>
      <c r="AB3" s="14"/>
      <c r="AC3" s="14"/>
      <c r="AD3" s="14"/>
      <c r="AE3" s="14"/>
      <c r="AF3" s="2">
        <v>70.0</v>
      </c>
    </row>
    <row r="4" ht="15.75" customHeight="1">
      <c r="A4" s="4" t="s">
        <v>3</v>
      </c>
      <c r="B4" s="15">
        <v>15.0</v>
      </c>
      <c r="C4" s="16"/>
      <c r="D4" s="16">
        <v>6.0</v>
      </c>
      <c r="E4" s="16">
        <v>4.0</v>
      </c>
      <c r="F4" s="16">
        <v>2.0</v>
      </c>
      <c r="G4" s="16">
        <v>23.0</v>
      </c>
      <c r="H4" s="16"/>
      <c r="I4" s="16">
        <v>3.0</v>
      </c>
      <c r="J4" s="16"/>
      <c r="K4" s="16"/>
      <c r="L4" s="16">
        <v>2.0</v>
      </c>
      <c r="M4" s="16">
        <v>1.0</v>
      </c>
      <c r="N4" s="16"/>
      <c r="O4" s="16">
        <v>7.0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>
        <v>3.0</v>
      </c>
      <c r="AE4" s="16"/>
      <c r="AF4" s="5">
        <v>66.0</v>
      </c>
    </row>
    <row r="5" ht="15.75" customHeight="1">
      <c r="A5" s="4" t="s">
        <v>4</v>
      </c>
      <c r="B5" s="15">
        <v>8.0</v>
      </c>
      <c r="C5" s="16"/>
      <c r="D5" s="16">
        <v>4.0</v>
      </c>
      <c r="E5" s="16">
        <v>1.0</v>
      </c>
      <c r="F5" s="16">
        <v>29.0</v>
      </c>
      <c r="G5" s="16">
        <v>5.0</v>
      </c>
      <c r="H5" s="16"/>
      <c r="I5" s="16">
        <v>3.0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>
        <v>5.0</v>
      </c>
      <c r="W5" s="16">
        <v>1.0</v>
      </c>
      <c r="X5" s="16"/>
      <c r="Y5" s="16"/>
      <c r="Z5" s="16"/>
      <c r="AA5" s="16"/>
      <c r="AB5" s="16"/>
      <c r="AC5" s="16">
        <v>1.0</v>
      </c>
      <c r="AD5" s="16"/>
      <c r="AE5" s="16"/>
      <c r="AF5" s="5">
        <v>57.0</v>
      </c>
    </row>
    <row r="6" ht="15.75" customHeight="1">
      <c r="A6" s="4" t="s">
        <v>5</v>
      </c>
      <c r="B6" s="15">
        <v>5.0</v>
      </c>
      <c r="C6" s="16">
        <v>3.0</v>
      </c>
      <c r="D6" s="16">
        <v>3.0</v>
      </c>
      <c r="E6" s="16">
        <v>10.0</v>
      </c>
      <c r="F6" s="16">
        <v>7.0</v>
      </c>
      <c r="G6" s="16">
        <v>3.0</v>
      </c>
      <c r="H6" s="16">
        <v>1.0</v>
      </c>
      <c r="I6" s="16">
        <v>5.0</v>
      </c>
      <c r="J6" s="16"/>
      <c r="K6" s="16">
        <v>1.0</v>
      </c>
      <c r="L6" s="16">
        <v>2.0</v>
      </c>
      <c r="M6" s="16"/>
      <c r="N6" s="16"/>
      <c r="O6" s="16">
        <v>2.0</v>
      </c>
      <c r="P6" s="16"/>
      <c r="Q6" s="16">
        <v>1.0</v>
      </c>
      <c r="R6" s="16">
        <v>1.0</v>
      </c>
      <c r="S6" s="16">
        <v>2.0</v>
      </c>
      <c r="T6" s="16"/>
      <c r="U6" s="16">
        <v>2.0</v>
      </c>
      <c r="V6" s="16">
        <v>2.0</v>
      </c>
      <c r="W6" s="16"/>
      <c r="X6" s="16">
        <v>2.0</v>
      </c>
      <c r="Y6" s="16">
        <v>1.0</v>
      </c>
      <c r="Z6" s="16"/>
      <c r="AA6" s="16"/>
      <c r="AB6" s="16">
        <v>1.0</v>
      </c>
      <c r="AC6" s="16"/>
      <c r="AD6" s="16">
        <v>1.0</v>
      </c>
      <c r="AE6" s="16"/>
      <c r="AF6" s="5">
        <v>55.0</v>
      </c>
    </row>
    <row r="7" ht="15.75" customHeight="1">
      <c r="A7" s="4" t="s">
        <v>6</v>
      </c>
      <c r="B7" s="15"/>
      <c r="C7" s="16"/>
      <c r="D7" s="16"/>
      <c r="E7" s="16">
        <v>43.0</v>
      </c>
      <c r="F7" s="16"/>
      <c r="G7" s="16">
        <v>2.0</v>
      </c>
      <c r="H7" s="16"/>
      <c r="I7" s="16"/>
      <c r="J7" s="16"/>
      <c r="K7" s="16"/>
      <c r="L7" s="16"/>
      <c r="M7" s="16">
        <v>1.0</v>
      </c>
      <c r="N7" s="16"/>
      <c r="O7" s="16">
        <v>6.0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>
        <v>2.0</v>
      </c>
      <c r="AE7" s="16"/>
      <c r="AF7" s="5">
        <v>54.0</v>
      </c>
    </row>
    <row r="8" ht="15.75" customHeight="1">
      <c r="A8" s="4" t="s">
        <v>7</v>
      </c>
      <c r="B8" s="15">
        <v>42.0</v>
      </c>
      <c r="C8" s="16"/>
      <c r="D8" s="16">
        <v>2.0</v>
      </c>
      <c r="E8" s="16">
        <v>2.0</v>
      </c>
      <c r="F8" s="16"/>
      <c r="G8" s="16"/>
      <c r="H8" s="16"/>
      <c r="I8" s="16">
        <v>2.0</v>
      </c>
      <c r="J8" s="16">
        <v>1.0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>
        <v>2.0</v>
      </c>
      <c r="W8" s="16"/>
      <c r="X8" s="16"/>
      <c r="Y8" s="16"/>
      <c r="Z8" s="16"/>
      <c r="AA8" s="16"/>
      <c r="AB8" s="16"/>
      <c r="AC8" s="16"/>
      <c r="AD8" s="16"/>
      <c r="AE8" s="16"/>
      <c r="AF8" s="5">
        <v>51.0</v>
      </c>
    </row>
    <row r="9" ht="15.75" customHeight="1">
      <c r="A9" s="4" t="s">
        <v>8</v>
      </c>
      <c r="B9" s="15">
        <v>12.0</v>
      </c>
      <c r="C9" s="16"/>
      <c r="D9" s="16">
        <v>1.0</v>
      </c>
      <c r="E9" s="16">
        <v>6.0</v>
      </c>
      <c r="F9" s="16">
        <v>4.0</v>
      </c>
      <c r="G9" s="16">
        <v>16.0</v>
      </c>
      <c r="H9" s="16"/>
      <c r="I9" s="16">
        <v>2.0</v>
      </c>
      <c r="J9" s="16">
        <v>1.0</v>
      </c>
      <c r="K9" s="16"/>
      <c r="L9" s="16"/>
      <c r="M9" s="16">
        <v>1.0</v>
      </c>
      <c r="N9" s="16"/>
      <c r="O9" s="16">
        <v>7.0</v>
      </c>
      <c r="P9" s="16"/>
      <c r="Q9" s="16"/>
      <c r="R9" s="16"/>
      <c r="S9" s="16"/>
      <c r="T9" s="16"/>
      <c r="U9" s="16"/>
      <c r="V9" s="16">
        <v>1.0</v>
      </c>
      <c r="W9" s="16"/>
      <c r="X9" s="16"/>
      <c r="Y9" s="16"/>
      <c r="Z9" s="16"/>
      <c r="AA9" s="16"/>
      <c r="AB9" s="16"/>
      <c r="AC9" s="16"/>
      <c r="AD9" s="16"/>
      <c r="AE9" s="16"/>
      <c r="AF9" s="5">
        <v>51.0</v>
      </c>
    </row>
    <row r="10" ht="15.75" customHeight="1">
      <c r="A10" s="4" t="s">
        <v>9</v>
      </c>
      <c r="B10" s="15">
        <v>27.0</v>
      </c>
      <c r="C10" s="16"/>
      <c r="D10" s="16">
        <v>4.0</v>
      </c>
      <c r="E10" s="16">
        <v>6.0</v>
      </c>
      <c r="F10" s="16"/>
      <c r="G10" s="16">
        <v>3.0</v>
      </c>
      <c r="H10" s="16"/>
      <c r="I10" s="16">
        <v>1.0</v>
      </c>
      <c r="J10" s="16"/>
      <c r="K10" s="16"/>
      <c r="L10" s="16">
        <v>3.0</v>
      </c>
      <c r="M10" s="16"/>
      <c r="N10" s="16"/>
      <c r="O10" s="16">
        <v>1.0</v>
      </c>
      <c r="P10" s="16"/>
      <c r="Q10" s="16">
        <v>3.0</v>
      </c>
      <c r="R10" s="16"/>
      <c r="S10" s="16"/>
      <c r="T10" s="16"/>
      <c r="U10" s="16">
        <v>1.0</v>
      </c>
      <c r="V10" s="16">
        <v>1.0</v>
      </c>
      <c r="W10" s="16"/>
      <c r="X10" s="16"/>
      <c r="Y10" s="16"/>
      <c r="Z10" s="16"/>
      <c r="AA10" s="16"/>
      <c r="AB10" s="16"/>
      <c r="AC10" s="16"/>
      <c r="AD10" s="16">
        <v>1.0</v>
      </c>
      <c r="AE10" s="16"/>
      <c r="AF10" s="5">
        <v>51.0</v>
      </c>
    </row>
    <row r="11" ht="15.75" customHeight="1">
      <c r="A11" s="4" t="s">
        <v>10</v>
      </c>
      <c r="B11" s="15">
        <v>9.0</v>
      </c>
      <c r="C11" s="16">
        <v>1.0</v>
      </c>
      <c r="D11" s="16">
        <v>6.0</v>
      </c>
      <c r="E11" s="16"/>
      <c r="F11" s="16">
        <v>1.0</v>
      </c>
      <c r="G11" s="16">
        <v>19.0</v>
      </c>
      <c r="H11" s="16"/>
      <c r="I11" s="16"/>
      <c r="J11" s="16"/>
      <c r="K11" s="16"/>
      <c r="L11" s="16"/>
      <c r="M11" s="16">
        <v>1.0</v>
      </c>
      <c r="N11" s="16"/>
      <c r="O11" s="16">
        <v>2.0</v>
      </c>
      <c r="P11" s="16"/>
      <c r="Q11" s="16">
        <v>3.0</v>
      </c>
      <c r="R11" s="16"/>
      <c r="S11" s="16"/>
      <c r="T11" s="16"/>
      <c r="U11" s="16"/>
      <c r="V11" s="16"/>
      <c r="W11" s="16">
        <v>1.0</v>
      </c>
      <c r="X11" s="16"/>
      <c r="Y11" s="16"/>
      <c r="Z11" s="16"/>
      <c r="AA11" s="16">
        <v>1.0</v>
      </c>
      <c r="AB11" s="16"/>
      <c r="AC11" s="16">
        <v>1.0</v>
      </c>
      <c r="AD11" s="16"/>
      <c r="AE11" s="16"/>
      <c r="AF11" s="5">
        <v>45.0</v>
      </c>
    </row>
    <row r="12" ht="15.75" customHeight="1">
      <c r="A12" s="4" t="s">
        <v>11</v>
      </c>
      <c r="B12" s="15">
        <v>36.0</v>
      </c>
      <c r="C12" s="16"/>
      <c r="D12" s="16"/>
      <c r="E12" s="16"/>
      <c r="F12" s="16">
        <v>3.0</v>
      </c>
      <c r="G12" s="16">
        <v>3.0</v>
      </c>
      <c r="H12" s="16"/>
      <c r="I12" s="16"/>
      <c r="J12" s="16"/>
      <c r="K12" s="16"/>
      <c r="L12" s="16"/>
      <c r="M12" s="16">
        <v>1.0</v>
      </c>
      <c r="N12" s="16"/>
      <c r="O12" s="16"/>
      <c r="P12" s="16"/>
      <c r="Q12" s="16"/>
      <c r="R12" s="16"/>
      <c r="S12" s="16"/>
      <c r="T12" s="16"/>
      <c r="U12" s="16"/>
      <c r="V12" s="16">
        <v>1.0</v>
      </c>
      <c r="W12" s="16"/>
      <c r="X12" s="16"/>
      <c r="Y12" s="16"/>
      <c r="Z12" s="16"/>
      <c r="AA12" s="16"/>
      <c r="AB12" s="16"/>
      <c r="AC12" s="16"/>
      <c r="AD12" s="16"/>
      <c r="AE12" s="16"/>
      <c r="AF12" s="5">
        <v>44.0</v>
      </c>
    </row>
    <row r="13" ht="15.75" customHeight="1">
      <c r="A13" s="4" t="s">
        <v>12</v>
      </c>
      <c r="B13" s="15">
        <v>6.0</v>
      </c>
      <c r="C13" s="16"/>
      <c r="D13" s="16">
        <v>7.0</v>
      </c>
      <c r="E13" s="16">
        <v>2.0</v>
      </c>
      <c r="F13" s="16"/>
      <c r="G13" s="16">
        <v>7.0</v>
      </c>
      <c r="H13" s="16"/>
      <c r="I13" s="16">
        <v>15.0</v>
      </c>
      <c r="J13" s="16"/>
      <c r="K13" s="16"/>
      <c r="L13" s="16">
        <v>1.0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>
        <v>2.0</v>
      </c>
      <c r="Y13" s="16"/>
      <c r="Z13" s="16"/>
      <c r="AA13" s="16"/>
      <c r="AB13" s="16"/>
      <c r="AC13" s="16"/>
      <c r="AD13" s="16">
        <v>3.0</v>
      </c>
      <c r="AE13" s="16"/>
      <c r="AF13" s="5">
        <v>43.0</v>
      </c>
    </row>
    <row r="14" ht="15.75" customHeight="1">
      <c r="A14" s="4" t="s">
        <v>13</v>
      </c>
      <c r="B14" s="15">
        <v>6.0</v>
      </c>
      <c r="C14" s="16"/>
      <c r="D14" s="16">
        <v>6.0</v>
      </c>
      <c r="E14" s="16">
        <v>5.0</v>
      </c>
      <c r="F14" s="16">
        <v>15.0</v>
      </c>
      <c r="G14" s="16">
        <v>6.0</v>
      </c>
      <c r="H14" s="16"/>
      <c r="I14" s="16">
        <v>1.0</v>
      </c>
      <c r="J14" s="16"/>
      <c r="K14" s="16">
        <v>1.0</v>
      </c>
      <c r="L14" s="16"/>
      <c r="M14" s="16"/>
      <c r="N14" s="16"/>
      <c r="O14" s="16"/>
      <c r="P14" s="16"/>
      <c r="Q14" s="16"/>
      <c r="R14" s="16">
        <v>1.0</v>
      </c>
      <c r="S14" s="16"/>
      <c r="T14" s="16"/>
      <c r="U14" s="16"/>
      <c r="V14" s="16"/>
      <c r="W14" s="16"/>
      <c r="X14" s="16"/>
      <c r="Y14" s="16"/>
      <c r="Z14" s="16"/>
      <c r="AA14" s="16"/>
      <c r="AB14" s="16">
        <v>1.0</v>
      </c>
      <c r="AC14" s="16"/>
      <c r="AD14" s="16">
        <v>1.0</v>
      </c>
      <c r="AE14" s="16"/>
      <c r="AF14" s="5">
        <v>43.0</v>
      </c>
    </row>
    <row r="15" ht="15.75" customHeight="1">
      <c r="A15" s="4" t="s">
        <v>14</v>
      </c>
      <c r="B15" s="15">
        <v>5.0</v>
      </c>
      <c r="C15" s="16"/>
      <c r="D15" s="16"/>
      <c r="E15" s="16"/>
      <c r="F15" s="16"/>
      <c r="G15" s="16">
        <v>25.0</v>
      </c>
      <c r="H15" s="16"/>
      <c r="I15" s="16">
        <v>1.0</v>
      </c>
      <c r="J15" s="16"/>
      <c r="K15" s="16"/>
      <c r="L15" s="16">
        <v>2.0</v>
      </c>
      <c r="M15" s="16">
        <v>1.0</v>
      </c>
      <c r="N15" s="16"/>
      <c r="O15" s="16">
        <v>5.0</v>
      </c>
      <c r="P15" s="16"/>
      <c r="Q15" s="16"/>
      <c r="R15" s="16">
        <v>1.0</v>
      </c>
      <c r="S15" s="16"/>
      <c r="T15" s="16"/>
      <c r="U15" s="16"/>
      <c r="V15" s="16"/>
      <c r="W15" s="16"/>
      <c r="X15" s="16"/>
      <c r="Y15" s="16"/>
      <c r="Z15" s="16"/>
      <c r="AA15" s="16">
        <v>1.0</v>
      </c>
      <c r="AB15" s="16"/>
      <c r="AC15" s="16">
        <v>1.0</v>
      </c>
      <c r="AD15" s="16"/>
      <c r="AE15" s="16"/>
      <c r="AF15" s="5">
        <v>42.0</v>
      </c>
    </row>
    <row r="16" ht="15.75" customHeight="1">
      <c r="A16" s="4" t="s">
        <v>15</v>
      </c>
      <c r="B16" s="15">
        <v>3.0</v>
      </c>
      <c r="C16" s="16"/>
      <c r="D16" s="16">
        <v>1.0</v>
      </c>
      <c r="E16" s="16"/>
      <c r="F16" s="16">
        <v>17.0</v>
      </c>
      <c r="G16" s="16">
        <v>13.0</v>
      </c>
      <c r="H16" s="16"/>
      <c r="I16" s="16">
        <v>4.0</v>
      </c>
      <c r="J16" s="16"/>
      <c r="K16" s="16"/>
      <c r="L16" s="16"/>
      <c r="M16" s="16"/>
      <c r="N16" s="16"/>
      <c r="O16" s="16">
        <v>1.0</v>
      </c>
      <c r="P16" s="16"/>
      <c r="Q16" s="16">
        <v>1.0</v>
      </c>
      <c r="R16" s="16">
        <v>1.0</v>
      </c>
      <c r="S16" s="16"/>
      <c r="T16" s="16"/>
      <c r="U16" s="16"/>
      <c r="V16" s="16"/>
      <c r="W16" s="16"/>
      <c r="X16" s="16"/>
      <c r="Y16" s="16"/>
      <c r="Z16" s="16"/>
      <c r="AA16" s="16"/>
      <c r="AB16" s="16">
        <v>1.0</v>
      </c>
      <c r="AC16" s="16"/>
      <c r="AD16" s="16"/>
      <c r="AE16" s="16"/>
      <c r="AF16" s="5">
        <v>42.0</v>
      </c>
    </row>
    <row r="17" ht="15.75" customHeight="1">
      <c r="A17" s="4" t="s">
        <v>16</v>
      </c>
      <c r="B17" s="15">
        <v>4.0</v>
      </c>
      <c r="C17" s="16"/>
      <c r="D17" s="16">
        <v>1.0</v>
      </c>
      <c r="E17" s="16">
        <v>25.0</v>
      </c>
      <c r="F17" s="16"/>
      <c r="G17" s="16"/>
      <c r="H17" s="16">
        <v>2.0</v>
      </c>
      <c r="I17" s="16">
        <v>5.0</v>
      </c>
      <c r="J17" s="16"/>
      <c r="K17" s="16">
        <v>1.0</v>
      </c>
      <c r="L17" s="16"/>
      <c r="M17" s="16"/>
      <c r="N17" s="16"/>
      <c r="O17" s="16">
        <v>1.0</v>
      </c>
      <c r="P17" s="16"/>
      <c r="Q17" s="16"/>
      <c r="R17" s="16"/>
      <c r="S17" s="16"/>
      <c r="T17" s="16"/>
      <c r="U17" s="16"/>
      <c r="V17" s="16"/>
      <c r="W17" s="16"/>
      <c r="X17" s="16">
        <v>2.0</v>
      </c>
      <c r="Y17" s="16"/>
      <c r="Z17" s="16"/>
      <c r="AA17" s="16"/>
      <c r="AB17" s="16"/>
      <c r="AC17" s="16"/>
      <c r="AD17" s="16">
        <v>1.0</v>
      </c>
      <c r="AE17" s="16"/>
      <c r="AF17" s="5">
        <v>42.0</v>
      </c>
    </row>
    <row r="18" ht="15.75" customHeight="1">
      <c r="A18" s="4" t="s">
        <v>17</v>
      </c>
      <c r="B18" s="15">
        <v>5.0</v>
      </c>
      <c r="C18" s="16">
        <v>1.0</v>
      </c>
      <c r="D18" s="16">
        <v>7.0</v>
      </c>
      <c r="E18" s="16">
        <v>7.0</v>
      </c>
      <c r="F18" s="16">
        <v>2.0</v>
      </c>
      <c r="G18" s="16">
        <v>3.0</v>
      </c>
      <c r="H18" s="16"/>
      <c r="I18" s="16">
        <v>2.0</v>
      </c>
      <c r="J18" s="16">
        <v>1.0</v>
      </c>
      <c r="K18" s="16"/>
      <c r="L18" s="16">
        <v>2.0</v>
      </c>
      <c r="M18" s="16"/>
      <c r="N18" s="16"/>
      <c r="O18" s="16">
        <v>1.0</v>
      </c>
      <c r="P18" s="16"/>
      <c r="Q18" s="16"/>
      <c r="R18" s="16"/>
      <c r="S18" s="16">
        <v>1.0</v>
      </c>
      <c r="T18" s="16"/>
      <c r="U18" s="16">
        <v>1.0</v>
      </c>
      <c r="V18" s="16">
        <v>3.0</v>
      </c>
      <c r="W18" s="16"/>
      <c r="X18" s="16"/>
      <c r="Y18" s="16">
        <v>1.0</v>
      </c>
      <c r="Z18" s="16">
        <v>3.0</v>
      </c>
      <c r="AA18" s="16"/>
      <c r="AB18" s="16"/>
      <c r="AC18" s="16">
        <v>1.0</v>
      </c>
      <c r="AD18" s="16"/>
      <c r="AE18" s="16"/>
      <c r="AF18" s="5">
        <v>41.0</v>
      </c>
    </row>
    <row r="19" ht="15.75" customHeight="1">
      <c r="A19" s="4" t="s">
        <v>18</v>
      </c>
      <c r="B19" s="15">
        <v>19.0</v>
      </c>
      <c r="C19" s="16"/>
      <c r="D19" s="16">
        <v>2.0</v>
      </c>
      <c r="E19" s="16">
        <v>1.0</v>
      </c>
      <c r="F19" s="16">
        <v>3.0</v>
      </c>
      <c r="G19" s="16">
        <v>2.0</v>
      </c>
      <c r="H19" s="16"/>
      <c r="I19" s="16">
        <v>5.0</v>
      </c>
      <c r="J19" s="16"/>
      <c r="K19" s="16"/>
      <c r="L19" s="16"/>
      <c r="M19" s="16"/>
      <c r="N19" s="16"/>
      <c r="O19" s="16"/>
      <c r="P19" s="16"/>
      <c r="Q19" s="16">
        <v>6.0</v>
      </c>
      <c r="R19" s="16"/>
      <c r="S19" s="16"/>
      <c r="T19" s="16"/>
      <c r="U19" s="16"/>
      <c r="V19" s="16">
        <v>1.0</v>
      </c>
      <c r="W19" s="16"/>
      <c r="X19" s="16"/>
      <c r="Y19" s="16"/>
      <c r="Z19" s="16">
        <v>1.0</v>
      </c>
      <c r="AA19" s="16"/>
      <c r="AB19" s="16"/>
      <c r="AC19" s="16"/>
      <c r="AD19" s="16"/>
      <c r="AE19" s="16"/>
      <c r="AF19" s="5">
        <v>40.0</v>
      </c>
    </row>
    <row r="20" ht="15.75" customHeight="1">
      <c r="A20" s="4" t="s">
        <v>19</v>
      </c>
      <c r="B20" s="15">
        <v>1.0</v>
      </c>
      <c r="C20" s="16">
        <v>12.0</v>
      </c>
      <c r="D20" s="16">
        <v>1.0</v>
      </c>
      <c r="E20" s="16">
        <v>3.0</v>
      </c>
      <c r="F20" s="16">
        <v>3.0</v>
      </c>
      <c r="G20" s="16">
        <v>4.0</v>
      </c>
      <c r="H20" s="16"/>
      <c r="I20" s="16">
        <v>6.0</v>
      </c>
      <c r="J20" s="16">
        <v>1.0</v>
      </c>
      <c r="K20" s="16"/>
      <c r="L20" s="16">
        <v>2.0</v>
      </c>
      <c r="M20" s="16">
        <v>1.0</v>
      </c>
      <c r="N20" s="16"/>
      <c r="O20" s="16">
        <v>2.0</v>
      </c>
      <c r="P20" s="16"/>
      <c r="Q20" s="16">
        <v>1.0</v>
      </c>
      <c r="R20" s="16">
        <v>1.0</v>
      </c>
      <c r="S20" s="16"/>
      <c r="T20" s="16"/>
      <c r="U20" s="16"/>
      <c r="V20" s="16"/>
      <c r="W20" s="16"/>
      <c r="X20" s="16"/>
      <c r="Y20" s="16"/>
      <c r="Z20" s="16">
        <v>1.0</v>
      </c>
      <c r="AA20" s="16"/>
      <c r="AB20" s="16"/>
      <c r="AC20" s="16"/>
      <c r="AD20" s="16"/>
      <c r="AE20" s="16"/>
      <c r="AF20" s="5">
        <v>39.0</v>
      </c>
    </row>
    <row r="21" ht="15.75" customHeight="1">
      <c r="A21" s="4" t="s">
        <v>20</v>
      </c>
      <c r="B21" s="15"/>
      <c r="C21" s="16"/>
      <c r="D21" s="16"/>
      <c r="E21" s="16"/>
      <c r="F21" s="16"/>
      <c r="G21" s="16"/>
      <c r="H21" s="16"/>
      <c r="I21" s="16">
        <v>36.0</v>
      </c>
      <c r="J21" s="16"/>
      <c r="K21" s="16"/>
      <c r="L21" s="16">
        <v>1.0</v>
      </c>
      <c r="M21" s="16"/>
      <c r="N21" s="16"/>
      <c r="O21" s="16">
        <v>1.0</v>
      </c>
      <c r="P21" s="16"/>
      <c r="Q21" s="16"/>
      <c r="R21" s="16"/>
      <c r="S21" s="16"/>
      <c r="T21" s="16"/>
      <c r="U21" s="16"/>
      <c r="V21" s="16"/>
      <c r="W21" s="16"/>
      <c r="X21" s="16">
        <v>1.0</v>
      </c>
      <c r="Y21" s="16"/>
      <c r="Z21" s="16"/>
      <c r="AA21" s="16"/>
      <c r="AB21" s="16"/>
      <c r="AC21" s="16"/>
      <c r="AD21" s="16"/>
      <c r="AE21" s="16"/>
      <c r="AF21" s="5">
        <v>39.0</v>
      </c>
    </row>
    <row r="22" ht="15.75" customHeight="1">
      <c r="A22" s="4" t="s">
        <v>21</v>
      </c>
      <c r="B22" s="15"/>
      <c r="C22" s="16"/>
      <c r="D22" s="16">
        <v>31.0</v>
      </c>
      <c r="E22" s="16">
        <v>1.0</v>
      </c>
      <c r="F22" s="16"/>
      <c r="G22" s="16">
        <v>5.0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5">
        <v>37.0</v>
      </c>
    </row>
    <row r="23" ht="15.75" customHeight="1">
      <c r="A23" s="4" t="s">
        <v>22</v>
      </c>
      <c r="B23" s="15"/>
      <c r="C23" s="16">
        <v>2.0</v>
      </c>
      <c r="D23" s="16">
        <v>2.0</v>
      </c>
      <c r="E23" s="16">
        <v>1.0</v>
      </c>
      <c r="F23" s="16">
        <v>16.0</v>
      </c>
      <c r="G23" s="16">
        <v>5.0</v>
      </c>
      <c r="H23" s="16"/>
      <c r="I23" s="16">
        <v>3.0</v>
      </c>
      <c r="J23" s="16"/>
      <c r="K23" s="16"/>
      <c r="L23" s="16"/>
      <c r="M23" s="16"/>
      <c r="N23" s="16"/>
      <c r="O23" s="16"/>
      <c r="P23" s="16"/>
      <c r="Q23" s="16">
        <v>1.0</v>
      </c>
      <c r="R23" s="16">
        <v>5.0</v>
      </c>
      <c r="S23" s="16"/>
      <c r="T23" s="16"/>
      <c r="U23" s="16"/>
      <c r="V23" s="16">
        <v>1.0</v>
      </c>
      <c r="W23" s="16"/>
      <c r="X23" s="16"/>
      <c r="Y23" s="16"/>
      <c r="Z23" s="16"/>
      <c r="AA23" s="16"/>
      <c r="AB23" s="16">
        <v>1.0</v>
      </c>
      <c r="AC23" s="16"/>
      <c r="AD23" s="16"/>
      <c r="AE23" s="16"/>
      <c r="AF23" s="5">
        <v>37.0</v>
      </c>
    </row>
    <row r="24" ht="15.75" customHeight="1">
      <c r="A24" s="4" t="s">
        <v>23</v>
      </c>
      <c r="B24" s="15">
        <v>4.0</v>
      </c>
      <c r="C24" s="16"/>
      <c r="D24" s="16">
        <v>3.0</v>
      </c>
      <c r="E24" s="16"/>
      <c r="F24" s="16">
        <v>1.0</v>
      </c>
      <c r="G24" s="16">
        <v>16.0</v>
      </c>
      <c r="H24" s="16"/>
      <c r="I24" s="16">
        <v>1.0</v>
      </c>
      <c r="J24" s="16"/>
      <c r="K24" s="16"/>
      <c r="L24" s="16">
        <v>2.0</v>
      </c>
      <c r="M24" s="16">
        <v>1.0</v>
      </c>
      <c r="N24" s="16"/>
      <c r="O24" s="16">
        <v>1.0</v>
      </c>
      <c r="P24" s="16"/>
      <c r="Q24" s="16"/>
      <c r="R24" s="16">
        <v>1.0</v>
      </c>
      <c r="S24" s="16"/>
      <c r="T24" s="16"/>
      <c r="U24" s="16"/>
      <c r="V24" s="16"/>
      <c r="W24" s="16"/>
      <c r="X24" s="16"/>
      <c r="Y24" s="16"/>
      <c r="Z24" s="16">
        <v>6.0</v>
      </c>
      <c r="AA24" s="16"/>
      <c r="AB24" s="16">
        <v>1.0</v>
      </c>
      <c r="AC24" s="16"/>
      <c r="AD24" s="16"/>
      <c r="AE24" s="16"/>
      <c r="AF24" s="5">
        <v>37.0</v>
      </c>
    </row>
    <row r="25" ht="15.75" customHeight="1">
      <c r="A25" s="4" t="s">
        <v>24</v>
      </c>
      <c r="B25" s="15">
        <v>1.0</v>
      </c>
      <c r="C25" s="16">
        <v>1.0</v>
      </c>
      <c r="D25" s="16">
        <v>3.0</v>
      </c>
      <c r="E25" s="16"/>
      <c r="F25" s="16">
        <v>4.0</v>
      </c>
      <c r="G25" s="16">
        <v>17.0</v>
      </c>
      <c r="H25" s="16"/>
      <c r="I25" s="16">
        <v>1.0</v>
      </c>
      <c r="J25" s="16"/>
      <c r="K25" s="16"/>
      <c r="L25" s="16">
        <v>1.0</v>
      </c>
      <c r="M25" s="16">
        <v>1.0</v>
      </c>
      <c r="N25" s="16"/>
      <c r="O25" s="16">
        <v>5.0</v>
      </c>
      <c r="P25" s="16"/>
      <c r="Q25" s="16"/>
      <c r="R25" s="16">
        <v>1.0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5">
        <v>35.0</v>
      </c>
    </row>
    <row r="26" ht="15.75" customHeight="1">
      <c r="A26" s="4" t="s">
        <v>25</v>
      </c>
      <c r="B26" s="15">
        <v>3.0</v>
      </c>
      <c r="C26" s="16"/>
      <c r="D26" s="16">
        <v>1.0</v>
      </c>
      <c r="E26" s="16">
        <v>7.0</v>
      </c>
      <c r="F26" s="16"/>
      <c r="G26" s="16">
        <v>13.0</v>
      </c>
      <c r="H26" s="16"/>
      <c r="I26" s="16"/>
      <c r="J26" s="16">
        <v>2.0</v>
      </c>
      <c r="K26" s="16"/>
      <c r="L26" s="16"/>
      <c r="M26" s="16">
        <v>1.0</v>
      </c>
      <c r="N26" s="16"/>
      <c r="O26" s="16">
        <v>6.0</v>
      </c>
      <c r="P26" s="16"/>
      <c r="Q26" s="16">
        <v>1.0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>
        <v>1.0</v>
      </c>
      <c r="AE26" s="16"/>
      <c r="AF26" s="5">
        <v>35.0</v>
      </c>
    </row>
    <row r="27" ht="15.75" customHeight="1">
      <c r="A27" s="4" t="s">
        <v>26</v>
      </c>
      <c r="B27" s="15">
        <v>1.0</v>
      </c>
      <c r="C27" s="16"/>
      <c r="D27" s="16"/>
      <c r="E27" s="16">
        <v>17.0</v>
      </c>
      <c r="F27" s="16">
        <v>3.0</v>
      </c>
      <c r="G27" s="16">
        <v>1.0</v>
      </c>
      <c r="H27" s="16">
        <v>1.0</v>
      </c>
      <c r="I27" s="16"/>
      <c r="J27" s="16"/>
      <c r="K27" s="16"/>
      <c r="L27" s="16"/>
      <c r="M27" s="16"/>
      <c r="N27" s="16"/>
      <c r="O27" s="16">
        <v>7.0</v>
      </c>
      <c r="P27" s="16"/>
      <c r="Q27" s="16"/>
      <c r="R27" s="16">
        <v>1.0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>
        <v>1.0</v>
      </c>
      <c r="AE27" s="16"/>
      <c r="AF27" s="5">
        <v>32.0</v>
      </c>
    </row>
    <row r="28" ht="15.75" customHeight="1">
      <c r="A28" s="4" t="s">
        <v>27</v>
      </c>
      <c r="B28" s="15">
        <v>8.0</v>
      </c>
      <c r="C28" s="16"/>
      <c r="D28" s="16">
        <v>6.0</v>
      </c>
      <c r="E28" s="16"/>
      <c r="F28" s="16">
        <v>4.0</v>
      </c>
      <c r="G28" s="16">
        <v>1.0</v>
      </c>
      <c r="H28" s="16"/>
      <c r="I28" s="16">
        <v>3.0</v>
      </c>
      <c r="J28" s="16"/>
      <c r="K28" s="16"/>
      <c r="L28" s="16"/>
      <c r="M28" s="16">
        <v>1.0</v>
      </c>
      <c r="N28" s="16"/>
      <c r="O28" s="16">
        <v>6.0</v>
      </c>
      <c r="P28" s="16"/>
      <c r="Q28" s="16">
        <v>1.0</v>
      </c>
      <c r="R28" s="16">
        <v>1.0</v>
      </c>
      <c r="S28" s="16"/>
      <c r="T28" s="16"/>
      <c r="U28" s="16"/>
      <c r="V28" s="16"/>
      <c r="W28" s="16"/>
      <c r="X28" s="16"/>
      <c r="Y28" s="16"/>
      <c r="Z28" s="16"/>
      <c r="AA28" s="16"/>
      <c r="AB28" s="16">
        <v>1.0</v>
      </c>
      <c r="AC28" s="16"/>
      <c r="AD28" s="16"/>
      <c r="AE28" s="16"/>
      <c r="AF28" s="5">
        <v>32.0</v>
      </c>
    </row>
    <row r="29" ht="15.75" customHeight="1">
      <c r="A29" s="4" t="s">
        <v>28</v>
      </c>
      <c r="B29" s="15">
        <v>12.0</v>
      </c>
      <c r="C29" s="16"/>
      <c r="D29" s="16">
        <v>2.0</v>
      </c>
      <c r="E29" s="16">
        <v>1.0</v>
      </c>
      <c r="F29" s="16">
        <v>5.0</v>
      </c>
      <c r="G29" s="16">
        <v>2.0</v>
      </c>
      <c r="H29" s="16"/>
      <c r="I29" s="16">
        <v>1.0</v>
      </c>
      <c r="J29" s="16"/>
      <c r="K29" s="16"/>
      <c r="L29" s="16">
        <v>3.0</v>
      </c>
      <c r="M29" s="16"/>
      <c r="N29" s="16"/>
      <c r="O29" s="16"/>
      <c r="P29" s="16"/>
      <c r="Q29" s="16">
        <v>1.0</v>
      </c>
      <c r="R29" s="16"/>
      <c r="S29" s="16"/>
      <c r="T29" s="16"/>
      <c r="U29" s="16">
        <v>1.0</v>
      </c>
      <c r="V29" s="16">
        <v>1.0</v>
      </c>
      <c r="W29" s="16"/>
      <c r="X29" s="16"/>
      <c r="Y29" s="16"/>
      <c r="Z29" s="16"/>
      <c r="AA29" s="16"/>
      <c r="AB29" s="16"/>
      <c r="AC29" s="16">
        <v>1.0</v>
      </c>
      <c r="AD29" s="16"/>
      <c r="AE29" s="16"/>
      <c r="AF29" s="5">
        <v>30.0</v>
      </c>
    </row>
    <row r="30" ht="15.75" customHeight="1">
      <c r="A30" s="4" t="s">
        <v>29</v>
      </c>
      <c r="B30" s="15">
        <v>17.0</v>
      </c>
      <c r="C30" s="16"/>
      <c r="D30" s="16"/>
      <c r="E30" s="16">
        <v>3.0</v>
      </c>
      <c r="F30" s="16"/>
      <c r="G30" s="16">
        <v>5.0</v>
      </c>
      <c r="H30" s="16"/>
      <c r="I30" s="16">
        <v>1.0</v>
      </c>
      <c r="J30" s="16"/>
      <c r="K30" s="16"/>
      <c r="L30" s="16">
        <v>2.0</v>
      </c>
      <c r="M30" s="16">
        <v>1.0</v>
      </c>
      <c r="N30" s="16"/>
      <c r="O30" s="16">
        <v>1.0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5">
        <v>30.0</v>
      </c>
    </row>
    <row r="31" ht="15.75" customHeight="1">
      <c r="A31" s="4" t="s">
        <v>30</v>
      </c>
      <c r="B31" s="15">
        <v>3.0</v>
      </c>
      <c r="C31" s="16"/>
      <c r="D31" s="16">
        <v>3.0</v>
      </c>
      <c r="E31" s="16">
        <v>13.0</v>
      </c>
      <c r="F31" s="16"/>
      <c r="G31" s="16">
        <v>2.0</v>
      </c>
      <c r="H31" s="16">
        <v>3.0</v>
      </c>
      <c r="I31" s="16"/>
      <c r="J31" s="16"/>
      <c r="K31" s="16"/>
      <c r="L31" s="16"/>
      <c r="M31" s="16">
        <v>1.0</v>
      </c>
      <c r="N31" s="16"/>
      <c r="O31" s="16">
        <v>1.0</v>
      </c>
      <c r="P31" s="16"/>
      <c r="Q31" s="16">
        <v>2.0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5">
        <v>28.0</v>
      </c>
    </row>
    <row r="32" ht="15.75" customHeight="1">
      <c r="A32" s="4" t="s">
        <v>31</v>
      </c>
      <c r="B32" s="15">
        <v>1.0</v>
      </c>
      <c r="C32" s="16">
        <v>1.0</v>
      </c>
      <c r="D32" s="16">
        <v>4.0</v>
      </c>
      <c r="E32" s="16"/>
      <c r="F32" s="16">
        <v>13.0</v>
      </c>
      <c r="G32" s="16">
        <v>3.0</v>
      </c>
      <c r="H32" s="16"/>
      <c r="I32" s="16">
        <v>3.0</v>
      </c>
      <c r="J32" s="16"/>
      <c r="K32" s="16"/>
      <c r="L32" s="16">
        <v>2.0</v>
      </c>
      <c r="M32" s="16">
        <v>1.0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5">
        <v>28.0</v>
      </c>
    </row>
    <row r="33" ht="15.75" customHeight="1">
      <c r="A33" s="4" t="s">
        <v>32</v>
      </c>
      <c r="B33" s="15"/>
      <c r="C33" s="16"/>
      <c r="D33" s="16"/>
      <c r="E33" s="16">
        <v>3.0</v>
      </c>
      <c r="F33" s="16"/>
      <c r="G33" s="16">
        <v>15.0</v>
      </c>
      <c r="H33" s="16"/>
      <c r="I33" s="16">
        <v>1.0</v>
      </c>
      <c r="J33" s="16"/>
      <c r="K33" s="16"/>
      <c r="L33" s="16"/>
      <c r="M33" s="16">
        <v>1.0</v>
      </c>
      <c r="N33" s="16"/>
      <c r="O33" s="16">
        <v>6.0</v>
      </c>
      <c r="P33" s="16"/>
      <c r="Q33" s="16"/>
      <c r="R33" s="16">
        <v>2.0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5">
        <v>28.0</v>
      </c>
    </row>
    <row r="34" ht="15.75" customHeight="1">
      <c r="A34" s="4" t="s">
        <v>33</v>
      </c>
      <c r="B34" s="15">
        <v>1.0</v>
      </c>
      <c r="C34" s="16"/>
      <c r="D34" s="16"/>
      <c r="E34" s="16"/>
      <c r="F34" s="16">
        <v>26.0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5">
        <v>27.0</v>
      </c>
    </row>
    <row r="35" ht="15.75" customHeight="1">
      <c r="A35" s="4" t="s">
        <v>34</v>
      </c>
      <c r="B35" s="15">
        <v>21.0</v>
      </c>
      <c r="C35" s="16"/>
      <c r="D35" s="16"/>
      <c r="E35" s="16">
        <v>5.0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5">
        <v>26.0</v>
      </c>
    </row>
    <row r="36" ht="15.75" customHeight="1">
      <c r="A36" s="4" t="s">
        <v>35</v>
      </c>
      <c r="B36" s="15"/>
      <c r="C36" s="16">
        <v>3.0</v>
      </c>
      <c r="D36" s="16">
        <v>2.0</v>
      </c>
      <c r="E36" s="16"/>
      <c r="F36" s="16">
        <v>3.0</v>
      </c>
      <c r="G36" s="16">
        <v>7.0</v>
      </c>
      <c r="H36" s="16"/>
      <c r="I36" s="16"/>
      <c r="J36" s="16"/>
      <c r="K36" s="16"/>
      <c r="L36" s="16">
        <v>1.0</v>
      </c>
      <c r="M36" s="16"/>
      <c r="N36" s="16"/>
      <c r="O36" s="16">
        <v>3.0</v>
      </c>
      <c r="P36" s="16"/>
      <c r="Q36" s="16">
        <v>2.0</v>
      </c>
      <c r="R36" s="16">
        <v>4.0</v>
      </c>
      <c r="S36" s="16"/>
      <c r="T36" s="16"/>
      <c r="U36" s="16"/>
      <c r="V36" s="16"/>
      <c r="W36" s="16"/>
      <c r="X36" s="16"/>
      <c r="Y36" s="16"/>
      <c r="Z36" s="16"/>
      <c r="AA36" s="16"/>
      <c r="AB36" s="16">
        <v>1.0</v>
      </c>
      <c r="AC36" s="16"/>
      <c r="AD36" s="16"/>
      <c r="AE36" s="16"/>
      <c r="AF36" s="5">
        <v>26.0</v>
      </c>
    </row>
    <row r="37" ht="15.75" customHeight="1">
      <c r="A37" s="4" t="s">
        <v>36</v>
      </c>
      <c r="B37" s="15">
        <v>3.0</v>
      </c>
      <c r="C37" s="16"/>
      <c r="D37" s="16"/>
      <c r="E37" s="16">
        <v>5.0</v>
      </c>
      <c r="F37" s="16"/>
      <c r="G37" s="16">
        <v>5.0</v>
      </c>
      <c r="H37" s="16"/>
      <c r="I37" s="16"/>
      <c r="J37" s="16"/>
      <c r="K37" s="16"/>
      <c r="L37" s="16"/>
      <c r="M37" s="16">
        <v>1.0</v>
      </c>
      <c r="N37" s="16"/>
      <c r="O37" s="16">
        <v>6.0</v>
      </c>
      <c r="P37" s="16"/>
      <c r="Q37" s="16">
        <v>4.0</v>
      </c>
      <c r="R37" s="16"/>
      <c r="S37" s="16"/>
      <c r="T37" s="16"/>
      <c r="U37" s="16"/>
      <c r="V37" s="16"/>
      <c r="W37" s="16"/>
      <c r="X37" s="16"/>
      <c r="Y37" s="16"/>
      <c r="Z37" s="16">
        <v>1.0</v>
      </c>
      <c r="AA37" s="16"/>
      <c r="AB37" s="16"/>
      <c r="AC37" s="16"/>
      <c r="AD37" s="16"/>
      <c r="AE37" s="16"/>
      <c r="AF37" s="5">
        <v>25.0</v>
      </c>
    </row>
    <row r="38" ht="15.75" customHeight="1">
      <c r="A38" s="4" t="s">
        <v>37</v>
      </c>
      <c r="B38" s="15">
        <v>5.0</v>
      </c>
      <c r="C38" s="16"/>
      <c r="D38" s="16">
        <v>3.0</v>
      </c>
      <c r="E38" s="16">
        <v>11.0</v>
      </c>
      <c r="F38" s="16">
        <v>1.0</v>
      </c>
      <c r="G38" s="16">
        <v>1.0</v>
      </c>
      <c r="H38" s="16"/>
      <c r="I38" s="16">
        <v>2.0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>
        <v>1.0</v>
      </c>
      <c r="AE38" s="16"/>
      <c r="AF38" s="5">
        <v>24.0</v>
      </c>
    </row>
    <row r="39" ht="15.75" customHeight="1">
      <c r="A39" s="4" t="s">
        <v>38</v>
      </c>
      <c r="B39" s="15">
        <v>12.0</v>
      </c>
      <c r="C39" s="16"/>
      <c r="D39" s="16">
        <v>3.0</v>
      </c>
      <c r="E39" s="16"/>
      <c r="F39" s="16"/>
      <c r="G39" s="16">
        <v>3.0</v>
      </c>
      <c r="H39" s="16"/>
      <c r="I39" s="16"/>
      <c r="J39" s="16"/>
      <c r="K39" s="16"/>
      <c r="L39" s="16"/>
      <c r="M39" s="16"/>
      <c r="N39" s="16">
        <v>1.0</v>
      </c>
      <c r="O39" s="16"/>
      <c r="P39" s="16"/>
      <c r="Q39" s="16">
        <v>2.0</v>
      </c>
      <c r="R39" s="16">
        <v>2.0</v>
      </c>
      <c r="S39" s="16"/>
      <c r="T39" s="16"/>
      <c r="U39" s="16"/>
      <c r="V39" s="16"/>
      <c r="W39" s="16"/>
      <c r="X39" s="16"/>
      <c r="Y39" s="16"/>
      <c r="Z39" s="16"/>
      <c r="AA39" s="16"/>
      <c r="AB39" s="16">
        <v>1.0</v>
      </c>
      <c r="AC39" s="16"/>
      <c r="AD39" s="16"/>
      <c r="AE39" s="16"/>
      <c r="AF39" s="5">
        <v>24.0</v>
      </c>
    </row>
    <row r="40" ht="15.75" customHeight="1">
      <c r="A40" s="4" t="s">
        <v>39</v>
      </c>
      <c r="B40" s="15">
        <v>11.0</v>
      </c>
      <c r="C40" s="16"/>
      <c r="D40" s="16"/>
      <c r="E40" s="16"/>
      <c r="F40" s="16"/>
      <c r="G40" s="16">
        <v>2.0</v>
      </c>
      <c r="H40" s="16"/>
      <c r="I40" s="16">
        <v>2.0</v>
      </c>
      <c r="J40" s="16"/>
      <c r="K40" s="16"/>
      <c r="L40" s="16"/>
      <c r="M40" s="16"/>
      <c r="N40" s="16"/>
      <c r="O40" s="16"/>
      <c r="P40" s="16"/>
      <c r="Q40" s="16">
        <v>5.0</v>
      </c>
      <c r="R40" s="16"/>
      <c r="S40" s="16"/>
      <c r="T40" s="16"/>
      <c r="U40" s="16"/>
      <c r="V40" s="16">
        <v>3.0</v>
      </c>
      <c r="W40" s="16"/>
      <c r="X40" s="16"/>
      <c r="Y40" s="16"/>
      <c r="Z40" s="16"/>
      <c r="AA40" s="16"/>
      <c r="AB40" s="16"/>
      <c r="AC40" s="16"/>
      <c r="AD40" s="16"/>
      <c r="AE40" s="16"/>
      <c r="AF40" s="5">
        <v>23.0</v>
      </c>
    </row>
    <row r="41" ht="15.75" customHeight="1">
      <c r="A41" s="4" t="s">
        <v>40</v>
      </c>
      <c r="B41" s="15">
        <v>9.0</v>
      </c>
      <c r="C41" s="16"/>
      <c r="D41" s="16"/>
      <c r="E41" s="16">
        <v>3.0</v>
      </c>
      <c r="F41" s="16"/>
      <c r="G41" s="16">
        <v>7.0</v>
      </c>
      <c r="H41" s="16"/>
      <c r="I41" s="16"/>
      <c r="J41" s="16"/>
      <c r="K41" s="16">
        <v>2.0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5">
        <v>21.0</v>
      </c>
    </row>
    <row r="42" ht="15.75" customHeight="1">
      <c r="A42" s="4" t="s">
        <v>41</v>
      </c>
      <c r="B42" s="15"/>
      <c r="C42" s="16"/>
      <c r="D42" s="16">
        <v>7.0</v>
      </c>
      <c r="E42" s="16"/>
      <c r="F42" s="16">
        <v>14.0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5">
        <v>21.0</v>
      </c>
    </row>
    <row r="43" ht="15.75" customHeight="1">
      <c r="A43" s="4" t="s">
        <v>42</v>
      </c>
      <c r="B43" s="15">
        <v>3.0</v>
      </c>
      <c r="C43" s="16"/>
      <c r="D43" s="16">
        <v>5.0</v>
      </c>
      <c r="E43" s="16">
        <v>5.0</v>
      </c>
      <c r="F43" s="16">
        <v>1.0</v>
      </c>
      <c r="G43" s="16"/>
      <c r="H43" s="16">
        <v>1.0</v>
      </c>
      <c r="I43" s="16"/>
      <c r="J43" s="16"/>
      <c r="K43" s="16"/>
      <c r="L43" s="16">
        <v>2.0</v>
      </c>
      <c r="M43" s="16"/>
      <c r="N43" s="16"/>
      <c r="O43" s="16"/>
      <c r="P43" s="16"/>
      <c r="Q43" s="16">
        <v>2.0</v>
      </c>
      <c r="R43" s="16">
        <v>1.0</v>
      </c>
      <c r="S43" s="16"/>
      <c r="T43" s="16">
        <v>1.0</v>
      </c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5">
        <v>21.0</v>
      </c>
    </row>
    <row r="44" ht="15.75" customHeight="1">
      <c r="A44" s="4" t="s">
        <v>43</v>
      </c>
      <c r="B44" s="15">
        <v>3.0</v>
      </c>
      <c r="C44" s="16"/>
      <c r="D44" s="16">
        <v>4.0</v>
      </c>
      <c r="E44" s="16">
        <v>2.0</v>
      </c>
      <c r="F44" s="16">
        <v>1.0</v>
      </c>
      <c r="G44" s="16">
        <v>1.0</v>
      </c>
      <c r="H44" s="16"/>
      <c r="I44" s="16">
        <v>8.0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>
        <v>1.0</v>
      </c>
      <c r="AA44" s="16"/>
      <c r="AB44" s="16"/>
      <c r="AC44" s="16"/>
      <c r="AD44" s="16"/>
      <c r="AE44" s="16"/>
      <c r="AF44" s="5">
        <v>20.0</v>
      </c>
    </row>
    <row r="45" ht="15.75" customHeight="1">
      <c r="A45" s="4" t="s">
        <v>44</v>
      </c>
      <c r="B45" s="15">
        <v>12.0</v>
      </c>
      <c r="C45" s="16"/>
      <c r="D45" s="16"/>
      <c r="E45" s="16"/>
      <c r="F45" s="16">
        <v>1.0</v>
      </c>
      <c r="G45" s="16">
        <v>1.0</v>
      </c>
      <c r="H45" s="16"/>
      <c r="I45" s="16">
        <v>4.0</v>
      </c>
      <c r="J45" s="16"/>
      <c r="K45" s="16"/>
      <c r="L45" s="16"/>
      <c r="M45" s="16"/>
      <c r="N45" s="16"/>
      <c r="O45" s="16"/>
      <c r="P45" s="16"/>
      <c r="Q45" s="16">
        <v>1.0</v>
      </c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5">
        <v>19.0</v>
      </c>
    </row>
    <row r="46" ht="15.75" customHeight="1">
      <c r="A46" s="4" t="s">
        <v>45</v>
      </c>
      <c r="B46" s="15">
        <v>4.0</v>
      </c>
      <c r="C46" s="16">
        <v>1.0</v>
      </c>
      <c r="D46" s="16">
        <v>1.0</v>
      </c>
      <c r="E46" s="16"/>
      <c r="F46" s="16">
        <v>1.0</v>
      </c>
      <c r="G46" s="16">
        <v>6.0</v>
      </c>
      <c r="H46" s="16"/>
      <c r="I46" s="16">
        <v>1.0</v>
      </c>
      <c r="J46" s="16"/>
      <c r="K46" s="16"/>
      <c r="L46" s="16"/>
      <c r="M46" s="16"/>
      <c r="N46" s="16">
        <v>4.0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5">
        <v>18.0</v>
      </c>
    </row>
    <row r="47" ht="15.75" customHeight="1">
      <c r="A47" s="4" t="s">
        <v>46</v>
      </c>
      <c r="B47" s="15">
        <v>4.0</v>
      </c>
      <c r="C47" s="16">
        <v>2.0</v>
      </c>
      <c r="D47" s="16"/>
      <c r="E47" s="16"/>
      <c r="F47" s="16">
        <v>5.0</v>
      </c>
      <c r="G47" s="16"/>
      <c r="H47" s="16"/>
      <c r="I47" s="16">
        <v>1.0</v>
      </c>
      <c r="J47" s="16"/>
      <c r="K47" s="16">
        <v>2.0</v>
      </c>
      <c r="L47" s="16">
        <v>2.0</v>
      </c>
      <c r="M47" s="16"/>
      <c r="N47" s="16"/>
      <c r="O47" s="16"/>
      <c r="P47" s="16"/>
      <c r="Q47" s="16">
        <v>1.0</v>
      </c>
      <c r="R47" s="16"/>
      <c r="S47" s="16"/>
      <c r="T47" s="16"/>
      <c r="U47" s="16">
        <v>1.0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5">
        <v>18.0</v>
      </c>
    </row>
    <row r="48" ht="15.75" customHeight="1">
      <c r="A48" s="4" t="s">
        <v>47</v>
      </c>
      <c r="B48" s="15">
        <v>4.0</v>
      </c>
      <c r="C48" s="16"/>
      <c r="D48" s="16">
        <v>4.0</v>
      </c>
      <c r="E48" s="16">
        <v>3.0</v>
      </c>
      <c r="F48" s="16">
        <v>1.0</v>
      </c>
      <c r="G48" s="16"/>
      <c r="H48" s="16"/>
      <c r="I48" s="16">
        <v>1.0</v>
      </c>
      <c r="J48" s="16"/>
      <c r="K48" s="16"/>
      <c r="L48" s="16"/>
      <c r="M48" s="16"/>
      <c r="N48" s="16"/>
      <c r="O48" s="16"/>
      <c r="P48" s="16"/>
      <c r="Q48" s="16">
        <v>2.0</v>
      </c>
      <c r="R48" s="16">
        <v>1.0</v>
      </c>
      <c r="S48" s="16"/>
      <c r="T48" s="16"/>
      <c r="U48" s="16"/>
      <c r="V48" s="16">
        <v>1.0</v>
      </c>
      <c r="W48" s="16"/>
      <c r="X48" s="16"/>
      <c r="Y48" s="16"/>
      <c r="Z48" s="16"/>
      <c r="AA48" s="16"/>
      <c r="AB48" s="16">
        <v>1.0</v>
      </c>
      <c r="AC48" s="16"/>
      <c r="AD48" s="16"/>
      <c r="AE48" s="16"/>
      <c r="AF48" s="5">
        <v>18.0</v>
      </c>
    </row>
    <row r="49" ht="15.75" customHeight="1">
      <c r="A49" s="4" t="s">
        <v>48</v>
      </c>
      <c r="B49" s="15">
        <v>12.0</v>
      </c>
      <c r="C49" s="16">
        <v>1.0</v>
      </c>
      <c r="D49" s="16">
        <v>2.0</v>
      </c>
      <c r="E49" s="16"/>
      <c r="F49" s="16">
        <v>1.0</v>
      </c>
      <c r="G49" s="16"/>
      <c r="H49" s="16"/>
      <c r="I49" s="16">
        <v>2.0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5">
        <v>18.0</v>
      </c>
    </row>
    <row r="50" ht="15.75" customHeight="1">
      <c r="A50" s="4" t="s">
        <v>49</v>
      </c>
      <c r="B50" s="15">
        <v>2.0</v>
      </c>
      <c r="C50" s="16"/>
      <c r="D50" s="16">
        <v>1.0</v>
      </c>
      <c r="E50" s="16">
        <v>1.0</v>
      </c>
      <c r="F50" s="16"/>
      <c r="G50" s="16">
        <v>2.0</v>
      </c>
      <c r="H50" s="16"/>
      <c r="I50" s="16">
        <v>1.0</v>
      </c>
      <c r="J50" s="16"/>
      <c r="K50" s="16"/>
      <c r="L50" s="16">
        <v>2.0</v>
      </c>
      <c r="M50" s="16"/>
      <c r="N50" s="16"/>
      <c r="O50" s="16"/>
      <c r="P50" s="16"/>
      <c r="Q50" s="16">
        <v>2.0</v>
      </c>
      <c r="R50" s="16">
        <v>6.0</v>
      </c>
      <c r="S50" s="16"/>
      <c r="T50" s="16"/>
      <c r="U50" s="16"/>
      <c r="V50" s="16"/>
      <c r="W50" s="16"/>
      <c r="X50" s="16"/>
      <c r="Y50" s="16"/>
      <c r="Z50" s="16"/>
      <c r="AA50" s="16"/>
      <c r="AB50" s="16">
        <v>1.0</v>
      </c>
      <c r="AC50" s="16"/>
      <c r="AD50" s="16"/>
      <c r="AE50" s="16"/>
      <c r="AF50" s="5">
        <v>18.0</v>
      </c>
    </row>
    <row r="51" ht="15.75" customHeight="1">
      <c r="A51" s="4" t="s">
        <v>50</v>
      </c>
      <c r="B51" s="15">
        <v>1.0</v>
      </c>
      <c r="C51" s="16"/>
      <c r="D51" s="16"/>
      <c r="E51" s="16">
        <v>1.0</v>
      </c>
      <c r="F51" s="16">
        <v>3.0</v>
      </c>
      <c r="G51" s="16">
        <v>2.0</v>
      </c>
      <c r="H51" s="16"/>
      <c r="I51" s="16">
        <v>5.0</v>
      </c>
      <c r="J51" s="16"/>
      <c r="K51" s="16"/>
      <c r="L51" s="16">
        <v>1.0</v>
      </c>
      <c r="M51" s="16"/>
      <c r="N51" s="16"/>
      <c r="O51" s="16"/>
      <c r="P51" s="16"/>
      <c r="Q51" s="16">
        <v>1.0</v>
      </c>
      <c r="R51" s="16"/>
      <c r="S51" s="16"/>
      <c r="T51" s="16"/>
      <c r="U51" s="16"/>
      <c r="V51" s="16"/>
      <c r="W51" s="16"/>
      <c r="X51" s="16"/>
      <c r="Y51" s="16"/>
      <c r="Z51" s="16">
        <v>3.0</v>
      </c>
      <c r="AA51" s="16"/>
      <c r="AB51" s="16"/>
      <c r="AC51" s="16"/>
      <c r="AD51" s="16"/>
      <c r="AE51" s="16"/>
      <c r="AF51" s="5">
        <v>17.0</v>
      </c>
    </row>
    <row r="52" ht="15.75" customHeight="1">
      <c r="A52" s="4" t="s">
        <v>51</v>
      </c>
      <c r="B52" s="15">
        <v>5.0</v>
      </c>
      <c r="C52" s="16"/>
      <c r="D52" s="16"/>
      <c r="E52" s="16"/>
      <c r="F52" s="16">
        <v>3.0</v>
      </c>
      <c r="G52" s="16"/>
      <c r="H52" s="16"/>
      <c r="I52" s="16">
        <v>1.0</v>
      </c>
      <c r="J52" s="16"/>
      <c r="K52" s="16"/>
      <c r="L52" s="16">
        <v>2.0</v>
      </c>
      <c r="M52" s="16"/>
      <c r="N52" s="16"/>
      <c r="O52" s="16"/>
      <c r="P52" s="16"/>
      <c r="Q52" s="16">
        <v>1.0</v>
      </c>
      <c r="R52" s="16"/>
      <c r="S52" s="16"/>
      <c r="T52" s="16"/>
      <c r="U52" s="16">
        <v>4.0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5">
        <v>16.0</v>
      </c>
    </row>
    <row r="53" ht="15.75" customHeight="1">
      <c r="A53" s="4" t="s">
        <v>52</v>
      </c>
      <c r="B53" s="15">
        <v>4.0</v>
      </c>
      <c r="C53" s="16"/>
      <c r="D53" s="16"/>
      <c r="E53" s="16">
        <v>5.0</v>
      </c>
      <c r="F53" s="16"/>
      <c r="G53" s="16">
        <v>1.0</v>
      </c>
      <c r="H53" s="16"/>
      <c r="I53" s="16"/>
      <c r="J53" s="16"/>
      <c r="K53" s="16"/>
      <c r="L53" s="16">
        <v>1.0</v>
      </c>
      <c r="M53" s="16"/>
      <c r="N53" s="16"/>
      <c r="O53" s="16"/>
      <c r="P53" s="16"/>
      <c r="Q53" s="16">
        <v>2.0</v>
      </c>
      <c r="R53" s="16">
        <v>1.0</v>
      </c>
      <c r="S53" s="16"/>
      <c r="T53" s="16"/>
      <c r="U53" s="16">
        <v>1.0</v>
      </c>
      <c r="V53" s="16">
        <v>1.0</v>
      </c>
      <c r="W53" s="16"/>
      <c r="X53" s="16"/>
      <c r="Y53" s="16"/>
      <c r="Z53" s="16"/>
      <c r="AA53" s="16"/>
      <c r="AB53" s="16"/>
      <c r="AC53" s="16"/>
      <c r="AD53" s="16"/>
      <c r="AE53" s="16"/>
      <c r="AF53" s="5">
        <v>16.0</v>
      </c>
    </row>
    <row r="54" ht="15.75" customHeight="1">
      <c r="A54" s="4" t="s">
        <v>53</v>
      </c>
      <c r="B54" s="15">
        <v>1.0</v>
      </c>
      <c r="C54" s="16"/>
      <c r="D54" s="16"/>
      <c r="E54" s="16">
        <v>3.0</v>
      </c>
      <c r="F54" s="16">
        <v>1.0</v>
      </c>
      <c r="G54" s="16"/>
      <c r="H54" s="16"/>
      <c r="I54" s="16">
        <v>3.0</v>
      </c>
      <c r="J54" s="16"/>
      <c r="K54" s="16"/>
      <c r="L54" s="16">
        <v>4.0</v>
      </c>
      <c r="M54" s="16"/>
      <c r="N54" s="16"/>
      <c r="O54" s="16"/>
      <c r="P54" s="16"/>
      <c r="Q54" s="16"/>
      <c r="R54" s="16">
        <v>1.0</v>
      </c>
      <c r="S54" s="16"/>
      <c r="T54" s="16"/>
      <c r="U54" s="16"/>
      <c r="V54" s="16"/>
      <c r="W54" s="16"/>
      <c r="X54" s="16">
        <v>2.0</v>
      </c>
      <c r="Y54" s="16"/>
      <c r="Z54" s="16"/>
      <c r="AA54" s="16"/>
      <c r="AB54" s="16"/>
      <c r="AC54" s="16"/>
      <c r="AD54" s="16"/>
      <c r="AE54" s="16"/>
      <c r="AF54" s="5">
        <v>15.0</v>
      </c>
    </row>
    <row r="55" ht="15.75" customHeight="1">
      <c r="A55" s="4" t="s">
        <v>54</v>
      </c>
      <c r="B55" s="15"/>
      <c r="C55" s="16"/>
      <c r="D55" s="16"/>
      <c r="E55" s="16"/>
      <c r="F55" s="16"/>
      <c r="G55" s="16">
        <v>2.0</v>
      </c>
      <c r="H55" s="16"/>
      <c r="I55" s="16">
        <v>12.0</v>
      </c>
      <c r="J55" s="16"/>
      <c r="K55" s="16"/>
      <c r="L55" s="16"/>
      <c r="M55" s="16"/>
      <c r="N55" s="16"/>
      <c r="O55" s="16"/>
      <c r="P55" s="16"/>
      <c r="Q55" s="16">
        <v>1.0</v>
      </c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5">
        <v>15.0</v>
      </c>
    </row>
    <row r="56" ht="15.75" customHeight="1">
      <c r="A56" s="4" t="s">
        <v>55</v>
      </c>
      <c r="B56" s="15"/>
      <c r="C56" s="16"/>
      <c r="D56" s="16">
        <v>11.0</v>
      </c>
      <c r="E56" s="16"/>
      <c r="F56" s="16"/>
      <c r="G56" s="16"/>
      <c r="H56" s="16"/>
      <c r="I56" s="16">
        <v>1.0</v>
      </c>
      <c r="J56" s="16"/>
      <c r="K56" s="16"/>
      <c r="L56" s="16">
        <v>1.0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>
        <v>1.0</v>
      </c>
      <c r="AE56" s="16"/>
      <c r="AF56" s="5">
        <v>14.0</v>
      </c>
    </row>
    <row r="57" ht="15.75" customHeight="1">
      <c r="A57" s="4" t="s">
        <v>56</v>
      </c>
      <c r="B57" s="15">
        <v>2.0</v>
      </c>
      <c r="C57" s="16">
        <v>1.0</v>
      </c>
      <c r="D57" s="16">
        <v>1.0</v>
      </c>
      <c r="E57" s="16"/>
      <c r="F57" s="16">
        <v>2.0</v>
      </c>
      <c r="G57" s="16">
        <v>1.0</v>
      </c>
      <c r="H57" s="16"/>
      <c r="I57" s="16">
        <v>2.0</v>
      </c>
      <c r="J57" s="16"/>
      <c r="K57" s="16"/>
      <c r="L57" s="16"/>
      <c r="M57" s="16"/>
      <c r="N57" s="16"/>
      <c r="O57" s="16"/>
      <c r="P57" s="16"/>
      <c r="Q57" s="16">
        <v>1.0</v>
      </c>
      <c r="R57" s="16"/>
      <c r="S57" s="16"/>
      <c r="T57" s="16"/>
      <c r="U57" s="16"/>
      <c r="V57" s="16"/>
      <c r="W57" s="16">
        <v>3.0</v>
      </c>
      <c r="X57" s="16"/>
      <c r="Y57" s="16"/>
      <c r="Z57" s="16"/>
      <c r="AA57" s="16"/>
      <c r="AB57" s="16"/>
      <c r="AC57" s="16"/>
      <c r="AD57" s="16"/>
      <c r="AE57" s="16"/>
      <c r="AF57" s="5">
        <v>13.0</v>
      </c>
    </row>
    <row r="58" ht="15.75" customHeight="1">
      <c r="A58" s="4" t="s">
        <v>57</v>
      </c>
      <c r="B58" s="15">
        <v>7.0</v>
      </c>
      <c r="C58" s="16"/>
      <c r="D58" s="16">
        <v>1.0</v>
      </c>
      <c r="E58" s="16"/>
      <c r="F58" s="16">
        <v>1.0</v>
      </c>
      <c r="G58" s="16">
        <v>1.0</v>
      </c>
      <c r="H58" s="16"/>
      <c r="I58" s="16"/>
      <c r="J58" s="16"/>
      <c r="K58" s="16"/>
      <c r="L58" s="16"/>
      <c r="M58" s="16">
        <v>1.0</v>
      </c>
      <c r="N58" s="16"/>
      <c r="O58" s="16"/>
      <c r="P58" s="16"/>
      <c r="Q58" s="16"/>
      <c r="R58" s="16">
        <v>1.0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>
        <v>1.0</v>
      </c>
      <c r="AE58" s="16"/>
      <c r="AF58" s="5">
        <v>13.0</v>
      </c>
    </row>
    <row r="59" ht="15.75" customHeight="1">
      <c r="A59" s="4" t="s">
        <v>58</v>
      </c>
      <c r="B59" s="15"/>
      <c r="C59" s="16"/>
      <c r="D59" s="16"/>
      <c r="E59" s="16">
        <v>6.0</v>
      </c>
      <c r="F59" s="16"/>
      <c r="G59" s="16"/>
      <c r="H59" s="16"/>
      <c r="I59" s="16"/>
      <c r="J59" s="16">
        <v>1.0</v>
      </c>
      <c r="K59" s="16"/>
      <c r="L59" s="16"/>
      <c r="M59" s="16">
        <v>1.0</v>
      </c>
      <c r="N59" s="16"/>
      <c r="O59" s="16">
        <v>4.0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>
        <v>1.0</v>
      </c>
      <c r="AE59" s="16"/>
      <c r="AF59" s="5">
        <v>13.0</v>
      </c>
    </row>
    <row r="60" ht="15.75" customHeight="1">
      <c r="A60" s="4" t="s">
        <v>59</v>
      </c>
      <c r="B60" s="15"/>
      <c r="C60" s="16"/>
      <c r="D60" s="16">
        <v>1.0</v>
      </c>
      <c r="E60" s="16"/>
      <c r="F60" s="16">
        <v>3.0</v>
      </c>
      <c r="G60" s="16">
        <v>5.0</v>
      </c>
      <c r="H60" s="16"/>
      <c r="I60" s="16"/>
      <c r="J60" s="16"/>
      <c r="K60" s="16">
        <v>1.0</v>
      </c>
      <c r="L60" s="16"/>
      <c r="M60" s="16"/>
      <c r="N60" s="16"/>
      <c r="O60" s="16">
        <v>1.0</v>
      </c>
      <c r="P60" s="16"/>
      <c r="Q60" s="16"/>
      <c r="R60" s="16">
        <v>1.0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5">
        <v>12.0</v>
      </c>
    </row>
    <row r="61" ht="15.75" customHeight="1">
      <c r="A61" s="4" t="s">
        <v>60</v>
      </c>
      <c r="B61" s="15">
        <v>1.0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>
        <v>11.0</v>
      </c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5">
        <v>12.0</v>
      </c>
    </row>
    <row r="62" ht="15.75" customHeight="1">
      <c r="A62" s="4" t="s">
        <v>61</v>
      </c>
      <c r="B62" s="15"/>
      <c r="C62" s="16"/>
      <c r="D62" s="16">
        <v>1.0</v>
      </c>
      <c r="E62" s="16"/>
      <c r="F62" s="16">
        <v>1.0</v>
      </c>
      <c r="G62" s="16"/>
      <c r="H62" s="16"/>
      <c r="I62" s="16"/>
      <c r="J62" s="16"/>
      <c r="K62" s="16"/>
      <c r="L62" s="16"/>
      <c r="M62" s="16"/>
      <c r="N62" s="16"/>
      <c r="O62" s="16"/>
      <c r="P62" s="16">
        <v>1.0</v>
      </c>
      <c r="Q62" s="16"/>
      <c r="R62" s="16">
        <v>8.0</v>
      </c>
      <c r="S62" s="16"/>
      <c r="T62" s="16"/>
      <c r="U62" s="16"/>
      <c r="V62" s="16"/>
      <c r="W62" s="16"/>
      <c r="X62" s="16"/>
      <c r="Y62" s="16"/>
      <c r="Z62" s="16"/>
      <c r="AA62" s="16"/>
      <c r="AB62" s="16">
        <v>1.0</v>
      </c>
      <c r="AC62" s="16"/>
      <c r="AD62" s="16"/>
      <c r="AE62" s="16"/>
      <c r="AF62" s="5">
        <v>12.0</v>
      </c>
    </row>
    <row r="63" ht="15.75" customHeight="1">
      <c r="A63" s="4" t="s">
        <v>62</v>
      </c>
      <c r="B63" s="15">
        <v>2.0</v>
      </c>
      <c r="C63" s="16"/>
      <c r="D63" s="16"/>
      <c r="E63" s="16"/>
      <c r="F63" s="16">
        <v>3.0</v>
      </c>
      <c r="G63" s="16">
        <v>1.0</v>
      </c>
      <c r="H63" s="16"/>
      <c r="I63" s="16">
        <v>1.0</v>
      </c>
      <c r="J63" s="16">
        <v>1.0</v>
      </c>
      <c r="K63" s="16">
        <v>1.0</v>
      </c>
      <c r="L63" s="16"/>
      <c r="M63" s="16">
        <v>1.0</v>
      </c>
      <c r="N63" s="16"/>
      <c r="O63" s="16"/>
      <c r="P63" s="16"/>
      <c r="Q63" s="16"/>
      <c r="R63" s="16">
        <v>1.0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5">
        <v>11.0</v>
      </c>
    </row>
    <row r="64" ht="15.75" customHeight="1">
      <c r="A64" s="4" t="s">
        <v>63</v>
      </c>
      <c r="B64" s="15">
        <v>1.0</v>
      </c>
      <c r="C64" s="16"/>
      <c r="D64" s="16"/>
      <c r="E64" s="16">
        <v>1.0</v>
      </c>
      <c r="F64" s="16"/>
      <c r="G64" s="16">
        <v>5.0</v>
      </c>
      <c r="H64" s="16"/>
      <c r="I64" s="16">
        <v>2.0</v>
      </c>
      <c r="J64" s="16"/>
      <c r="K64" s="16"/>
      <c r="L64" s="16"/>
      <c r="M64" s="16"/>
      <c r="N64" s="16"/>
      <c r="O64" s="16"/>
      <c r="P64" s="16"/>
      <c r="Q64" s="16">
        <v>1.0</v>
      </c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5">
        <v>10.0</v>
      </c>
    </row>
    <row r="65" ht="15.75" customHeight="1">
      <c r="A65" s="4" t="s">
        <v>64</v>
      </c>
      <c r="B65" s="15"/>
      <c r="C65" s="16"/>
      <c r="D65" s="16"/>
      <c r="E65" s="16"/>
      <c r="F65" s="16"/>
      <c r="G65" s="16">
        <v>1.0</v>
      </c>
      <c r="H65" s="16"/>
      <c r="I65" s="16">
        <v>3.0</v>
      </c>
      <c r="J65" s="16"/>
      <c r="K65" s="16"/>
      <c r="L65" s="16">
        <v>5.0</v>
      </c>
      <c r="M65" s="16">
        <v>1.0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5">
        <v>10.0</v>
      </c>
    </row>
    <row r="66" ht="15.75" customHeight="1">
      <c r="A66" s="4" t="s">
        <v>65</v>
      </c>
      <c r="B66" s="15">
        <v>7.0</v>
      </c>
      <c r="C66" s="16"/>
      <c r="D66" s="16"/>
      <c r="E66" s="16"/>
      <c r="F66" s="16"/>
      <c r="G66" s="16"/>
      <c r="H66" s="16"/>
      <c r="I66" s="16">
        <v>1.0</v>
      </c>
      <c r="J66" s="16"/>
      <c r="K66" s="16"/>
      <c r="L66" s="16">
        <v>1.0</v>
      </c>
      <c r="M66" s="16"/>
      <c r="N66" s="16"/>
      <c r="O66" s="16"/>
      <c r="P66" s="16"/>
      <c r="Q66" s="16">
        <v>1.0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5">
        <v>10.0</v>
      </c>
    </row>
    <row r="67" ht="15.75" customHeight="1">
      <c r="A67" s="4" t="s">
        <v>66</v>
      </c>
      <c r="B67" s="15">
        <v>1.0</v>
      </c>
      <c r="C67" s="16"/>
      <c r="D67" s="16">
        <v>2.0</v>
      </c>
      <c r="E67" s="16"/>
      <c r="F67" s="16">
        <v>5.0</v>
      </c>
      <c r="G67" s="16"/>
      <c r="H67" s="16"/>
      <c r="I67" s="16"/>
      <c r="J67" s="16"/>
      <c r="K67" s="16">
        <v>1.0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5">
        <v>9.0</v>
      </c>
    </row>
    <row r="68" ht="15.75" customHeight="1">
      <c r="A68" s="4" t="s">
        <v>67</v>
      </c>
      <c r="B68" s="15">
        <v>2.0</v>
      </c>
      <c r="C68" s="16"/>
      <c r="D68" s="16">
        <v>2.0</v>
      </c>
      <c r="E68" s="16">
        <v>4.0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>
        <v>1.0</v>
      </c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5">
        <v>9.0</v>
      </c>
    </row>
    <row r="69" ht="15.75" customHeight="1">
      <c r="A69" s="4" t="s">
        <v>68</v>
      </c>
      <c r="B69" s="15"/>
      <c r="C69" s="16"/>
      <c r="D69" s="16"/>
      <c r="E69" s="16">
        <v>2.0</v>
      </c>
      <c r="F69" s="16">
        <v>1.0</v>
      </c>
      <c r="G69" s="16"/>
      <c r="H69" s="16"/>
      <c r="I69" s="16">
        <v>2.0</v>
      </c>
      <c r="J69" s="16"/>
      <c r="K69" s="16"/>
      <c r="L69" s="16"/>
      <c r="M69" s="16"/>
      <c r="N69" s="16"/>
      <c r="O69" s="16"/>
      <c r="P69" s="16"/>
      <c r="Q69" s="16">
        <v>2.0</v>
      </c>
      <c r="R69" s="16"/>
      <c r="S69" s="16"/>
      <c r="T69" s="16"/>
      <c r="U69" s="16"/>
      <c r="V69" s="16"/>
      <c r="W69" s="16"/>
      <c r="X69" s="16">
        <v>1.0</v>
      </c>
      <c r="Y69" s="16"/>
      <c r="Z69" s="16"/>
      <c r="AA69" s="16"/>
      <c r="AB69" s="16"/>
      <c r="AC69" s="16"/>
      <c r="AD69" s="16">
        <v>1.0</v>
      </c>
      <c r="AE69" s="16"/>
      <c r="AF69" s="5">
        <v>9.0</v>
      </c>
    </row>
    <row r="70" ht="15.75" customHeight="1">
      <c r="A70" s="4" t="s">
        <v>69</v>
      </c>
      <c r="B70" s="15"/>
      <c r="C70" s="16"/>
      <c r="D70" s="16">
        <v>3.0</v>
      </c>
      <c r="E70" s="16">
        <v>2.0</v>
      </c>
      <c r="F70" s="16"/>
      <c r="G70" s="16"/>
      <c r="H70" s="16"/>
      <c r="I70" s="16"/>
      <c r="J70" s="16"/>
      <c r="K70" s="16">
        <v>1.0</v>
      </c>
      <c r="L70" s="16"/>
      <c r="M70" s="16"/>
      <c r="N70" s="16"/>
      <c r="O70" s="16">
        <v>1.0</v>
      </c>
      <c r="P70" s="16"/>
      <c r="Q70" s="16"/>
      <c r="R70" s="16">
        <v>1.0</v>
      </c>
      <c r="S70" s="16"/>
      <c r="T70" s="16"/>
      <c r="U70" s="16"/>
      <c r="V70" s="16"/>
      <c r="W70" s="16"/>
      <c r="X70" s="16"/>
      <c r="Y70" s="16"/>
      <c r="Z70" s="16">
        <v>1.0</v>
      </c>
      <c r="AA70" s="16"/>
      <c r="AB70" s="16"/>
      <c r="AC70" s="16"/>
      <c r="AD70" s="16"/>
      <c r="AE70" s="16"/>
      <c r="AF70" s="5">
        <v>9.0</v>
      </c>
    </row>
    <row r="71" ht="15.75" customHeight="1">
      <c r="A71" s="4" t="s">
        <v>70</v>
      </c>
      <c r="B71" s="15">
        <v>1.0</v>
      </c>
      <c r="C71" s="16"/>
      <c r="D71" s="16"/>
      <c r="E71" s="16">
        <v>1.0</v>
      </c>
      <c r="F71" s="16">
        <v>2.0</v>
      </c>
      <c r="G71" s="16">
        <v>1.0</v>
      </c>
      <c r="H71" s="16"/>
      <c r="I71" s="16">
        <v>1.0</v>
      </c>
      <c r="J71" s="16"/>
      <c r="K71" s="16"/>
      <c r="L71" s="16"/>
      <c r="M71" s="16"/>
      <c r="N71" s="16"/>
      <c r="O71" s="16"/>
      <c r="P71" s="16"/>
      <c r="Q71" s="16"/>
      <c r="R71" s="16">
        <v>1.0</v>
      </c>
      <c r="S71" s="16"/>
      <c r="T71" s="16"/>
      <c r="U71" s="16"/>
      <c r="V71" s="16"/>
      <c r="W71" s="16"/>
      <c r="X71" s="16"/>
      <c r="Y71" s="16"/>
      <c r="Z71" s="16">
        <v>1.0</v>
      </c>
      <c r="AA71" s="16"/>
      <c r="AB71" s="16"/>
      <c r="AC71" s="16"/>
      <c r="AD71" s="16"/>
      <c r="AE71" s="16"/>
      <c r="AF71" s="5">
        <v>8.0</v>
      </c>
    </row>
    <row r="72" ht="15.75" customHeight="1">
      <c r="A72" s="4" t="s">
        <v>71</v>
      </c>
      <c r="B72" s="15"/>
      <c r="C72" s="16"/>
      <c r="D72" s="16"/>
      <c r="E72" s="16"/>
      <c r="F72" s="16"/>
      <c r="G72" s="16">
        <v>1.0</v>
      </c>
      <c r="H72" s="16"/>
      <c r="I72" s="16"/>
      <c r="J72" s="16"/>
      <c r="K72" s="16"/>
      <c r="L72" s="16"/>
      <c r="M72" s="16">
        <v>1.0</v>
      </c>
      <c r="N72" s="16"/>
      <c r="O72" s="16">
        <v>6.0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5">
        <v>8.0</v>
      </c>
    </row>
    <row r="73" ht="15.75" customHeight="1">
      <c r="A73" s="4" t="s">
        <v>72</v>
      </c>
      <c r="B73" s="15">
        <v>1.0</v>
      </c>
      <c r="C73" s="16"/>
      <c r="D73" s="16"/>
      <c r="E73" s="16">
        <v>1.0</v>
      </c>
      <c r="F73" s="16"/>
      <c r="G73" s="16">
        <v>2.0</v>
      </c>
      <c r="H73" s="16"/>
      <c r="I73" s="16">
        <v>1.0</v>
      </c>
      <c r="J73" s="16"/>
      <c r="K73" s="16">
        <v>1.0</v>
      </c>
      <c r="L73" s="16"/>
      <c r="M73" s="16"/>
      <c r="N73" s="16"/>
      <c r="O73" s="16">
        <v>1.0</v>
      </c>
      <c r="P73" s="16"/>
      <c r="Q73" s="16"/>
      <c r="R73" s="16">
        <v>1.0</v>
      </c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5">
        <v>8.0</v>
      </c>
    </row>
    <row r="74" ht="15.75" customHeight="1">
      <c r="A74" s="4" t="s">
        <v>73</v>
      </c>
      <c r="B74" s="15"/>
      <c r="C74" s="16"/>
      <c r="D74" s="16">
        <v>6.0</v>
      </c>
      <c r="E74" s="16">
        <v>1.0</v>
      </c>
      <c r="F74" s="16">
        <v>1.0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5">
        <v>8.0</v>
      </c>
    </row>
    <row r="75" ht="15.75" customHeight="1">
      <c r="A75" s="4" t="s">
        <v>74</v>
      </c>
      <c r="B75" s="15">
        <v>4.0</v>
      </c>
      <c r="C75" s="16"/>
      <c r="D75" s="16">
        <v>2.0</v>
      </c>
      <c r="E75" s="16"/>
      <c r="F75" s="16"/>
      <c r="G75" s="16">
        <v>1.0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5">
        <v>7.0</v>
      </c>
    </row>
    <row r="76" ht="15.75" customHeight="1">
      <c r="A76" s="4" t="s">
        <v>75</v>
      </c>
      <c r="B76" s="15">
        <v>3.0</v>
      </c>
      <c r="C76" s="16">
        <v>1.0</v>
      </c>
      <c r="D76" s="16">
        <v>1.0</v>
      </c>
      <c r="E76" s="16"/>
      <c r="F76" s="16"/>
      <c r="G76" s="16"/>
      <c r="H76" s="16"/>
      <c r="I76" s="16"/>
      <c r="J76" s="16"/>
      <c r="K76" s="16"/>
      <c r="L76" s="16">
        <v>1.0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>
        <v>1.0</v>
      </c>
      <c r="AE76" s="16"/>
      <c r="AF76" s="5">
        <v>7.0</v>
      </c>
    </row>
    <row r="77" ht="15.75" customHeight="1">
      <c r="A77" s="4" t="s">
        <v>76</v>
      </c>
      <c r="B77" s="15"/>
      <c r="C77" s="16"/>
      <c r="D77" s="16"/>
      <c r="E77" s="16">
        <v>2.0</v>
      </c>
      <c r="F77" s="16"/>
      <c r="G77" s="16"/>
      <c r="H77" s="16"/>
      <c r="I77" s="16">
        <v>2.0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>
        <v>3.0</v>
      </c>
      <c r="AE77" s="16"/>
      <c r="AF77" s="5">
        <v>7.0</v>
      </c>
    </row>
    <row r="78" ht="15.75" customHeight="1">
      <c r="A78" s="4" t="s">
        <v>77</v>
      </c>
      <c r="B78" s="15"/>
      <c r="C78" s="16"/>
      <c r="D78" s="16">
        <v>2.0</v>
      </c>
      <c r="E78" s="16">
        <v>2.0</v>
      </c>
      <c r="F78" s="16"/>
      <c r="G78" s="16"/>
      <c r="H78" s="16"/>
      <c r="I78" s="16">
        <v>1.0</v>
      </c>
      <c r="J78" s="16"/>
      <c r="K78" s="16"/>
      <c r="L78" s="16">
        <v>1.0</v>
      </c>
      <c r="M78" s="16"/>
      <c r="N78" s="16"/>
      <c r="O78" s="16"/>
      <c r="P78" s="16"/>
      <c r="Q78" s="16"/>
      <c r="R78" s="16"/>
      <c r="S78" s="16"/>
      <c r="T78" s="16"/>
      <c r="U78" s="16">
        <v>1.0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5">
        <v>7.0</v>
      </c>
    </row>
    <row r="79" ht="15.75" customHeight="1">
      <c r="A79" s="4" t="s">
        <v>78</v>
      </c>
      <c r="B79" s="15"/>
      <c r="C79" s="16"/>
      <c r="D79" s="16"/>
      <c r="E79" s="16"/>
      <c r="F79" s="16"/>
      <c r="G79" s="16">
        <v>1.0</v>
      </c>
      <c r="H79" s="16"/>
      <c r="I79" s="16">
        <v>1.0</v>
      </c>
      <c r="J79" s="16"/>
      <c r="K79" s="16">
        <v>3.0</v>
      </c>
      <c r="L79" s="16"/>
      <c r="M79" s="16"/>
      <c r="N79" s="16"/>
      <c r="O79" s="16"/>
      <c r="P79" s="16"/>
      <c r="Q79" s="16"/>
      <c r="R79" s="16">
        <v>1.0</v>
      </c>
      <c r="S79" s="16"/>
      <c r="T79" s="16"/>
      <c r="U79" s="16"/>
      <c r="V79" s="16"/>
      <c r="W79" s="16"/>
      <c r="X79" s="16">
        <v>1.0</v>
      </c>
      <c r="Y79" s="16"/>
      <c r="Z79" s="16"/>
      <c r="AA79" s="16"/>
      <c r="AB79" s="16"/>
      <c r="AC79" s="16"/>
      <c r="AD79" s="16"/>
      <c r="AE79" s="16"/>
      <c r="AF79" s="5">
        <v>7.0</v>
      </c>
    </row>
    <row r="80" ht="15.75" customHeight="1">
      <c r="A80" s="4" t="s">
        <v>79</v>
      </c>
      <c r="B80" s="15"/>
      <c r="C80" s="16"/>
      <c r="D80" s="16"/>
      <c r="E80" s="16">
        <v>2.0</v>
      </c>
      <c r="F80" s="16"/>
      <c r="G80" s="16"/>
      <c r="H80" s="16"/>
      <c r="I80" s="16"/>
      <c r="J80" s="16"/>
      <c r="K80" s="16">
        <v>1.0</v>
      </c>
      <c r="L80" s="16"/>
      <c r="M80" s="16"/>
      <c r="N80" s="16"/>
      <c r="O80" s="16"/>
      <c r="P80" s="16"/>
      <c r="Q80" s="16"/>
      <c r="R80" s="16">
        <v>1.0</v>
      </c>
      <c r="S80" s="16"/>
      <c r="T80" s="16"/>
      <c r="U80" s="16"/>
      <c r="V80" s="16"/>
      <c r="W80" s="16"/>
      <c r="X80" s="16"/>
      <c r="Y80" s="16"/>
      <c r="Z80" s="16">
        <v>3.0</v>
      </c>
      <c r="AA80" s="16"/>
      <c r="AB80" s="16"/>
      <c r="AC80" s="16"/>
      <c r="AD80" s="16"/>
      <c r="AE80" s="16"/>
      <c r="AF80" s="5">
        <v>7.0</v>
      </c>
    </row>
    <row r="81" ht="15.75" customHeight="1">
      <c r="A81" s="4" t="s">
        <v>80</v>
      </c>
      <c r="B81" s="15">
        <v>2.0</v>
      </c>
      <c r="C81" s="16"/>
      <c r="D81" s="16"/>
      <c r="E81" s="16"/>
      <c r="F81" s="16"/>
      <c r="G81" s="16">
        <v>2.0</v>
      </c>
      <c r="H81" s="16"/>
      <c r="I81" s="16"/>
      <c r="J81" s="16"/>
      <c r="K81" s="16"/>
      <c r="L81" s="16">
        <v>1.0</v>
      </c>
      <c r="M81" s="16"/>
      <c r="N81" s="16"/>
      <c r="O81" s="16"/>
      <c r="P81" s="16"/>
      <c r="Q81" s="16"/>
      <c r="R81" s="16">
        <v>1.0</v>
      </c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5">
        <v>6.0</v>
      </c>
    </row>
    <row r="82" ht="15.75" customHeight="1">
      <c r="A82" s="4" t="s">
        <v>81</v>
      </c>
      <c r="B82" s="15"/>
      <c r="C82" s="16"/>
      <c r="D82" s="16">
        <v>1.0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>
        <v>1.0</v>
      </c>
      <c r="S82" s="16"/>
      <c r="T82" s="16"/>
      <c r="U82" s="16"/>
      <c r="V82" s="16"/>
      <c r="W82" s="16"/>
      <c r="X82" s="16"/>
      <c r="Y82" s="16"/>
      <c r="Z82" s="16">
        <v>4.0</v>
      </c>
      <c r="AA82" s="16"/>
      <c r="AB82" s="16"/>
      <c r="AC82" s="16"/>
      <c r="AD82" s="16"/>
      <c r="AE82" s="16"/>
      <c r="AF82" s="5">
        <v>6.0</v>
      </c>
    </row>
    <row r="83" ht="15.75" customHeight="1">
      <c r="A83" s="4" t="s">
        <v>82</v>
      </c>
      <c r="B83" s="15"/>
      <c r="C83" s="16"/>
      <c r="D83" s="16"/>
      <c r="E83" s="16"/>
      <c r="F83" s="16"/>
      <c r="G83" s="16"/>
      <c r="H83" s="16"/>
      <c r="I83" s="16">
        <v>3.0</v>
      </c>
      <c r="J83" s="16"/>
      <c r="K83" s="16"/>
      <c r="L83" s="16">
        <v>1.0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>
        <v>1.0</v>
      </c>
      <c r="AF83" s="5">
        <v>5.0</v>
      </c>
    </row>
    <row r="84" ht="15.75" customHeight="1">
      <c r="A84" s="4" t="s">
        <v>83</v>
      </c>
      <c r="B84" s="15">
        <v>2.0</v>
      </c>
      <c r="C84" s="16"/>
      <c r="D84" s="16"/>
      <c r="E84" s="16">
        <v>1.0</v>
      </c>
      <c r="F84" s="16"/>
      <c r="G84" s="16"/>
      <c r="H84" s="16"/>
      <c r="I84" s="16">
        <v>1.0</v>
      </c>
      <c r="J84" s="16"/>
      <c r="K84" s="16"/>
      <c r="L84" s="16"/>
      <c r="M84" s="16">
        <v>1.0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5">
        <v>5.0</v>
      </c>
    </row>
    <row r="85" ht="15.75" customHeight="1">
      <c r="A85" s="4" t="s">
        <v>84</v>
      </c>
      <c r="B85" s="15">
        <v>1.0</v>
      </c>
      <c r="C85" s="16"/>
      <c r="D85" s="16"/>
      <c r="E85" s="16"/>
      <c r="F85" s="16"/>
      <c r="G85" s="16">
        <v>2.0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5">
        <v>3.0</v>
      </c>
    </row>
    <row r="86" ht="15.75" customHeight="1">
      <c r="A86" s="4" t="s">
        <v>85</v>
      </c>
      <c r="B86" s="15"/>
      <c r="C86" s="16"/>
      <c r="D86" s="16"/>
      <c r="E86" s="16"/>
      <c r="F86" s="16"/>
      <c r="G86" s="16"/>
      <c r="H86" s="16"/>
      <c r="I86" s="16">
        <v>1.0</v>
      </c>
      <c r="J86" s="16"/>
      <c r="K86" s="16">
        <v>1.0</v>
      </c>
      <c r="L86" s="16"/>
      <c r="M86" s="16"/>
      <c r="N86" s="16"/>
      <c r="O86" s="16"/>
      <c r="P86" s="16"/>
      <c r="Q86" s="16">
        <v>1.0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5">
        <v>3.0</v>
      </c>
    </row>
    <row r="87" ht="15.75" customHeight="1">
      <c r="A87" s="4" t="s">
        <v>86</v>
      </c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3.0</v>
      </c>
      <c r="AA87" s="16"/>
      <c r="AB87" s="16"/>
      <c r="AC87" s="16"/>
      <c r="AD87" s="16"/>
      <c r="AE87" s="16"/>
      <c r="AF87" s="5">
        <v>3.0</v>
      </c>
    </row>
    <row r="88" ht="15.75" customHeight="1">
      <c r="A88" s="4" t="s">
        <v>87</v>
      </c>
      <c r="B88" s="15">
        <v>1.0</v>
      </c>
      <c r="C88" s="16"/>
      <c r="D88" s="16"/>
      <c r="E88" s="16">
        <v>1.0</v>
      </c>
      <c r="F88" s="16"/>
      <c r="G88" s="16"/>
      <c r="H88" s="16"/>
      <c r="I88" s="16"/>
      <c r="J88" s="16"/>
      <c r="K88" s="16">
        <v>1.0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5">
        <v>3.0</v>
      </c>
    </row>
    <row r="89" ht="15.75" customHeight="1">
      <c r="A89" s="4" t="s">
        <v>88</v>
      </c>
      <c r="B89" s="15"/>
      <c r="C89" s="16"/>
      <c r="D89" s="16"/>
      <c r="E89" s="16"/>
      <c r="F89" s="16"/>
      <c r="G89" s="16"/>
      <c r="H89" s="16"/>
      <c r="I89" s="16"/>
      <c r="J89" s="16"/>
      <c r="K89" s="16">
        <v>1.0</v>
      </c>
      <c r="L89" s="16"/>
      <c r="M89" s="16"/>
      <c r="N89" s="16"/>
      <c r="O89" s="16"/>
      <c r="P89" s="16"/>
      <c r="Q89" s="16">
        <v>2.0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5">
        <v>3.0</v>
      </c>
    </row>
    <row r="90" ht="15.75" customHeight="1">
      <c r="A90" s="4" t="s">
        <v>89</v>
      </c>
      <c r="B90" s="15"/>
      <c r="C90" s="16"/>
      <c r="D90" s="16">
        <v>1.0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>
        <v>1.0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5">
        <v>2.0</v>
      </c>
    </row>
    <row r="91" ht="15.75" customHeight="1">
      <c r="A91" s="4" t="s">
        <v>90</v>
      </c>
      <c r="B91" s="15"/>
      <c r="C91" s="16"/>
      <c r="D91" s="16"/>
      <c r="E91" s="16"/>
      <c r="F91" s="16"/>
      <c r="G91" s="16"/>
      <c r="H91" s="16"/>
      <c r="I91" s="16"/>
      <c r="J91" s="16"/>
      <c r="K91" s="16"/>
      <c r="L91" s="16">
        <v>1.0</v>
      </c>
      <c r="M91" s="16"/>
      <c r="N91" s="16"/>
      <c r="O91" s="16"/>
      <c r="P91" s="16"/>
      <c r="Q91" s="16">
        <v>1.0</v>
      </c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5">
        <v>2.0</v>
      </c>
    </row>
    <row r="92" ht="15.75" customHeight="1">
      <c r="A92" s="4" t="s">
        <v>91</v>
      </c>
      <c r="B92" s="15"/>
      <c r="C92" s="16"/>
      <c r="D92" s="16"/>
      <c r="E92" s="16"/>
      <c r="F92" s="16"/>
      <c r="G92" s="16">
        <v>2.0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5">
        <v>2.0</v>
      </c>
    </row>
    <row r="93" ht="15.75" customHeight="1">
      <c r="A93" s="4" t="s">
        <v>92</v>
      </c>
      <c r="B93" s="15"/>
      <c r="C93" s="16"/>
      <c r="D93" s="16">
        <v>1.0</v>
      </c>
      <c r="E93" s="16"/>
      <c r="F93" s="16"/>
      <c r="G93" s="16"/>
      <c r="H93" s="16"/>
      <c r="I93" s="16"/>
      <c r="J93" s="16"/>
      <c r="K93" s="16"/>
      <c r="L93" s="16"/>
      <c r="M93" s="16"/>
      <c r="N93" s="16">
        <v>1.0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5">
        <v>2.0</v>
      </c>
    </row>
    <row r="94" ht="15.75" customHeight="1">
      <c r="A94" s="4" t="s">
        <v>93</v>
      </c>
      <c r="B94" s="15">
        <v>2.0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5">
        <v>2.0</v>
      </c>
    </row>
    <row r="95" ht="15.75" customHeight="1">
      <c r="A95" s="4" t="s">
        <v>94</v>
      </c>
      <c r="B95" s="15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>
        <v>2.0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5">
        <v>2.0</v>
      </c>
    </row>
    <row r="96" ht="15.75" customHeight="1">
      <c r="A96" s="4" t="s">
        <v>95</v>
      </c>
      <c r="B96" s="15">
        <v>1.0</v>
      </c>
      <c r="C96" s="16"/>
      <c r="D96" s="16"/>
      <c r="E96" s="16"/>
      <c r="F96" s="16"/>
      <c r="G96" s="16"/>
      <c r="H96" s="16"/>
      <c r="I96" s="16"/>
      <c r="J96" s="16"/>
      <c r="K96" s="16"/>
      <c r="L96" s="16">
        <v>1.0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5">
        <v>2.0</v>
      </c>
    </row>
    <row r="97" ht="15.75" customHeight="1">
      <c r="A97" s="4" t="s">
        <v>96</v>
      </c>
      <c r="B97" s="15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>
        <v>1.0</v>
      </c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5">
        <v>1.0</v>
      </c>
    </row>
    <row r="98" ht="15.75" customHeight="1">
      <c r="A98" s="4" t="s">
        <v>97</v>
      </c>
      <c r="B98" s="15"/>
      <c r="C98" s="16"/>
      <c r="D98" s="16">
        <v>1.0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5">
        <v>1.0</v>
      </c>
    </row>
    <row r="99" ht="15.75" customHeight="1">
      <c r="A99" s="4" t="s">
        <v>98</v>
      </c>
      <c r="B99" s="15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>
        <v>1.0</v>
      </c>
      <c r="AA99" s="16"/>
      <c r="AB99" s="16"/>
      <c r="AC99" s="16"/>
      <c r="AD99" s="16"/>
      <c r="AE99" s="16"/>
      <c r="AF99" s="5">
        <v>1.0</v>
      </c>
    </row>
    <row r="100" ht="15.75" customHeight="1">
      <c r="A100" s="4" t="s">
        <v>99</v>
      </c>
      <c r="B100" s="15"/>
      <c r="C100" s="16"/>
      <c r="D100" s="16"/>
      <c r="E100" s="16">
        <v>1.0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5">
        <v>1.0</v>
      </c>
    </row>
    <row r="101" ht="15.75" customHeight="1">
      <c r="A101" s="4" t="s">
        <v>100</v>
      </c>
      <c r="B101" s="15"/>
      <c r="C101" s="16"/>
      <c r="D101" s="16"/>
      <c r="E101" s="16"/>
      <c r="F101" s="16"/>
      <c r="G101" s="16"/>
      <c r="H101" s="16"/>
      <c r="I101" s="16">
        <v>1.0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5">
        <v>1.0</v>
      </c>
    </row>
    <row r="102" ht="15.75" customHeight="1">
      <c r="A102" s="4" t="s">
        <v>101</v>
      </c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>
        <v>1.0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5">
        <v>1.0</v>
      </c>
    </row>
    <row r="103" ht="15.75" customHeight="1">
      <c r="A103" s="4" t="s">
        <v>102</v>
      </c>
      <c r="B103" s="15"/>
      <c r="C103" s="16"/>
      <c r="D103" s="16">
        <v>1.0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5">
        <v>1.0</v>
      </c>
    </row>
    <row r="104" ht="15.75" customHeight="1">
      <c r="A104" s="4" t="s">
        <v>103</v>
      </c>
      <c r="B104" s="15"/>
      <c r="C104" s="16"/>
      <c r="D104" s="16"/>
      <c r="E104" s="16">
        <v>1.0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5">
        <v>1.0</v>
      </c>
    </row>
    <row r="105" ht="15.75" customHeight="1">
      <c r="A105" s="4" t="s">
        <v>104</v>
      </c>
      <c r="B105" s="15"/>
      <c r="C105" s="16"/>
      <c r="D105" s="16"/>
      <c r="E105" s="16">
        <v>1.0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5">
        <v>1.0</v>
      </c>
    </row>
    <row r="106" ht="15.75" customHeight="1">
      <c r="A106" s="4" t="s">
        <v>105</v>
      </c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>
        <v>1.0</v>
      </c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5">
        <v>1.0</v>
      </c>
    </row>
    <row r="107" ht="15.75" customHeight="1">
      <c r="A107" s="6" t="s">
        <v>106</v>
      </c>
      <c r="B107" s="17">
        <v>473.0</v>
      </c>
      <c r="C107" s="18">
        <v>30.0</v>
      </c>
      <c r="D107" s="18">
        <v>176.0</v>
      </c>
      <c r="E107" s="18">
        <v>234.0</v>
      </c>
      <c r="F107" s="18">
        <v>213.0</v>
      </c>
      <c r="G107" s="18">
        <v>290.0</v>
      </c>
      <c r="H107" s="18">
        <v>8.0</v>
      </c>
      <c r="I107" s="18">
        <v>172.0</v>
      </c>
      <c r="J107" s="18">
        <v>8.0</v>
      </c>
      <c r="K107" s="18">
        <v>19.0</v>
      </c>
      <c r="L107" s="18">
        <v>55.0</v>
      </c>
      <c r="M107" s="18">
        <v>22.0</v>
      </c>
      <c r="N107" s="18">
        <v>6.0</v>
      </c>
      <c r="O107" s="18">
        <v>93.0</v>
      </c>
      <c r="P107" s="18">
        <v>1.0</v>
      </c>
      <c r="Q107" s="18">
        <v>70.0</v>
      </c>
      <c r="R107" s="18">
        <v>51.0</v>
      </c>
      <c r="S107" s="18">
        <v>3.0</v>
      </c>
      <c r="T107" s="18">
        <v>1.0</v>
      </c>
      <c r="U107" s="18">
        <v>12.0</v>
      </c>
      <c r="V107" s="18">
        <v>24.0</v>
      </c>
      <c r="W107" s="18">
        <v>5.0</v>
      </c>
      <c r="X107" s="18">
        <v>11.0</v>
      </c>
      <c r="Y107" s="18">
        <v>2.0</v>
      </c>
      <c r="Z107" s="18">
        <v>29.0</v>
      </c>
      <c r="AA107" s="18">
        <v>3.0</v>
      </c>
      <c r="AB107" s="18">
        <v>11.0</v>
      </c>
      <c r="AC107" s="18">
        <v>5.0</v>
      </c>
      <c r="AD107" s="18">
        <v>23.0</v>
      </c>
      <c r="AE107" s="18">
        <v>1.0</v>
      </c>
      <c r="AF107" s="7">
        <v>2051.0</v>
      </c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76.13"/>
    <col customWidth="1" min="2" max="2" width="13.38"/>
    <col customWidth="1" min="3" max="3" width="11.88"/>
    <col customWidth="1" min="4" max="4" width="14.5"/>
    <col customWidth="1" min="5" max="5" width="11.88"/>
    <col customWidth="1" min="6" max="6" width="16.0"/>
  </cols>
  <sheetData>
    <row r="1" ht="15.75" customHeight="1">
      <c r="A1" s="16"/>
      <c r="B1" s="19" t="s">
        <v>138</v>
      </c>
      <c r="C1" s="19" t="s">
        <v>139</v>
      </c>
      <c r="D1" s="19" t="s">
        <v>140</v>
      </c>
      <c r="E1" s="20" t="s">
        <v>141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6"/>
      <c r="B2" s="21" t="s">
        <v>142</v>
      </c>
      <c r="C2" s="21" t="s">
        <v>143</v>
      </c>
      <c r="D2" s="21" t="s">
        <v>144</v>
      </c>
      <c r="E2" s="2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23" t="s">
        <v>108</v>
      </c>
      <c r="B3" s="24">
        <v>64.0</v>
      </c>
      <c r="C3" s="24">
        <v>473.0</v>
      </c>
      <c r="D3" s="24">
        <v>63.0</v>
      </c>
      <c r="E3" s="25">
        <f t="shared" ref="E3:E32" si="1">ROUND(C3/B3,0)</f>
        <v>7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23" t="s">
        <v>113</v>
      </c>
      <c r="B4" s="24">
        <v>29.0</v>
      </c>
      <c r="C4" s="24">
        <v>290.0</v>
      </c>
      <c r="D4" s="24">
        <v>55.0</v>
      </c>
      <c r="E4" s="25">
        <f t="shared" si="1"/>
        <v>10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26" t="s">
        <v>115</v>
      </c>
      <c r="B5" s="16">
        <v>43.0</v>
      </c>
      <c r="C5" s="16">
        <v>172.0</v>
      </c>
      <c r="D5" s="16">
        <v>52.0</v>
      </c>
      <c r="E5" s="22">
        <f t="shared" si="1"/>
        <v>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26" t="s">
        <v>110</v>
      </c>
      <c r="B6" s="16">
        <v>32.0</v>
      </c>
      <c r="C6" s="16">
        <v>176.0</v>
      </c>
      <c r="D6" s="16">
        <v>50.0</v>
      </c>
      <c r="E6" s="22">
        <f t="shared" si="1"/>
        <v>6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26" t="s">
        <v>111</v>
      </c>
      <c r="B7" s="16">
        <v>56.0</v>
      </c>
      <c r="C7" s="16">
        <v>234.0</v>
      </c>
      <c r="D7" s="16">
        <v>48.0</v>
      </c>
      <c r="E7" s="22">
        <f t="shared" si="1"/>
        <v>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6" t="s">
        <v>112</v>
      </c>
      <c r="B8" s="16">
        <v>51.0</v>
      </c>
      <c r="C8" s="16">
        <v>213.0</v>
      </c>
      <c r="D8" s="16">
        <v>41.0</v>
      </c>
      <c r="E8" s="22">
        <f t="shared" si="1"/>
        <v>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6" t="s">
        <v>123</v>
      </c>
      <c r="B9" s="16">
        <v>13.0</v>
      </c>
      <c r="C9" s="16">
        <v>70.0</v>
      </c>
      <c r="D9" s="16">
        <v>35.0</v>
      </c>
      <c r="E9" s="22">
        <f t="shared" si="1"/>
        <v>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26" t="s">
        <v>118</v>
      </c>
      <c r="B10" s="16">
        <v>8.0</v>
      </c>
      <c r="C10" s="16">
        <v>55.0</v>
      </c>
      <c r="D10" s="16">
        <v>32.0</v>
      </c>
      <c r="E10" s="22">
        <f t="shared" si="1"/>
        <v>7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6" t="s">
        <v>124</v>
      </c>
      <c r="B11" s="16">
        <v>11.0</v>
      </c>
      <c r="C11" s="16">
        <v>51.0</v>
      </c>
      <c r="D11" s="16">
        <v>30.0</v>
      </c>
      <c r="E11" s="22">
        <f t="shared" si="1"/>
        <v>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6" t="s">
        <v>121</v>
      </c>
      <c r="B12" s="16">
        <v>7.0</v>
      </c>
      <c r="C12" s="16">
        <v>93.0</v>
      </c>
      <c r="D12" s="16">
        <v>28.0</v>
      </c>
      <c r="E12" s="22">
        <f t="shared" si="1"/>
        <v>13</v>
      </c>
      <c r="F12" s="20" t="s">
        <v>145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6" t="s">
        <v>119</v>
      </c>
      <c r="B13" s="16">
        <v>1.0</v>
      </c>
      <c r="C13" s="16">
        <v>22.0</v>
      </c>
      <c r="D13" s="16">
        <v>22.0</v>
      </c>
      <c r="E13" s="22">
        <f t="shared" si="1"/>
        <v>22</v>
      </c>
      <c r="F13" s="20" t="s">
        <v>146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6" t="s">
        <v>136</v>
      </c>
      <c r="B14" s="16">
        <v>3.0</v>
      </c>
      <c r="C14" s="16">
        <v>23.0</v>
      </c>
      <c r="D14" s="16">
        <v>16.0</v>
      </c>
      <c r="E14" s="22">
        <f t="shared" si="1"/>
        <v>8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6" t="s">
        <v>117</v>
      </c>
      <c r="B15" s="16">
        <v>4.0</v>
      </c>
      <c r="C15" s="16">
        <v>19.0</v>
      </c>
      <c r="D15" s="16">
        <v>15.0</v>
      </c>
      <c r="E15" s="22">
        <f t="shared" si="1"/>
        <v>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6" t="s">
        <v>128</v>
      </c>
      <c r="B16" s="16">
        <v>6.0</v>
      </c>
      <c r="C16" s="16">
        <v>24.0</v>
      </c>
      <c r="D16" s="16">
        <v>14.0</v>
      </c>
      <c r="E16" s="22">
        <f t="shared" si="1"/>
        <v>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26" t="s">
        <v>132</v>
      </c>
      <c r="B17" s="16">
        <v>6.0</v>
      </c>
      <c r="C17" s="16">
        <v>29.0</v>
      </c>
      <c r="D17" s="16">
        <v>13.0</v>
      </c>
      <c r="E17" s="22">
        <f t="shared" si="1"/>
        <v>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6" t="s">
        <v>109</v>
      </c>
      <c r="B18" s="16">
        <v>12.0</v>
      </c>
      <c r="C18" s="16">
        <v>30.0</v>
      </c>
      <c r="D18" s="16">
        <v>13.0</v>
      </c>
      <c r="E18" s="22">
        <f t="shared" si="1"/>
        <v>3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6" t="s">
        <v>134</v>
      </c>
      <c r="B19" s="16">
        <v>1.0</v>
      </c>
      <c r="C19" s="16">
        <v>11.0</v>
      </c>
      <c r="D19" s="16">
        <v>11.0</v>
      </c>
      <c r="E19" s="22">
        <f t="shared" si="1"/>
        <v>11</v>
      </c>
      <c r="F19" s="20" t="s">
        <v>147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6" t="s">
        <v>127</v>
      </c>
      <c r="B20" s="16">
        <v>4.0</v>
      </c>
      <c r="C20" s="16">
        <v>12.0</v>
      </c>
      <c r="D20" s="16">
        <v>8.0</v>
      </c>
      <c r="E20" s="22">
        <f t="shared" si="1"/>
        <v>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6" t="s">
        <v>116</v>
      </c>
      <c r="B21" s="16">
        <v>2.0</v>
      </c>
      <c r="C21" s="16">
        <v>8.0</v>
      </c>
      <c r="D21" s="16">
        <v>7.0</v>
      </c>
      <c r="E21" s="22">
        <f t="shared" si="1"/>
        <v>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6" t="s">
        <v>130</v>
      </c>
      <c r="B22" s="16">
        <v>2.0</v>
      </c>
      <c r="C22" s="16">
        <v>11.0</v>
      </c>
      <c r="D22" s="16">
        <v>7.0</v>
      </c>
      <c r="E22" s="22">
        <f t="shared" si="1"/>
        <v>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6" t="s">
        <v>114</v>
      </c>
      <c r="B23" s="16">
        <v>3.0</v>
      </c>
      <c r="C23" s="16">
        <v>8.0</v>
      </c>
      <c r="D23" s="16">
        <v>5.0</v>
      </c>
      <c r="E23" s="22">
        <f t="shared" si="1"/>
        <v>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6" t="s">
        <v>135</v>
      </c>
      <c r="B24" s="16">
        <v>1.0</v>
      </c>
      <c r="C24" s="16">
        <v>5.0</v>
      </c>
      <c r="D24" s="16">
        <v>5.0</v>
      </c>
      <c r="E24" s="22">
        <f t="shared" si="1"/>
        <v>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6" t="s">
        <v>133</v>
      </c>
      <c r="B25" s="16">
        <v>1.0</v>
      </c>
      <c r="C25" s="16">
        <v>3.0</v>
      </c>
      <c r="D25" s="16">
        <v>3.0</v>
      </c>
      <c r="E25" s="22">
        <f t="shared" si="1"/>
        <v>3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6" t="s">
        <v>120</v>
      </c>
      <c r="B26" s="16">
        <v>4.0</v>
      </c>
      <c r="C26" s="16">
        <v>6.0</v>
      </c>
      <c r="D26" s="16">
        <v>3.0</v>
      </c>
      <c r="E26" s="22">
        <f t="shared" si="1"/>
        <v>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6" t="s">
        <v>129</v>
      </c>
      <c r="B27" s="16">
        <v>3.0</v>
      </c>
      <c r="C27" s="16">
        <v>5.0</v>
      </c>
      <c r="D27" s="16">
        <v>3.0</v>
      </c>
      <c r="E27" s="22">
        <f t="shared" si="1"/>
        <v>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6" t="s">
        <v>125</v>
      </c>
      <c r="B28" s="16">
        <v>2.0</v>
      </c>
      <c r="C28" s="16">
        <v>3.0</v>
      </c>
      <c r="D28" s="16">
        <v>2.0</v>
      </c>
      <c r="E28" s="22">
        <f t="shared" si="1"/>
        <v>2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6" t="s">
        <v>131</v>
      </c>
      <c r="B29" s="16">
        <v>1.0</v>
      </c>
      <c r="C29" s="16">
        <v>2.0</v>
      </c>
      <c r="D29" s="16">
        <v>2.0</v>
      </c>
      <c r="E29" s="22">
        <f t="shared" si="1"/>
        <v>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6" t="s">
        <v>137</v>
      </c>
      <c r="B30" s="16">
        <v>1.0</v>
      </c>
      <c r="C30" s="16">
        <v>1.0</v>
      </c>
      <c r="D30" s="16">
        <v>1.0</v>
      </c>
      <c r="E30" s="22">
        <f t="shared" si="1"/>
        <v>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6" t="s">
        <v>122</v>
      </c>
      <c r="B31" s="16">
        <v>1.0</v>
      </c>
      <c r="C31" s="16">
        <v>1.0</v>
      </c>
      <c r="D31" s="16">
        <v>1.0</v>
      </c>
      <c r="E31" s="22">
        <f t="shared" si="1"/>
        <v>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6" t="s">
        <v>126</v>
      </c>
      <c r="B32" s="16">
        <v>1.0</v>
      </c>
      <c r="C32" s="16">
        <v>1.0</v>
      </c>
      <c r="D32" s="16">
        <v>1.0</v>
      </c>
      <c r="E32" s="22">
        <f t="shared" si="1"/>
        <v>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 t="s">
        <v>148</v>
      </c>
      <c r="B33" s="16">
        <v>373.0</v>
      </c>
      <c r="C33" s="16">
        <v>2051.0</v>
      </c>
      <c r="D33" s="16">
        <v>104.0</v>
      </c>
      <c r="E33" s="2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27">
        <f>SUM(B3:B32)</f>
        <v>373</v>
      </c>
      <c r="C34" s="16"/>
      <c r="D34" s="16"/>
      <c r="E34" s="2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2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0"/>
  <cols>
    <col customWidth="1" min="1" max="1" width="76.13"/>
    <col customWidth="1" min="2" max="6" width="12.63"/>
  </cols>
  <sheetData>
    <row r="1" ht="15.75" customHeight="1">
      <c r="A1" s="3" t="s">
        <v>108</v>
      </c>
      <c r="B1" s="28" t="str">
        <f>HYPERLINK("https://oknesset.org/committee/meeting/14333/","https://oknesset.org/committee/meeting/14113/")</f>
        <v>https://oknesset.org/committee/meeting/14113/</v>
      </c>
    </row>
    <row r="2" ht="15.75" customHeight="1">
      <c r="A2" s="29"/>
      <c r="B2" s="30" t="str">
        <f>HYPERLINK("https://oknesset.org/committee/meeting/14334/","https://oknesset.org/committee/meeting/14112/")</f>
        <v>https://oknesset.org/committee/meeting/14112/</v>
      </c>
    </row>
    <row r="3" ht="15.75" customHeight="1">
      <c r="A3" s="29"/>
      <c r="B3" s="30" t="str">
        <f>HYPERLINK("https://oknesset.org/committee/meeting/14335/","https://oknesset.org/committee/meeting/14111/")</f>
        <v>https://oknesset.org/committee/meeting/14111/</v>
      </c>
    </row>
    <row r="4" ht="15.75" customHeight="1">
      <c r="A4" s="29"/>
      <c r="B4" s="31" t="s">
        <v>149</v>
      </c>
    </row>
    <row r="5" ht="15.75" customHeight="1">
      <c r="A5" s="29"/>
      <c r="B5" s="30" t="str">
        <f>HYPERLINK("https://oknesset.org/committee/meeting/14404/","https://oknesset.org/committee/meeting/14109/")</f>
        <v>https://oknesset.org/committee/meeting/14109/</v>
      </c>
    </row>
    <row r="6" ht="15.75" customHeight="1">
      <c r="A6" s="29"/>
      <c r="B6" s="30" t="str">
        <f>HYPERLINK("https://oknesset.org/committee/meeting/14405/","https://oknesset.org/committee/meeting/14105/")</f>
        <v>https://oknesset.org/committee/meeting/14105/</v>
      </c>
    </row>
    <row r="7" ht="15.75" customHeight="1">
      <c r="A7" s="29"/>
      <c r="B7" s="30" t="str">
        <f>HYPERLINK("https://oknesset.org/committee/meeting/14519/","https://oknesset.org/committee/meeting/14108/")</f>
        <v>https://oknesset.org/committee/meeting/14108/</v>
      </c>
    </row>
    <row r="8" ht="15.75" customHeight="1">
      <c r="A8" s="29"/>
      <c r="B8" s="30" t="str">
        <f>HYPERLINK("https://oknesset.org/committee/meeting/14522/","https://oknesset.org/committee/meeting/14107/")</f>
        <v>https://oknesset.org/committee/meeting/14107/</v>
      </c>
    </row>
    <row r="9" ht="15.75" customHeight="1">
      <c r="A9" s="29"/>
      <c r="B9" s="31" t="s">
        <v>150</v>
      </c>
    </row>
    <row r="10" ht="15.75" customHeight="1">
      <c r="A10" s="29"/>
      <c r="B10" s="30" t="str">
        <f>HYPERLINK("https://oknesset.org/committee/meeting/14316/","https://oknesset.org/committee/meeting/14104/")</f>
        <v>https://oknesset.org/committee/meeting/14104/</v>
      </c>
    </row>
    <row r="11" ht="15.75" customHeight="1">
      <c r="A11" s="29"/>
      <c r="B11" s="31" t="s">
        <v>151</v>
      </c>
    </row>
    <row r="12" ht="15.75" customHeight="1">
      <c r="A12" s="29"/>
      <c r="B12" s="30" t="str">
        <f>HYPERLINK("https://oknesset.org/committee/meeting/14329/","https://oknesset.org/committee/meeting/14478/")</f>
        <v>https://oknesset.org/committee/meeting/14478/</v>
      </c>
    </row>
    <row r="13" ht="15.75" customHeight="1">
      <c r="A13" s="29"/>
      <c r="B13" s="30" t="str">
        <f>HYPERLINK("https://oknesset.org/committee/meeting/14330/","https://oknesset.org/committee/meeting/14479/")</f>
        <v>https://oknesset.org/committee/meeting/14479/</v>
      </c>
    </row>
    <row r="14" ht="15.75" customHeight="1">
      <c r="A14" s="29"/>
      <c r="B14" s="30" t="str">
        <f>HYPERLINK("https://oknesset.org/committee/meeting/14331/","https://oknesset.org/committee/meeting/14480/")</f>
        <v>https://oknesset.org/committee/meeting/14480/</v>
      </c>
    </row>
    <row r="15" ht="15.75" customHeight="1">
      <c r="A15" s="29"/>
      <c r="B15" s="30" t="str">
        <f>HYPERLINK("https://oknesset.org/committee/meeting/14509/","https://oknesset.org/committee/meeting/14102/")</f>
        <v>https://oknesset.org/committee/meeting/14102/</v>
      </c>
    </row>
    <row r="16" ht="15.75" customHeight="1">
      <c r="A16" s="29"/>
      <c r="B16" s="31" t="s">
        <v>152</v>
      </c>
    </row>
    <row r="17" ht="15.75" customHeight="1">
      <c r="A17" s="29"/>
      <c r="B17" s="30" t="str">
        <f>HYPERLINK("https://oknesset.org/committee/meeting/14292/","https://oknesset.org/committee/meeting/14100/")</f>
        <v>https://oknesset.org/committee/meeting/14100/</v>
      </c>
    </row>
    <row r="18" ht="15.75" customHeight="1">
      <c r="A18" s="29"/>
      <c r="B18" s="30" t="str">
        <f>HYPERLINK("https://oknesset.org/committee/meeting/14293/","https://oknesset.org/committee/meeting/14099/")</f>
        <v>https://oknesset.org/committee/meeting/14099/</v>
      </c>
    </row>
    <row r="19" ht="15.75" customHeight="1">
      <c r="A19" s="29"/>
      <c r="B19" s="30" t="str">
        <f>HYPERLINK("https://oknesset.org/committee/meeting/14294/","https://oknesset.org/committee/meeting/14098/")</f>
        <v>https://oknesset.org/committee/meeting/14098/</v>
      </c>
    </row>
    <row r="20" ht="15.75" customHeight="1">
      <c r="A20" s="29"/>
      <c r="B20" s="30" t="str">
        <f>HYPERLINK("https://oknesset.org/committee/meeting/14295/","https://oknesset.org/committee/meeting/14096/")</f>
        <v>https://oknesset.org/committee/meeting/14096/</v>
      </c>
    </row>
    <row r="21" ht="15.75" customHeight="1">
      <c r="A21" s="29"/>
      <c r="B21" s="30" t="str">
        <f>HYPERLINK("https://oknesset.org/committee/meeting/14296/","https://oknesset.org/committee/meeting/14095/")</f>
        <v>https://oknesset.org/committee/meeting/14095/</v>
      </c>
    </row>
    <row r="22" ht="15.75" customHeight="1">
      <c r="A22" s="29"/>
      <c r="B22" s="30" t="str">
        <f>HYPERLINK("https://oknesset.org/committee/meeting/14298/","https://oknesset.org/committee/meeting/14097/")</f>
        <v>https://oknesset.org/committee/meeting/14097/</v>
      </c>
    </row>
    <row r="23" ht="15.75" customHeight="1">
      <c r="A23" s="29"/>
      <c r="B23" s="30" t="str">
        <f>HYPERLINK("https://oknesset.org/committee/meeting/14299/","https://oknesset.org/committee/meeting/14093/")</f>
        <v>https://oknesset.org/committee/meeting/14093/</v>
      </c>
    </row>
    <row r="24" ht="15.75" customHeight="1">
      <c r="A24" s="29"/>
      <c r="B24" s="30" t="str">
        <f>HYPERLINK("https://oknesset.org/committee/meeting/14507/","https://oknesset.org/committee/meeting/14094/")</f>
        <v>https://oknesset.org/committee/meeting/14094/</v>
      </c>
    </row>
    <row r="25" ht="15.75" customHeight="1">
      <c r="A25" s="29"/>
      <c r="B25" s="31" t="s">
        <v>153</v>
      </c>
    </row>
    <row r="26" ht="15.75" customHeight="1">
      <c r="A26" s="29"/>
      <c r="B26" s="30" t="str">
        <f>HYPERLINK("https://oknesset.org/committee/meeting/14309/","https://oknesset.org/committee/meeting/14092/")</f>
        <v>https://oknesset.org/committee/meeting/14092/</v>
      </c>
    </row>
    <row r="27" ht="15.75" customHeight="1">
      <c r="A27" s="29"/>
      <c r="B27" s="30" t="str">
        <f>HYPERLINK("https://oknesset.org/committee/meeting/14310/","https://oknesset.org/committee/meeting/14477/")</f>
        <v>https://oknesset.org/committee/meeting/14477/</v>
      </c>
    </row>
    <row r="28" ht="15.75" customHeight="1">
      <c r="A28" s="29"/>
      <c r="B28" s="30" t="str">
        <f>HYPERLINK("https://oknesset.org/committee/meeting/14311/","https://oknesset.org/committee/meeting/14476/")</f>
        <v>https://oknesset.org/committee/meeting/14476/</v>
      </c>
    </row>
    <row r="29" ht="15.75" customHeight="1">
      <c r="A29" s="29"/>
      <c r="B29" s="30" t="str">
        <f>HYPERLINK("https://oknesset.org/committee/meeting/14312/","https://oknesset.org/committee/meeting/14090/")</f>
        <v>https://oknesset.org/committee/meeting/14090/</v>
      </c>
    </row>
    <row r="30" ht="15.75" customHeight="1">
      <c r="A30" s="29"/>
      <c r="B30" s="31" t="s">
        <v>154</v>
      </c>
    </row>
    <row r="31" ht="15.75" customHeight="1">
      <c r="A31" s="29"/>
      <c r="B31" s="30" t="str">
        <f>HYPERLINK("https://oknesset.org/committee/meeting/14025/","https://oknesset.org/committee/meeting/14089/")</f>
        <v>https://oknesset.org/committee/meeting/14089/</v>
      </c>
    </row>
    <row r="32" ht="15.75" customHeight="1">
      <c r="A32" s="29"/>
      <c r="B32" s="30" t="str">
        <f>HYPERLINK("https://oknesset.org/committee/meeting/14411/","https://oknesset.org/committee/meeting/14086/")</f>
        <v>https://oknesset.org/committee/meeting/14086/</v>
      </c>
    </row>
    <row r="33" ht="15.75" customHeight="1">
      <c r="A33" s="29"/>
      <c r="B33" s="30" t="str">
        <f>HYPERLINK("https://oknesset.org/committee/meeting/14412/","https://oknesset.org/committee/meeting/14087/")</f>
        <v>https://oknesset.org/committee/meeting/14087/</v>
      </c>
    </row>
    <row r="34" ht="15.75" customHeight="1">
      <c r="A34" s="29"/>
      <c r="B34" s="30" t="str">
        <f>HYPERLINK("https://oknesset.org/committee/meeting/14413/","https://oknesset.org/committee/meeting/14085/")</f>
        <v>https://oknesset.org/committee/meeting/14085/</v>
      </c>
    </row>
    <row r="35" ht="15.75" customHeight="1">
      <c r="A35" s="29"/>
      <c r="B35" s="30" t="str">
        <f>HYPERLINK("https://oknesset.org/committee/meeting/14414/","https://oknesset.org/committee/meeting/14084/")</f>
        <v>https://oknesset.org/committee/meeting/14084/</v>
      </c>
    </row>
    <row r="36" ht="15.75" customHeight="1">
      <c r="A36" s="29"/>
      <c r="B36" s="30" t="str">
        <f>HYPERLINK("https://oknesset.org/committee/meeting/14415/","https://oknesset.org/committee/meeting/14475/")</f>
        <v>https://oknesset.org/committee/meeting/14475/</v>
      </c>
    </row>
    <row r="37" ht="15.75" customHeight="1">
      <c r="A37" s="29"/>
      <c r="B37" s="30" t="str">
        <f>HYPERLINK("https://oknesset.org/committee/meeting/14416/","https://oknesset.org/committee/meeting/14082/")</f>
        <v>https://oknesset.org/committee/meeting/14082/</v>
      </c>
    </row>
    <row r="38" ht="15.75" customHeight="1">
      <c r="A38" s="29"/>
      <c r="B38" s="30" t="str">
        <f>HYPERLINK("https://oknesset.org/committee/meeting/14417/","https://oknesset.org/committee/meeting/14083/")</f>
        <v>https://oknesset.org/committee/meeting/14083/</v>
      </c>
    </row>
    <row r="39" ht="15.75" customHeight="1">
      <c r="A39" s="29"/>
      <c r="B39" s="30" t="str">
        <f>HYPERLINK("https://oknesset.org/committee/meeting/14418/","https://oknesset.org/committee/meeting/14081/")</f>
        <v>https://oknesset.org/committee/meeting/14081/</v>
      </c>
    </row>
    <row r="40" ht="15.75" customHeight="1">
      <c r="A40" s="29"/>
      <c r="B40" s="30" t="str">
        <f>HYPERLINK("https://oknesset.org/committee/meeting/14419/","https://oknesset.org/committee/meeting/14077/")</f>
        <v>https://oknesset.org/committee/meeting/14077/</v>
      </c>
    </row>
    <row r="41" ht="15.75" customHeight="1">
      <c r="A41" s="29"/>
      <c r="B41" s="30" t="str">
        <f>HYPERLINK("https://oknesset.org/committee/meeting/14420/","https://oknesset.org/committee/meeting/14079/")</f>
        <v>https://oknesset.org/committee/meeting/14079/</v>
      </c>
    </row>
    <row r="42" ht="15.75" customHeight="1">
      <c r="A42" s="29"/>
      <c r="B42" s="30" t="str">
        <f>HYPERLINK("https://oknesset.org/committee/meeting/14520/","https://oknesset.org/committee/meeting/14076/")</f>
        <v>https://oknesset.org/committee/meeting/14076/</v>
      </c>
    </row>
    <row r="43" ht="15.75" customHeight="1">
      <c r="A43" s="29"/>
      <c r="B43" s="31" t="s">
        <v>155</v>
      </c>
    </row>
    <row r="44" ht="15.75" customHeight="1">
      <c r="A44" s="29"/>
      <c r="B44" s="30" t="str">
        <f>HYPERLINK("https://oknesset.org/committee/meeting/14429/","https://oknesset.org/committee/meeting/14080/")</f>
        <v>https://oknesset.org/committee/meeting/14080/</v>
      </c>
    </row>
    <row r="45" ht="15.75" customHeight="1">
      <c r="A45" s="29"/>
      <c r="B45" s="31" t="s">
        <v>156</v>
      </c>
    </row>
    <row r="46" ht="15.75" customHeight="1">
      <c r="A46" s="29"/>
      <c r="B46" s="30" t="str">
        <f>HYPERLINK("https://oknesset.org/committee/meeting/14406/","https://oknesset.org/committee/meeting/14075/")</f>
        <v>https://oknesset.org/committee/meeting/14075/</v>
      </c>
    </row>
    <row r="47" ht="15.75" customHeight="1">
      <c r="A47" s="29"/>
      <c r="B47" s="31" t="s">
        <v>157</v>
      </c>
    </row>
    <row r="48" ht="15.75" customHeight="1">
      <c r="A48" s="29"/>
      <c r="B48" s="30" t="str">
        <f>HYPERLINK("https://oknesset.org/committee/meeting/14407/","https://oknesset.org/committee/meeting/14072/")</f>
        <v>https://oknesset.org/committee/meeting/14072/</v>
      </c>
    </row>
    <row r="49" ht="15.75" customHeight="1">
      <c r="A49" s="29"/>
      <c r="B49" s="31" t="s">
        <v>158</v>
      </c>
    </row>
    <row r="50" ht="15.75" customHeight="1">
      <c r="A50" s="29"/>
      <c r="B50" s="30" t="str">
        <f>HYPERLINK("https://oknesset.org/committee/meeting/14421/","https://oknesset.org/committee/meeting/14070/")</f>
        <v>https://oknesset.org/committee/meeting/14070/</v>
      </c>
    </row>
    <row r="51" ht="15.75" customHeight="1">
      <c r="A51" s="29"/>
      <c r="B51" s="30" t="str">
        <f>HYPERLINK("https://oknesset.org/committee/meeting/14422/","https://oknesset.org/committee/meeting/14473/")</f>
        <v>https://oknesset.org/committee/meeting/14473/</v>
      </c>
    </row>
    <row r="52" ht="15.75" customHeight="1">
      <c r="A52" s="29"/>
      <c r="B52" s="30" t="str">
        <f>HYPERLINK("https://oknesset.org/committee/meeting/14423/","https://oknesset.org/committee/meeting/14474/")</f>
        <v>https://oknesset.org/committee/meeting/14474/</v>
      </c>
    </row>
    <row r="53" ht="15.75" customHeight="1">
      <c r="A53" s="29"/>
      <c r="B53" s="31" t="s">
        <v>159</v>
      </c>
    </row>
    <row r="54" ht="15.75" customHeight="1">
      <c r="A54" s="29"/>
      <c r="B54" s="30" t="str">
        <f>HYPERLINK("https://oknesset.org/committee/meeting/14437/","https://oknesset.org/committee/meeting/14068/")</f>
        <v>https://oknesset.org/committee/meeting/14068/</v>
      </c>
    </row>
    <row r="55" ht="15.75" customHeight="1">
      <c r="A55" s="29"/>
      <c r="B55" s="31" t="s">
        <v>160</v>
      </c>
    </row>
    <row r="56" ht="15.75" customHeight="1">
      <c r="A56" s="29"/>
      <c r="B56" s="30" t="str">
        <f>HYPERLINK("https://oknesset.org/committee/meeting/14430/","https://oknesset.org/committee/meeting/14066/")</f>
        <v>https://oknesset.org/committee/meeting/14066/</v>
      </c>
    </row>
    <row r="57" ht="15.75" customHeight="1">
      <c r="A57" s="29"/>
      <c r="B57" s="30" t="str">
        <f>HYPERLINK("https://oknesset.org/committee/meeting/14431/","https://oknesset.org/committee/meeting/14064/")</f>
        <v>https://oknesset.org/committee/meeting/14064/</v>
      </c>
    </row>
    <row r="58" ht="15.75" customHeight="1">
      <c r="A58" s="29"/>
      <c r="B58" s="30" t="str">
        <f>HYPERLINK("https://oknesset.org/committee/meeting/14432/","https://oknesset.org/committee/meeting/14063/")</f>
        <v>https://oknesset.org/committee/meeting/14063/</v>
      </c>
    </row>
    <row r="59" ht="15.75" customHeight="1">
      <c r="A59" s="29"/>
      <c r="B59" s="30" t="str">
        <f>HYPERLINK("https://oknesset.org/committee/meeting/14433/","https://oknesset.org/committee/meeting/14065/")</f>
        <v>https://oknesset.org/committee/meeting/14065/</v>
      </c>
    </row>
    <row r="60" ht="15.75" customHeight="1">
      <c r="A60" s="29"/>
      <c r="B60" s="30" t="str">
        <f>HYPERLINK("https://oknesset.org/committee/meeting/14434/","https://oknesset.org/committee/meeting/14061/")</f>
        <v>https://oknesset.org/committee/meeting/14061/</v>
      </c>
    </row>
    <row r="61" ht="15.75" customHeight="1">
      <c r="A61" s="29"/>
      <c r="B61" s="30" t="str">
        <f>HYPERLINK("https://oknesset.org/committee/meeting/14435/","https://oknesset.org/committee/meeting/14062/")</f>
        <v>https://oknesset.org/committee/meeting/14062/</v>
      </c>
    </row>
    <row r="62" ht="15.75" customHeight="1">
      <c r="A62" s="29"/>
      <c r="B62" s="30" t="str">
        <f>HYPERLINK("https://oknesset.org/committee/meeting/14436/","https://oknesset.org/committee/meeting/14060/")</f>
        <v>https://oknesset.org/committee/meeting/14060/</v>
      </c>
    </row>
    <row r="63" ht="15.75" customHeight="1">
      <c r="A63" s="29"/>
      <c r="B63" s="31" t="s">
        <v>161</v>
      </c>
    </row>
    <row r="64" ht="15.75" customHeight="1">
      <c r="A64" s="29"/>
      <c r="B64" s="30" t="str">
        <f>HYPERLINK("https://oknesset.org/committee/meeting/14396/","https://oknesset.org/committee/meeting/14471/")</f>
        <v>https://oknesset.org/committee/meeting/14471/</v>
      </c>
    </row>
    <row r="65" ht="15.75" customHeight="1">
      <c r="A65" s="3" t="s">
        <v>162</v>
      </c>
      <c r="B65" s="32"/>
    </row>
    <row r="66" ht="15.75" customHeight="1">
      <c r="A66" s="3" t="s">
        <v>109</v>
      </c>
      <c r="B66" s="28" t="str">
        <f>HYPERLINK("https://oknesset.org/committee/meeting/14320/","https://oknesset.org/committee/meeting/14025/")</f>
        <v>https://oknesset.org/committee/meeting/14025/</v>
      </c>
    </row>
    <row r="67" ht="15.75" customHeight="1">
      <c r="A67" s="29"/>
      <c r="B67" s="30" t="str">
        <f>HYPERLINK("https://oknesset.org/committee/meeting/14321/","https://oknesset.org/committee/meeting/14420/")</f>
        <v>https://oknesset.org/committee/meeting/14420/</v>
      </c>
    </row>
    <row r="68" ht="15.75" customHeight="1">
      <c r="A68" s="29"/>
      <c r="B68" s="30" t="str">
        <f>HYPERLINK("https://oknesset.org/committee/meeting/14322/","https://oknesset.org/committee/meeting/14419/")</f>
        <v>https://oknesset.org/committee/meeting/14419/</v>
      </c>
    </row>
    <row r="69" ht="15.75" customHeight="1">
      <c r="A69" s="29"/>
      <c r="B69" s="30" t="str">
        <f>HYPERLINK("https://oknesset.org/committee/meeting/14323/","https://oknesset.org/committee/meeting/14418/")</f>
        <v>https://oknesset.org/committee/meeting/14418/</v>
      </c>
    </row>
    <row r="70" ht="15.75" customHeight="1">
      <c r="A70" s="29"/>
      <c r="B70" s="30" t="str">
        <f>HYPERLINK("https://oknesset.org/committee/meeting/14324/","https://oknesset.org/committee/meeting/14417/")</f>
        <v>https://oknesset.org/committee/meeting/14417/</v>
      </c>
    </row>
    <row r="71" ht="15.75" customHeight="1">
      <c r="A71" s="29"/>
      <c r="B71" s="30" t="str">
        <f>HYPERLINK("https://oknesset.org/committee/meeting/14508/","https://oknesset.org/committee/meeting/14416/")</f>
        <v>https://oknesset.org/committee/meeting/14416/</v>
      </c>
    </row>
    <row r="72" ht="15.75" customHeight="1">
      <c r="A72" s="29"/>
      <c r="B72" s="31" t="s">
        <v>163</v>
      </c>
    </row>
    <row r="73" ht="15.75" customHeight="1">
      <c r="A73" s="29"/>
      <c r="B73" s="30" t="str">
        <f>HYPERLINK("https://oknesset.org/committee/meeting/14168/","https://oknesset.org/committee/meeting/14414/")</f>
        <v>https://oknesset.org/committee/meeting/14414/</v>
      </c>
    </row>
    <row r="74" ht="15.75" customHeight="1">
      <c r="A74" s="29"/>
      <c r="B74" s="30" t="str">
        <f>HYPERLINK("https://oknesset.org/committee/meeting/14169/","https://oknesset.org/committee/meeting/14413/")</f>
        <v>https://oknesset.org/committee/meeting/14413/</v>
      </c>
    </row>
    <row r="75" ht="15.75" customHeight="1">
      <c r="A75" s="29"/>
      <c r="B75" s="30" t="str">
        <f>HYPERLINK("https://oknesset.org/committee/meeting/14170/","https://oknesset.org/committee/meeting/14412/")</f>
        <v>https://oknesset.org/committee/meeting/14412/</v>
      </c>
    </row>
    <row r="76" ht="15.75" customHeight="1">
      <c r="A76" s="29"/>
      <c r="B76" s="30" t="str">
        <f>HYPERLINK("https://oknesset.org/committee/meeting/14171/","https://oknesset.org/committee/meeting/14411/")</f>
        <v>https://oknesset.org/committee/meeting/14411/</v>
      </c>
    </row>
    <row r="77" ht="15.75" customHeight="1">
      <c r="A77" s="29"/>
      <c r="B77" s="30" t="str">
        <f>HYPERLINK("https://oknesset.org/committee/meeting/14172/","https://oknesset.org/committee/meeting/14520/")</f>
        <v>https://oknesset.org/committee/meeting/14520/</v>
      </c>
    </row>
    <row r="78" ht="15.75" customHeight="1">
      <c r="A78" s="3" t="s">
        <v>164</v>
      </c>
      <c r="B78" s="33" t="str">
        <f>HYPERLINK("https://oknesset.org/committee/meeting/14173/","https://oknesset.org/committee/meeting/14173/")</f>
        <v>https://oknesset.org/committee/meeting/14173/</v>
      </c>
    </row>
    <row r="79" ht="15.75" customHeight="1">
      <c r="A79" s="3" t="s">
        <v>110</v>
      </c>
      <c r="B79" s="28" t="str">
        <f>HYPERLINK("https://oknesset.org/committee/meeting/14174/","https://oknesset.org/committee/meeting/14204/")</f>
        <v>https://oknesset.org/committee/meeting/14204/</v>
      </c>
    </row>
    <row r="80" ht="15.75" customHeight="1">
      <c r="A80" s="29"/>
      <c r="B80" s="30" t="str">
        <f>HYPERLINK("https://oknesset.org/committee/meeting/14175/","https://oknesset.org/committee/meeting/14203/")</f>
        <v>https://oknesset.org/committee/meeting/14203/</v>
      </c>
    </row>
    <row r="81" ht="15.75" customHeight="1">
      <c r="A81" s="29"/>
      <c r="B81" s="30" t="str">
        <f>HYPERLINK("https://oknesset.org/committee/meeting/14495/","https://oknesset.org/committee/meeting/14201/")</f>
        <v>https://oknesset.org/committee/meeting/14201/</v>
      </c>
    </row>
    <row r="82" ht="15.75" customHeight="1">
      <c r="A82" s="29"/>
      <c r="B82" s="30" t="str">
        <f>HYPERLINK("https://oknesset.org/committee/meeting/14496/","https://oknesset.org/committee/meeting/14202/")</f>
        <v>https://oknesset.org/committee/meeting/14202/</v>
      </c>
    </row>
    <row r="83" ht="15.75" customHeight="1">
      <c r="A83" s="29"/>
      <c r="B83" s="30" t="str">
        <f>HYPERLINK("https://oknesset.org/committee/meeting/14497/","https://oknesset.org/committee/meeting/14200/")</f>
        <v>https://oknesset.org/committee/meeting/14200/</v>
      </c>
    </row>
    <row r="84" ht="15.75" customHeight="1">
      <c r="A84" s="29"/>
      <c r="B84" s="31" t="s">
        <v>165</v>
      </c>
    </row>
    <row r="85" ht="15.75" customHeight="1">
      <c r="A85" s="29"/>
      <c r="B85" s="30" t="str">
        <f>HYPERLINK("https://oknesset.org/committee/meeting/14222/","https://oknesset.org/committee/meeting/14199/")</f>
        <v>https://oknesset.org/committee/meeting/14199/</v>
      </c>
    </row>
    <row r="86" ht="15.75" customHeight="1">
      <c r="A86" s="29"/>
      <c r="B86" s="30" t="str">
        <f>HYPERLINK("https://oknesset.org/committee/meeting/14223/","https://oknesset.org/committee/meeting/14197/")</f>
        <v>https://oknesset.org/committee/meeting/14197/</v>
      </c>
    </row>
    <row r="87" ht="15.75" customHeight="1">
      <c r="A87" s="29"/>
      <c r="B87" s="30" t="str">
        <f>HYPERLINK("https://oknesset.org/committee/meeting/14224/","https://oknesset.org/committee/meeting/14195/")</f>
        <v>https://oknesset.org/committee/meeting/14195/</v>
      </c>
    </row>
    <row r="88" ht="15.75" customHeight="1">
      <c r="A88" s="29"/>
      <c r="B88" s="30" t="str">
        <f>HYPERLINK("https://oknesset.org/committee/meeting/14225/","https://oknesset.org/committee/meeting/14196/")</f>
        <v>https://oknesset.org/committee/meeting/14196/</v>
      </c>
    </row>
    <row r="89" ht="15.75" customHeight="1">
      <c r="A89" s="29"/>
      <c r="B89" s="30" t="str">
        <f>HYPERLINK("https://oknesset.org/committee/meeting/14226/","https://oknesset.org/committee/meeting/14194/")</f>
        <v>https://oknesset.org/committee/meeting/14194/</v>
      </c>
    </row>
    <row r="90" ht="15.75" customHeight="1">
      <c r="A90" s="29"/>
      <c r="B90" s="30" t="str">
        <f>HYPERLINK("https://oknesset.org/committee/meeting/14227/","https://oknesset.org/committee/meeting/14193/")</f>
        <v>https://oknesset.org/committee/meeting/14193/</v>
      </c>
    </row>
    <row r="91" ht="15.75" customHeight="1">
      <c r="A91" s="29"/>
      <c r="B91" s="30" t="str">
        <f>HYPERLINK("https://oknesset.org/committee/meeting/14228/","https://oknesset.org/committee/meeting/14192/")</f>
        <v>https://oknesset.org/committee/meeting/14192/</v>
      </c>
    </row>
    <row r="92" ht="15.75" customHeight="1">
      <c r="A92" s="29"/>
      <c r="B92" s="30" t="str">
        <f>HYPERLINK("https://oknesset.org/committee/meeting/14229/","https://oknesset.org/committee/meeting/14191/")</f>
        <v>https://oknesset.org/committee/meeting/14191/</v>
      </c>
    </row>
    <row r="93" ht="15.75" customHeight="1">
      <c r="A93" s="29"/>
      <c r="B93" s="30" t="str">
        <f>HYPERLINK("https://oknesset.org/committee/meeting/14230/","https://oknesset.org/committee/meeting/14187/")</f>
        <v>https://oknesset.org/committee/meeting/14187/</v>
      </c>
    </row>
    <row r="94" ht="15.75" customHeight="1">
      <c r="A94" s="29"/>
      <c r="B94" s="30" t="str">
        <f>HYPERLINK("https://oknesset.org/committee/meeting/14231/","https://oknesset.org/committee/meeting/14189/")</f>
        <v>https://oknesset.org/committee/meeting/14189/</v>
      </c>
    </row>
    <row r="95" ht="15.75" customHeight="1">
      <c r="A95" s="29"/>
      <c r="B95" s="30" t="str">
        <f>HYPERLINK("https://oknesset.org/committee/meeting/14232/","https://oknesset.org/committee/meeting/14190/")</f>
        <v>https://oknesset.org/committee/meeting/14190/</v>
      </c>
    </row>
    <row r="96" ht="15.75" customHeight="1">
      <c r="A96" s="29"/>
      <c r="B96" s="30" t="str">
        <f>HYPERLINK("https://oknesset.org/committee/meeting/14233/","https://oknesset.org/committee/meeting/14188/")</f>
        <v>https://oknesset.org/committee/meeting/14188/</v>
      </c>
    </row>
    <row r="97" ht="15.75" customHeight="1">
      <c r="A97" s="29"/>
      <c r="B97" s="30" t="str">
        <f>HYPERLINK("https://oknesset.org/committee/meeting/14234/","https://oknesset.org/committee/meeting/14186/")</f>
        <v>https://oknesset.org/committee/meeting/14186/</v>
      </c>
    </row>
    <row r="98" ht="15.75" customHeight="1">
      <c r="A98" s="29"/>
      <c r="B98" s="30" t="str">
        <f>HYPERLINK("https://oknesset.org/committee/meeting/14235/","https://oknesset.org/committee/meeting/14185/")</f>
        <v>https://oknesset.org/committee/meeting/14185/</v>
      </c>
    </row>
    <row r="99" ht="15.75" customHeight="1">
      <c r="A99" s="29"/>
      <c r="B99" s="30" t="str">
        <f>HYPERLINK("https://oknesset.org/committee/meeting/14236/","https://oknesset.org/committee/meeting/14184/")</f>
        <v>https://oknesset.org/committee/meeting/14184/</v>
      </c>
    </row>
    <row r="100" ht="15.75" customHeight="1">
      <c r="A100" s="29"/>
      <c r="B100" s="30" t="str">
        <f>HYPERLINK("https://oknesset.org/committee/meeting/14237/","https://oknesset.org/committee/meeting/14183/")</f>
        <v>https://oknesset.org/committee/meeting/14183/</v>
      </c>
    </row>
    <row r="101" ht="15.75" customHeight="1">
      <c r="A101" s="29"/>
      <c r="B101" s="30" t="str">
        <f>HYPERLINK("https://oknesset.org/committee/meeting/14238/","https://oknesset.org/committee/meeting/14182/")</f>
        <v>https://oknesset.org/committee/meeting/14182/</v>
      </c>
    </row>
    <row r="102" ht="15.75" customHeight="1">
      <c r="A102" s="29"/>
      <c r="B102" s="30" t="str">
        <f>HYPERLINK("https://oknesset.org/committee/meeting/14239/","https://oknesset.org/committee/meeting/14500/")</f>
        <v>https://oknesset.org/committee/meeting/14500/</v>
      </c>
    </row>
    <row r="103" ht="15.75" customHeight="1">
      <c r="A103" s="29"/>
      <c r="B103" s="30" t="str">
        <f>HYPERLINK("https://oknesset.org/committee/meeting/14240/","https://oknesset.org/committee/meeting/14180/")</f>
        <v>https://oknesset.org/committee/meeting/14180/</v>
      </c>
    </row>
    <row r="104" ht="15.75" customHeight="1">
      <c r="A104" s="29"/>
      <c r="B104" s="30" t="str">
        <f>HYPERLINK("https://oknesset.org/committee/meeting/14241/","https://oknesset.org/committee/meeting/14181/")</f>
        <v>https://oknesset.org/committee/meeting/14181/</v>
      </c>
    </row>
    <row r="105" ht="15.75" customHeight="1">
      <c r="A105" s="29"/>
      <c r="B105" s="30" t="str">
        <f>HYPERLINK("https://oknesset.org/committee/meeting/14242/","https://oknesset.org/committee/meeting/14179/")</f>
        <v>https://oknesset.org/committee/meeting/14179/</v>
      </c>
    </row>
    <row r="106" ht="15.75" customHeight="1">
      <c r="A106" s="29"/>
      <c r="B106" s="30" t="str">
        <f>HYPERLINK("https://oknesset.org/committee/meeting/14243/","https://oknesset.org/committee/meeting/14178/")</f>
        <v>https://oknesset.org/committee/meeting/14178/</v>
      </c>
    </row>
    <row r="107" ht="15.75" customHeight="1">
      <c r="A107" s="29"/>
      <c r="B107" s="30" t="str">
        <f>HYPERLINK("https://oknesset.org/committee/meeting/14244/","https://oknesset.org/committee/meeting/14176/")</f>
        <v>https://oknesset.org/committee/meeting/14176/</v>
      </c>
    </row>
    <row r="108" ht="15.75" customHeight="1">
      <c r="A108" s="29"/>
      <c r="B108" s="30" t="str">
        <f>HYPERLINK("https://oknesset.org/committee/meeting/14245/","https://oknesset.org/committee/meeting/14177/")</f>
        <v>https://oknesset.org/committee/meeting/14177/</v>
      </c>
    </row>
    <row r="109" ht="15.75" customHeight="1">
      <c r="A109" s="29"/>
      <c r="B109" s="30" t="str">
        <f>HYPERLINK("https://oknesset.org/committee/meeting/14246/","https://oknesset.org/committee/meeting/14498/")</f>
        <v>https://oknesset.org/committee/meeting/14498/</v>
      </c>
    </row>
    <row r="110" ht="15.75" customHeight="1">
      <c r="A110" s="29"/>
      <c r="B110" s="30" t="str">
        <f>HYPERLINK("https://oknesset.org/committee/meeting/14247/","https://oknesset.org/committee/meeting/14499/")</f>
        <v>https://oknesset.org/committee/meeting/14499/</v>
      </c>
    </row>
    <row r="111" ht="15.75" customHeight="1">
      <c r="A111" s="3" t="s">
        <v>166</v>
      </c>
      <c r="B111" s="33" t="str">
        <f>HYPERLINK("https://oknesset.org/committee/meeting/14248/","https://oknesset.org/committee/meeting/14248/")</f>
        <v>https://oknesset.org/committee/meeting/14248/</v>
      </c>
    </row>
    <row r="112" ht="15.75" customHeight="1">
      <c r="A112" s="3" t="s">
        <v>111</v>
      </c>
      <c r="B112" s="28" t="str">
        <f>HYPERLINK("https://oknesset.org/committee/meeting/14249/","https://oknesset.org/committee/meeting/14163/")</f>
        <v>https://oknesset.org/committee/meeting/14163/</v>
      </c>
    </row>
    <row r="113" ht="15.75" customHeight="1">
      <c r="A113" s="29"/>
      <c r="B113" s="30" t="str">
        <f>HYPERLINK("https://oknesset.org/committee/meeting/14250/","https://oknesset.org/committee/meeting/14162/")</f>
        <v>https://oknesset.org/committee/meeting/14162/</v>
      </c>
    </row>
    <row r="114" ht="15.75" customHeight="1">
      <c r="A114" s="29"/>
      <c r="B114" s="30" t="str">
        <f>HYPERLINK("https://oknesset.org/committee/meeting/14251/","https://oknesset.org/committee/meeting/14161/")</f>
        <v>https://oknesset.org/committee/meeting/14161/</v>
      </c>
    </row>
    <row r="115" ht="15.75" customHeight="1">
      <c r="A115" s="29"/>
      <c r="B115" s="30" t="str">
        <f>HYPERLINK("https://oknesset.org/committee/meeting/14252/","https://oknesset.org/committee/meeting/14160/")</f>
        <v>https://oknesset.org/committee/meeting/14160/</v>
      </c>
    </row>
    <row r="116" ht="15.75" customHeight="1">
      <c r="A116" s="29"/>
      <c r="B116" s="30" t="str">
        <f>HYPERLINK("https://oknesset.org/committee/meeting/14253/","https://oknesset.org/committee/meeting/14159/")</f>
        <v>https://oknesset.org/committee/meeting/14159/</v>
      </c>
    </row>
    <row r="117" ht="15.75" customHeight="1">
      <c r="A117" s="29"/>
      <c r="B117" s="30" t="str">
        <f>HYPERLINK("https://oknesset.org/committee/meeting/14254/","https://oknesset.org/committee/meeting/14158/")</f>
        <v>https://oknesset.org/committee/meeting/14158/</v>
      </c>
    </row>
    <row r="118" ht="15.75" customHeight="1">
      <c r="A118" s="29"/>
      <c r="B118" s="30" t="str">
        <f>HYPERLINK("https://oknesset.org/committee/meeting/14255/","https://oknesset.org/committee/meeting/14157/")</f>
        <v>https://oknesset.org/committee/meeting/14157/</v>
      </c>
    </row>
    <row r="119" ht="15.75" customHeight="1">
      <c r="A119" s="29"/>
      <c r="B119" s="30" t="str">
        <f>HYPERLINK("https://oknesset.org/committee/meeting/14256/","https://oknesset.org/committee/meeting/14156/")</f>
        <v>https://oknesset.org/committee/meeting/14156/</v>
      </c>
    </row>
    <row r="120" ht="15.75" customHeight="1">
      <c r="A120" s="29"/>
      <c r="B120" s="30" t="str">
        <f>HYPERLINK("https://oknesset.org/committee/meeting/14257/","https://oknesset.org/committee/meeting/14153/")</f>
        <v>https://oknesset.org/committee/meeting/14153/</v>
      </c>
    </row>
    <row r="121" ht="15.75" customHeight="1">
      <c r="A121" s="29"/>
      <c r="B121" s="30" t="str">
        <f>HYPERLINK("https://oknesset.org/committee/meeting/14258/","https://oknesset.org/committee/meeting/14154/")</f>
        <v>https://oknesset.org/committee/meeting/14154/</v>
      </c>
    </row>
    <row r="122" ht="15.75" customHeight="1">
      <c r="A122" s="29"/>
      <c r="B122" s="30" t="str">
        <f>HYPERLINK("https://oknesset.org/committee/meeting/14259/","https://oknesset.org/committee/meeting/14155/")</f>
        <v>https://oknesset.org/committee/meeting/14155/</v>
      </c>
    </row>
    <row r="123" ht="15.75" customHeight="1">
      <c r="A123" s="29"/>
      <c r="B123" s="30" t="str">
        <f>HYPERLINK("https://oknesset.org/committee/meeting/14260/","https://oknesset.org/committee/meeting/14152/")</f>
        <v>https://oknesset.org/committee/meeting/14152/</v>
      </c>
    </row>
    <row r="124" ht="15.75" customHeight="1">
      <c r="A124" s="29"/>
      <c r="B124" s="30" t="str">
        <f>HYPERLINK("https://oknesset.org/committee/meeting/14261/","https://oknesset.org/committee/meeting/14151/")</f>
        <v>https://oknesset.org/committee/meeting/14151/</v>
      </c>
    </row>
    <row r="125" ht="15.75" customHeight="1">
      <c r="A125" s="29"/>
      <c r="B125" s="30" t="str">
        <f>HYPERLINK("https://oknesset.org/committee/meeting/14262/","https://oknesset.org/committee/meeting/14150/")</f>
        <v>https://oknesset.org/committee/meeting/14150/</v>
      </c>
    </row>
    <row r="126" ht="15.75" customHeight="1">
      <c r="A126" s="29"/>
      <c r="B126" s="30" t="str">
        <f>HYPERLINK("https://oknesset.org/committee/meeting/14263/","https://oknesset.org/committee/meeting/14149/")</f>
        <v>https://oknesset.org/committee/meeting/14149/</v>
      </c>
    </row>
    <row r="127" ht="15.75" customHeight="1">
      <c r="A127" s="29"/>
      <c r="B127" s="30" t="str">
        <f>HYPERLINK("https://oknesset.org/committee/meeting/14264/","https://oknesset.org/committee/meeting/14147/")</f>
        <v>https://oknesset.org/committee/meeting/14147/</v>
      </c>
    </row>
    <row r="128" ht="15.75" customHeight="1">
      <c r="A128" s="29"/>
      <c r="B128" s="30" t="str">
        <f>HYPERLINK("https://oknesset.org/committee/meeting/14265/","https://oknesset.org/committee/meeting/14146/")</f>
        <v>https://oknesset.org/committee/meeting/14146/</v>
      </c>
    </row>
    <row r="129" ht="15.75" customHeight="1">
      <c r="A129" s="29"/>
      <c r="B129" s="30" t="str">
        <f>HYPERLINK("https://oknesset.org/committee/meeting/14266/","https://oknesset.org/committee/meeting/14148/")</f>
        <v>https://oknesset.org/committee/meeting/14148/</v>
      </c>
    </row>
    <row r="130" ht="15.75" customHeight="1">
      <c r="A130" s="29"/>
      <c r="B130" s="30" t="str">
        <f>HYPERLINK("https://oknesset.org/committee/meeting/14267/","https://oknesset.org/committee/meeting/14145/")</f>
        <v>https://oknesset.org/committee/meeting/14145/</v>
      </c>
    </row>
    <row r="131" ht="15.75" customHeight="1">
      <c r="A131" s="29"/>
      <c r="B131" s="30" t="str">
        <f>HYPERLINK("https://oknesset.org/committee/meeting/14268/","https://oknesset.org/committee/meeting/14143/")</f>
        <v>https://oknesset.org/committee/meeting/14143/</v>
      </c>
    </row>
    <row r="132" ht="15.75" customHeight="1">
      <c r="A132" s="29"/>
      <c r="B132" s="30" t="str">
        <f>HYPERLINK("https://oknesset.org/committee/meeting/14468/","https://oknesset.org/committee/meeting/14144/")</f>
        <v>https://oknesset.org/committee/meeting/14144/</v>
      </c>
    </row>
    <row r="133" ht="15.75" customHeight="1">
      <c r="A133" s="29"/>
      <c r="B133" s="30" t="str">
        <f>HYPERLINK("https://oknesset.org/committee/meeting/14501/","https://oknesset.org/committee/meeting/14142/")</f>
        <v>https://oknesset.org/committee/meeting/14142/</v>
      </c>
    </row>
    <row r="134" ht="15.75" customHeight="1">
      <c r="A134" s="29"/>
      <c r="B134" s="30" t="str">
        <f>HYPERLINK("https://oknesset.org/committee/meeting/14502/","https://oknesset.org/committee/meeting/14141/")</f>
        <v>https://oknesset.org/committee/meeting/14141/</v>
      </c>
    </row>
    <row r="135" ht="15.75" customHeight="1">
      <c r="A135" s="29"/>
      <c r="B135" s="30" t="str">
        <f>HYPERLINK("https://oknesset.org/committee/meeting/14503/","https://oknesset.org/committee/meeting/14140/")</f>
        <v>https://oknesset.org/committee/meeting/14140/</v>
      </c>
    </row>
    <row r="136" ht="15.75" customHeight="1">
      <c r="A136" s="29"/>
      <c r="B136" s="31" t="s">
        <v>167</v>
      </c>
    </row>
    <row r="137" ht="15.75" customHeight="1">
      <c r="A137" s="29"/>
      <c r="B137" s="30" t="str">
        <f>HYPERLINK("https://oknesset.org/committee/meeting/14279/","https://oknesset.org/committee/meeting/14137/")</f>
        <v>https://oknesset.org/committee/meeting/14137/</v>
      </c>
    </row>
    <row r="138" ht="15.75" customHeight="1">
      <c r="A138" s="29"/>
      <c r="B138" s="30" t="str">
        <f>HYPERLINK("https://oknesset.org/committee/meeting/14280/","https://oknesset.org/committee/meeting/14139/")</f>
        <v>https://oknesset.org/committee/meeting/14139/</v>
      </c>
    </row>
    <row r="139" ht="15.75" customHeight="1">
      <c r="A139" s="29"/>
      <c r="B139" s="30" t="str">
        <f>HYPERLINK("https://oknesset.org/committee/meeting/14281/","https://oknesset.org/committee/meeting/14134/")</f>
        <v>https://oknesset.org/committee/meeting/14134/</v>
      </c>
    </row>
    <row r="140" ht="15.75" customHeight="1">
      <c r="A140" s="29"/>
      <c r="B140" s="30" t="str">
        <f>HYPERLINK("https://oknesset.org/committee/meeting/14282/","https://oknesset.org/committee/meeting/14133/")</f>
        <v>https://oknesset.org/committee/meeting/14133/</v>
      </c>
    </row>
    <row r="141" ht="15.75" customHeight="1">
      <c r="A141" s="29"/>
      <c r="B141" s="30" t="str">
        <f>HYPERLINK("https://oknesset.org/committee/meeting/14283/","https://oknesset.org/committee/meeting/14132/")</f>
        <v>https://oknesset.org/committee/meeting/14132/</v>
      </c>
    </row>
    <row r="142" ht="15.75" customHeight="1">
      <c r="A142" s="29"/>
      <c r="B142" s="30" t="str">
        <f>HYPERLINK("https://oknesset.org/committee/meeting/14284/","https://oknesset.org/committee/meeting/14136/")</f>
        <v>https://oknesset.org/committee/meeting/14136/</v>
      </c>
    </row>
    <row r="143" ht="15.75" customHeight="1">
      <c r="A143" s="29"/>
      <c r="B143" s="30" t="str">
        <f>HYPERLINK("https://oknesset.org/committee/meeting/14285/","https://oknesset.org/committee/meeting/14135/")</f>
        <v>https://oknesset.org/committee/meeting/14135/</v>
      </c>
    </row>
    <row r="144" ht="15.75" customHeight="1">
      <c r="A144" s="29"/>
      <c r="B144" s="30" t="str">
        <f>HYPERLINK("https://oknesset.org/committee/meeting/14286/","https://oknesset.org/committee/meeting/14131/")</f>
        <v>https://oknesset.org/committee/meeting/14131/</v>
      </c>
    </row>
    <row r="145" ht="15.75" customHeight="1">
      <c r="A145" s="29"/>
      <c r="B145" s="30" t="str">
        <f>HYPERLINK("https://oknesset.org/committee/meeting/14287/","https://oknesset.org/committee/meeting/14129/")</f>
        <v>https://oknesset.org/committee/meeting/14129/</v>
      </c>
    </row>
    <row r="146" ht="15.75" customHeight="1">
      <c r="A146" s="29"/>
      <c r="B146" s="30" t="str">
        <f>HYPERLINK("https://oknesset.org/committee/meeting/14288/","https://oknesset.org/committee/meeting/14130/")</f>
        <v>https://oknesset.org/committee/meeting/14130/</v>
      </c>
    </row>
    <row r="147" ht="15.75" customHeight="1">
      <c r="A147" s="29"/>
      <c r="B147" s="30" t="str">
        <f>HYPERLINK("https://oknesset.org/committee/meeting/14504/","https://oknesset.org/committee/meeting/14128/")</f>
        <v>https://oknesset.org/committee/meeting/14128/</v>
      </c>
    </row>
    <row r="148" ht="15.75" customHeight="1">
      <c r="A148" s="29"/>
      <c r="B148" s="30" t="str">
        <f>HYPERLINK("https://oknesset.org/committee/meeting/14505/","https://oknesset.org/committee/meeting/14494/")</f>
        <v>https://oknesset.org/committee/meeting/14494/</v>
      </c>
    </row>
    <row r="149" ht="15.75" customHeight="1">
      <c r="A149" s="29"/>
      <c r="B149" s="30" t="str">
        <f>HYPERLINK("https://oknesset.org/committee/meeting/14506/","https://oknesset.org/committee/meeting/14126/")</f>
        <v>https://oknesset.org/committee/meeting/14126/</v>
      </c>
    </row>
    <row r="150" ht="15.75" customHeight="1">
      <c r="A150" s="29"/>
      <c r="B150" s="31" t="s">
        <v>168</v>
      </c>
    </row>
    <row r="151" ht="15.75" customHeight="1">
      <c r="A151" s="29"/>
      <c r="B151" s="30" t="str">
        <f>HYPERLINK("https://oknesset.org/committee/meeting/14122/","https://oknesset.org/committee/meeting/14124/")</f>
        <v>https://oknesset.org/committee/meeting/14124/</v>
      </c>
    </row>
    <row r="152" ht="15.75" customHeight="1">
      <c r="A152" s="29"/>
      <c r="B152" s="30" t="str">
        <f>HYPERLINK("https://oknesset.org/committee/meeting/14123/","https://oknesset.org/committee/meeting/14125/")</f>
        <v>https://oknesset.org/committee/meeting/14125/</v>
      </c>
    </row>
    <row r="153" ht="15.75" customHeight="1">
      <c r="A153" s="29"/>
      <c r="B153" s="30" t="str">
        <f>HYPERLINK("https://oknesset.org/committee/meeting/14124/","https://oknesset.org/committee/meeting/14123/")</f>
        <v>https://oknesset.org/committee/meeting/14123/</v>
      </c>
    </row>
    <row r="154" ht="15.75" customHeight="1">
      <c r="A154" s="29"/>
      <c r="B154" s="30" t="str">
        <f>HYPERLINK("https://oknesset.org/committee/meeting/14125/","https://oknesset.org/committee/meeting/14493/")</f>
        <v>https://oknesset.org/committee/meeting/14493/</v>
      </c>
    </row>
    <row r="155" ht="15.75" customHeight="1">
      <c r="A155" s="29"/>
      <c r="B155" s="30" t="str">
        <f>HYPERLINK("https://oknesset.org/committee/meeting/14126/","https://oknesset.org/committee/meeting/14492/")</f>
        <v>https://oknesset.org/committee/meeting/14492/</v>
      </c>
    </row>
    <row r="156" ht="15.75" customHeight="1">
      <c r="A156" s="29"/>
      <c r="B156" s="30" t="str">
        <f>HYPERLINK("https://oknesset.org/committee/meeting/14127/","https://oknesset.org/committee/meeting/14491/")</f>
        <v>https://oknesset.org/committee/meeting/14491/</v>
      </c>
    </row>
    <row r="157" ht="15.75" customHeight="1">
      <c r="A157" s="29"/>
      <c r="B157" s="30" t="str">
        <f>HYPERLINK("https://oknesset.org/committee/meeting/14128/","https://oknesset.org/committee/meeting/14490/")</f>
        <v>https://oknesset.org/committee/meeting/14490/</v>
      </c>
    </row>
    <row r="158" ht="15.75" customHeight="1">
      <c r="A158" s="29"/>
      <c r="B158" s="30" t="str">
        <f>HYPERLINK("https://oknesset.org/committee/meeting/14129/","https://oknesset.org/committee/meeting/14122/")</f>
        <v>https://oknesset.org/committee/meeting/14122/</v>
      </c>
    </row>
    <row r="159" ht="15.75" customHeight="1">
      <c r="A159" s="29"/>
      <c r="B159" s="30" t="str">
        <f>HYPERLINK("https://oknesset.org/committee/meeting/14130/","https://oknesset.org/committee/meeting/14488/")</f>
        <v>https://oknesset.org/committee/meeting/14488/</v>
      </c>
    </row>
    <row r="160" ht="15.75" customHeight="1">
      <c r="A160" s="29"/>
      <c r="B160" s="30" t="str">
        <f>HYPERLINK("https://oknesset.org/committee/meeting/14131/","https://oknesset.org/committee/meeting/14489/")</f>
        <v>https://oknesset.org/committee/meeting/14489/</v>
      </c>
    </row>
    <row r="161" ht="15.75" customHeight="1">
      <c r="A161" s="29"/>
      <c r="B161" s="30" t="str">
        <f>HYPERLINK("https://oknesset.org/committee/meeting/14132/","https://oknesset.org/committee/meeting/14487/")</f>
        <v>https://oknesset.org/committee/meeting/14487/</v>
      </c>
    </row>
    <row r="162" ht="15.75" customHeight="1">
      <c r="A162" s="29"/>
      <c r="B162" s="30" t="str">
        <f>HYPERLINK("https://oknesset.org/committee/meeting/14133/","https://oknesset.org/committee/meeting/14486/")</f>
        <v>https://oknesset.org/committee/meeting/14486/</v>
      </c>
    </row>
    <row r="163" ht="15.75" customHeight="1">
      <c r="A163" s="29"/>
      <c r="B163" s="30" t="str">
        <f>HYPERLINK("https://oknesset.org/committee/meeting/14134/","https://oknesset.org/committee/meeting/14485/")</f>
        <v>https://oknesset.org/committee/meeting/14485/</v>
      </c>
    </row>
    <row r="164" ht="15.75" customHeight="1">
      <c r="A164" s="29"/>
      <c r="B164" s="30" t="str">
        <f>HYPERLINK("https://oknesset.org/committee/meeting/14135/","https://oknesset.org/committee/meeting/14483/")</f>
        <v>https://oknesset.org/committee/meeting/14483/</v>
      </c>
    </row>
    <row r="165" ht="15.75" customHeight="1">
      <c r="A165" s="29"/>
      <c r="B165" s="30" t="str">
        <f>HYPERLINK("https://oknesset.org/committee/meeting/14136/","https://oknesset.org/committee/meeting/14484/")</f>
        <v>https://oknesset.org/committee/meeting/14484/</v>
      </c>
    </row>
    <row r="166" ht="15.75" customHeight="1">
      <c r="A166" s="29"/>
      <c r="B166" s="30" t="str">
        <f>HYPERLINK("https://oknesset.org/committee/meeting/14137/","https://oknesset.org/committee/meeting/14481/")</f>
        <v>https://oknesset.org/committee/meeting/14481/</v>
      </c>
    </row>
    <row r="167" ht="15.75" customHeight="1">
      <c r="A167" s="29"/>
      <c r="B167" s="30" t="str">
        <f>HYPERLINK("https://oknesset.org/committee/meeting/14138/","https://oknesset.org/committee/meeting/14482/")</f>
        <v>https://oknesset.org/committee/meeting/14482/</v>
      </c>
    </row>
    <row r="168" ht="15.75" customHeight="1">
      <c r="A168" s="3" t="s">
        <v>169</v>
      </c>
      <c r="B168" s="33" t="str">
        <f>HYPERLINK("https://oknesset.org/committee/meeting/14139/","https://oknesset.org/committee/meeting/14139/")</f>
        <v>https://oknesset.org/committee/meeting/14139/</v>
      </c>
    </row>
    <row r="169" ht="15.75" customHeight="1">
      <c r="A169" s="3" t="s">
        <v>112</v>
      </c>
      <c r="B169" s="28" t="str">
        <f>HYPERLINK("https://oknesset.org/committee/meeting/14140/","https://oknesset.org/committee/meeting/14268/")</f>
        <v>https://oknesset.org/committee/meeting/14268/</v>
      </c>
    </row>
    <row r="170" ht="15.75" customHeight="1">
      <c r="A170" s="29"/>
      <c r="B170" s="30" t="str">
        <f>HYPERLINK("https://oknesset.org/committee/meeting/14141/","https://oknesset.org/committee/meeting/14267/")</f>
        <v>https://oknesset.org/committee/meeting/14267/</v>
      </c>
    </row>
    <row r="171" ht="15.75" customHeight="1">
      <c r="A171" s="29"/>
      <c r="B171" s="30" t="str">
        <f>HYPERLINK("https://oknesset.org/committee/meeting/14142/","https://oknesset.org/committee/meeting/14266/")</f>
        <v>https://oknesset.org/committee/meeting/14266/</v>
      </c>
    </row>
    <row r="172" ht="15.75" customHeight="1">
      <c r="A172" s="29"/>
      <c r="B172" s="30" t="str">
        <f>HYPERLINK("https://oknesset.org/committee/meeting/14143/","https://oknesset.org/committee/meeting/14265/")</f>
        <v>https://oknesset.org/committee/meeting/14265/</v>
      </c>
    </row>
    <row r="173" ht="15.75" customHeight="1">
      <c r="A173" s="29"/>
      <c r="B173" s="30" t="str">
        <f>HYPERLINK("https://oknesset.org/committee/meeting/14144/","https://oknesset.org/committee/meeting/14264/")</f>
        <v>https://oknesset.org/committee/meeting/14264/</v>
      </c>
    </row>
    <row r="174" ht="15.75" customHeight="1">
      <c r="A174" s="29"/>
      <c r="B174" s="30" t="str">
        <f>HYPERLINK("https://oknesset.org/committee/meeting/14145/","https://oknesset.org/committee/meeting/14263/")</f>
        <v>https://oknesset.org/committee/meeting/14263/</v>
      </c>
    </row>
    <row r="175" ht="15.75" customHeight="1">
      <c r="A175" s="29"/>
      <c r="B175" s="30" t="str">
        <f>HYPERLINK("https://oknesset.org/committee/meeting/14146/","https://oknesset.org/committee/meeting/14262/")</f>
        <v>https://oknesset.org/committee/meeting/14262/</v>
      </c>
    </row>
    <row r="176" ht="15.75" customHeight="1">
      <c r="A176" s="29"/>
      <c r="B176" s="30" t="str">
        <f>HYPERLINK("https://oknesset.org/committee/meeting/14147/","https://oknesset.org/committee/meeting/14261/")</f>
        <v>https://oknesset.org/committee/meeting/14261/</v>
      </c>
    </row>
    <row r="177" ht="15.75" customHeight="1">
      <c r="A177" s="29"/>
      <c r="B177" s="30" t="str">
        <f>HYPERLINK("https://oknesset.org/committee/meeting/14148/","https://oknesset.org/committee/meeting/14260/")</f>
        <v>https://oknesset.org/committee/meeting/14260/</v>
      </c>
    </row>
    <row r="178" ht="15.75" customHeight="1">
      <c r="A178" s="29"/>
      <c r="B178" s="30" t="str">
        <f>HYPERLINK("https://oknesset.org/committee/meeting/14149/","https://oknesset.org/committee/meeting/14259/")</f>
        <v>https://oknesset.org/committee/meeting/14259/</v>
      </c>
    </row>
    <row r="179" ht="15.75" customHeight="1">
      <c r="A179" s="29"/>
      <c r="B179" s="30" t="str">
        <f>HYPERLINK("https://oknesset.org/committee/meeting/14150/","https://oknesset.org/committee/meeting/14258/")</f>
        <v>https://oknesset.org/committee/meeting/14258/</v>
      </c>
    </row>
    <row r="180" ht="15.75" customHeight="1">
      <c r="A180" s="29"/>
      <c r="B180" s="30" t="str">
        <f>HYPERLINK("https://oknesset.org/committee/meeting/14151/","https://oknesset.org/committee/meeting/14257/")</f>
        <v>https://oknesset.org/committee/meeting/14257/</v>
      </c>
    </row>
    <row r="181" ht="15.75" customHeight="1">
      <c r="A181" s="29"/>
      <c r="B181" s="30" t="str">
        <f>HYPERLINK("https://oknesset.org/committee/meeting/14152/","https://oknesset.org/committee/meeting/14256/")</f>
        <v>https://oknesset.org/committee/meeting/14256/</v>
      </c>
    </row>
    <row r="182" ht="15.75" customHeight="1">
      <c r="A182" s="29"/>
      <c r="B182" s="30" t="str">
        <f>HYPERLINK("https://oknesset.org/committee/meeting/14153/","https://oknesset.org/committee/meeting/14255/")</f>
        <v>https://oknesset.org/committee/meeting/14255/</v>
      </c>
    </row>
    <row r="183" ht="15.75" customHeight="1">
      <c r="A183" s="29"/>
      <c r="B183" s="30" t="str">
        <f>HYPERLINK("https://oknesset.org/committee/meeting/14154/","https://oknesset.org/committee/meeting/14254/")</f>
        <v>https://oknesset.org/committee/meeting/14254/</v>
      </c>
    </row>
    <row r="184" ht="15.75" customHeight="1">
      <c r="A184" s="29"/>
      <c r="B184" s="30" t="str">
        <f>HYPERLINK("https://oknesset.org/committee/meeting/14155/","https://oknesset.org/committee/meeting/14253/")</f>
        <v>https://oknesset.org/committee/meeting/14253/</v>
      </c>
    </row>
    <row r="185" ht="15.75" customHeight="1">
      <c r="A185" s="29"/>
      <c r="B185" s="30" t="str">
        <f>HYPERLINK("https://oknesset.org/committee/meeting/14156/","https://oknesset.org/committee/meeting/14252/")</f>
        <v>https://oknesset.org/committee/meeting/14252/</v>
      </c>
    </row>
    <row r="186" ht="15.75" customHeight="1">
      <c r="A186" s="29"/>
      <c r="B186" s="30" t="str">
        <f>HYPERLINK("https://oknesset.org/committee/meeting/14157/","https://oknesset.org/committee/meeting/14250/")</f>
        <v>https://oknesset.org/committee/meeting/14250/</v>
      </c>
    </row>
    <row r="187" ht="15.75" customHeight="1">
      <c r="A187" s="29"/>
      <c r="B187" s="30" t="str">
        <f>HYPERLINK("https://oknesset.org/committee/meeting/14158/","https://oknesset.org/committee/meeting/14251/")</f>
        <v>https://oknesset.org/committee/meeting/14251/</v>
      </c>
    </row>
    <row r="188" ht="15.75" customHeight="1">
      <c r="A188" s="29"/>
      <c r="B188" s="30" t="str">
        <f>HYPERLINK("https://oknesset.org/committee/meeting/14159/","https://oknesset.org/committee/meeting/14247/")</f>
        <v>https://oknesset.org/committee/meeting/14247/</v>
      </c>
    </row>
    <row r="189" ht="15.75" customHeight="1">
      <c r="A189" s="29"/>
      <c r="B189" s="30" t="str">
        <f>HYPERLINK("https://oknesset.org/committee/meeting/14160/","https://oknesset.org/committee/meeting/14249/")</f>
        <v>https://oknesset.org/committee/meeting/14249/</v>
      </c>
    </row>
    <row r="190" ht="15.75" customHeight="1">
      <c r="A190" s="29"/>
      <c r="B190" s="30" t="str">
        <f>HYPERLINK("https://oknesset.org/committee/meeting/14161/","https://oknesset.org/committee/meeting/14248/")</f>
        <v>https://oknesset.org/committee/meeting/14248/</v>
      </c>
    </row>
    <row r="191" ht="15.75" customHeight="1">
      <c r="A191" s="29"/>
      <c r="B191" s="30" t="str">
        <f>HYPERLINK("https://oknesset.org/committee/meeting/14162/","https://oknesset.org/committee/meeting/14246/")</f>
        <v>https://oknesset.org/committee/meeting/14246/</v>
      </c>
    </row>
    <row r="192" ht="15.75" customHeight="1">
      <c r="A192" s="29"/>
      <c r="B192" s="30" t="str">
        <f>HYPERLINK("https://oknesset.org/committee/meeting/14163/","https://oknesset.org/committee/meeting/14245/")</f>
        <v>https://oknesset.org/committee/meeting/14245/</v>
      </c>
    </row>
    <row r="193" ht="15.75" customHeight="1">
      <c r="A193" s="29"/>
      <c r="B193" s="30" t="str">
        <f>HYPERLINK("https://oknesset.org/committee/meeting/14481/","https://oknesset.org/committee/meeting/14244/")</f>
        <v>https://oknesset.org/committee/meeting/14244/</v>
      </c>
    </row>
    <row r="194" ht="15.75" customHeight="1">
      <c r="A194" s="29"/>
      <c r="B194" s="30" t="str">
        <f>HYPERLINK("https://oknesset.org/committee/meeting/14482/","https://oknesset.org/committee/meeting/14503/")</f>
        <v>https://oknesset.org/committee/meeting/14503/</v>
      </c>
    </row>
    <row r="195" ht="15.75" customHeight="1">
      <c r="A195" s="29"/>
      <c r="B195" s="30" t="str">
        <f>HYPERLINK("https://oknesset.org/committee/meeting/14483/","https://oknesset.org/committee/meeting/14243/")</f>
        <v>https://oknesset.org/committee/meeting/14243/</v>
      </c>
    </row>
    <row r="196" ht="15.75" customHeight="1">
      <c r="A196" s="29"/>
      <c r="B196" s="30" t="str">
        <f>HYPERLINK("https://oknesset.org/committee/meeting/14484/","https://oknesset.org/committee/meeting/14242/")</f>
        <v>https://oknesset.org/committee/meeting/14242/</v>
      </c>
    </row>
    <row r="197" ht="15.75" customHeight="1">
      <c r="A197" s="29"/>
      <c r="B197" s="30" t="str">
        <f>HYPERLINK("https://oknesset.org/committee/meeting/14485/","https://oknesset.org/committee/meeting/14241/")</f>
        <v>https://oknesset.org/committee/meeting/14241/</v>
      </c>
    </row>
    <row r="198" ht="15.75" customHeight="1">
      <c r="A198" s="29"/>
      <c r="B198" s="30" t="str">
        <f>HYPERLINK("https://oknesset.org/committee/meeting/14486/","https://oknesset.org/committee/meeting/14240/")</f>
        <v>https://oknesset.org/committee/meeting/14240/</v>
      </c>
    </row>
    <row r="199" ht="15.75" customHeight="1">
      <c r="A199" s="29"/>
      <c r="B199" s="30" t="str">
        <f>HYPERLINK("https://oknesset.org/committee/meeting/14487/","https://oknesset.org/committee/meeting/14239/")</f>
        <v>https://oknesset.org/committee/meeting/14239/</v>
      </c>
    </row>
    <row r="200" ht="15.75" customHeight="1">
      <c r="A200" s="29"/>
      <c r="B200" s="30" t="str">
        <f>HYPERLINK("https://oknesset.org/committee/meeting/14488/","https://oknesset.org/committee/meeting/14238/")</f>
        <v>https://oknesset.org/committee/meeting/14238/</v>
      </c>
    </row>
    <row r="201" ht="15.75" customHeight="1">
      <c r="A201" s="29"/>
      <c r="B201" s="30" t="str">
        <f>HYPERLINK("https://oknesset.org/committee/meeting/14489/","https://oknesset.org/committee/meeting/14236/")</f>
        <v>https://oknesset.org/committee/meeting/14236/</v>
      </c>
    </row>
    <row r="202" ht="15.75" customHeight="1">
      <c r="A202" s="29"/>
      <c r="B202" s="30" t="str">
        <f>HYPERLINK("https://oknesset.org/committee/meeting/14490/","https://oknesset.org/committee/meeting/14237/")</f>
        <v>https://oknesset.org/committee/meeting/14237/</v>
      </c>
    </row>
    <row r="203" ht="15.75" customHeight="1">
      <c r="A203" s="29"/>
      <c r="B203" s="30" t="str">
        <f>HYPERLINK("https://oknesset.org/committee/meeting/14491/","https://oknesset.org/committee/meeting/14235/")</f>
        <v>https://oknesset.org/committee/meeting/14235/</v>
      </c>
    </row>
    <row r="204" ht="15.75" customHeight="1">
      <c r="A204" s="29"/>
      <c r="B204" s="30" t="str">
        <f>HYPERLINK("https://oknesset.org/committee/meeting/14492/","https://oknesset.org/committee/meeting/14234/")</f>
        <v>https://oknesset.org/committee/meeting/14234/</v>
      </c>
    </row>
    <row r="205" ht="15.75" customHeight="1">
      <c r="A205" s="29"/>
      <c r="B205" s="30" t="str">
        <f>HYPERLINK("https://oknesset.org/committee/meeting/14493/","https://oknesset.org/committee/meeting/14232/")</f>
        <v>https://oknesset.org/committee/meeting/14232/</v>
      </c>
    </row>
    <row r="206" ht="15.75" customHeight="1">
      <c r="A206" s="29"/>
      <c r="B206" s="30" t="str">
        <f>HYPERLINK("https://oknesset.org/committee/meeting/14494/","https://oknesset.org/committee/meeting/14233/")</f>
        <v>https://oknesset.org/committee/meeting/14233/</v>
      </c>
    </row>
    <row r="207" ht="15.75" customHeight="1">
      <c r="A207" s="29"/>
      <c r="B207" s="31" t="s">
        <v>170</v>
      </c>
    </row>
    <row r="208" ht="15.75" customHeight="1">
      <c r="A208" s="29"/>
      <c r="B208" s="30" t="str">
        <f>HYPERLINK("https://oknesset.org/committee/meeting/14026/","https://oknesset.org/committee/meeting/14230/")</f>
        <v>https://oknesset.org/committee/meeting/14230/</v>
      </c>
    </row>
    <row r="209" ht="15.75" customHeight="1">
      <c r="A209" s="29"/>
      <c r="B209" s="30" t="str">
        <f>HYPERLINK("https://oknesset.org/committee/meeting/14027/","https://oknesset.org/committee/meeting/14231/")</f>
        <v>https://oknesset.org/committee/meeting/14231/</v>
      </c>
    </row>
    <row r="210" ht="15.75" customHeight="1">
      <c r="A210" s="29"/>
      <c r="B210" s="30" t="str">
        <f>HYPERLINK("https://oknesset.org/committee/meeting/14028/","https://oknesset.org/committee/meeting/14228/")</f>
        <v>https://oknesset.org/committee/meeting/14228/</v>
      </c>
    </row>
    <row r="211" ht="15.75" customHeight="1">
      <c r="A211" s="29"/>
      <c r="B211" s="30" t="str">
        <f>HYPERLINK("https://oknesset.org/committee/meeting/14029/","https://oknesset.org/committee/meeting/14226/")</f>
        <v>https://oknesset.org/committee/meeting/14226/</v>
      </c>
    </row>
    <row r="212" ht="15.75" customHeight="1">
      <c r="A212" s="29"/>
      <c r="B212" s="30" t="str">
        <f>HYPERLINK("https://oknesset.org/committee/meeting/14030/","https://oknesset.org/committee/meeting/14225/")</f>
        <v>https://oknesset.org/committee/meeting/14225/</v>
      </c>
    </row>
    <row r="213" ht="15.75" customHeight="1">
      <c r="A213" s="29"/>
      <c r="B213" s="30" t="str">
        <f>HYPERLINK("https://oknesset.org/committee/meeting/14033/","https://oknesset.org/committee/meeting/14227/")</f>
        <v>https://oknesset.org/committee/meeting/14227/</v>
      </c>
    </row>
    <row r="214" ht="15.75" customHeight="1">
      <c r="A214" s="29"/>
      <c r="B214" s="30" t="str">
        <f>HYPERLINK("https://oknesset.org/committee/meeting/14034/","https://oknesset.org/committee/meeting/14224/")</f>
        <v>https://oknesset.org/committee/meeting/14224/</v>
      </c>
    </row>
    <row r="215" ht="15.75" customHeight="1">
      <c r="A215" s="29"/>
      <c r="B215" s="30" t="str">
        <f>HYPERLINK("https://oknesset.org/committee/meeting/14035/","https://oknesset.org/committee/meeting/14223/")</f>
        <v>https://oknesset.org/committee/meeting/14223/</v>
      </c>
    </row>
    <row r="216" ht="15.75" customHeight="1">
      <c r="A216" s="29"/>
      <c r="B216" s="30" t="str">
        <f>HYPERLINK("https://oknesset.org/committee/meeting/14036/","https://oknesset.org/committee/meeting/14222/")</f>
        <v>https://oknesset.org/committee/meeting/14222/</v>
      </c>
    </row>
    <row r="217" ht="15.75" customHeight="1">
      <c r="A217" s="29"/>
      <c r="B217" s="30" t="str">
        <f>HYPERLINK("https://oknesset.org/committee/meeting/14037/","https://oknesset.org/committee/meeting/14502/")</f>
        <v>https://oknesset.org/committee/meeting/14502/</v>
      </c>
    </row>
    <row r="218" ht="15.75" customHeight="1">
      <c r="A218" s="29"/>
      <c r="B218" s="30" t="str">
        <f>HYPERLINK("https://oknesset.org/committee/meeting/14039/","https://oknesset.org/committee/meeting/14501/")</f>
        <v>https://oknesset.org/committee/meeting/14501/</v>
      </c>
    </row>
    <row r="219" ht="15.75" customHeight="1">
      <c r="A219" s="29"/>
      <c r="B219" s="30" t="str">
        <f>HYPERLINK("https://oknesset.org/committee/meeting/14040/","https://oknesset.org/committee/meeting/14468/")</f>
        <v>https://oknesset.org/committee/meeting/14468/</v>
      </c>
    </row>
    <row r="220" ht="15.75" customHeight="1">
      <c r="A220" s="3" t="s">
        <v>171</v>
      </c>
      <c r="B220" s="33" t="str">
        <f>HYPERLINK("https://oknesset.org/committee/meeting/14041/","https://oknesset.org/committee/meeting/14041/")</f>
        <v>https://oknesset.org/committee/meeting/14041/</v>
      </c>
    </row>
    <row r="221" ht="15.75" customHeight="1">
      <c r="A221" s="3" t="s">
        <v>113</v>
      </c>
      <c r="B221" s="28" t="str">
        <f>HYPERLINK("https://oknesset.org/committee/meeting/14042/","https://oknesset.org/committee/meeting/14052/")</f>
        <v>https://oknesset.org/committee/meeting/14052/</v>
      </c>
    </row>
    <row r="222" ht="15.75" customHeight="1">
      <c r="A222" s="29"/>
      <c r="B222" s="30" t="str">
        <f>HYPERLINK("https://oknesset.org/committee/meeting/14043/","https://oknesset.org/committee/meeting/14053/")</f>
        <v>https://oknesset.org/committee/meeting/14053/</v>
      </c>
    </row>
    <row r="223" ht="15.75" customHeight="1">
      <c r="A223" s="29"/>
      <c r="B223" s="30" t="str">
        <f>HYPERLINK("https://oknesset.org/committee/meeting/14044/","https://oknesset.org/committee/meeting/14051/")</f>
        <v>https://oknesset.org/committee/meeting/14051/</v>
      </c>
    </row>
    <row r="224" ht="15.75" customHeight="1">
      <c r="A224" s="29"/>
      <c r="B224" s="30" t="str">
        <f>HYPERLINK("https://oknesset.org/committee/meeting/14045/","https://oknesset.org/committee/meeting/14050/")</f>
        <v>https://oknesset.org/committee/meeting/14050/</v>
      </c>
    </row>
    <row r="225" ht="15.75" customHeight="1">
      <c r="A225" s="29"/>
      <c r="B225" s="30" t="str">
        <f>HYPERLINK("https://oknesset.org/committee/meeting/14046/","https://oknesset.org/committee/meeting/14046/")</f>
        <v>https://oknesset.org/committee/meeting/14046/</v>
      </c>
    </row>
    <row r="226" ht="15.75" customHeight="1">
      <c r="A226" s="29"/>
      <c r="B226" s="30" t="str">
        <f>HYPERLINK("https://oknesset.org/committee/meeting/14047/","https://oknesset.org/committee/meeting/14047/")</f>
        <v>https://oknesset.org/committee/meeting/14047/</v>
      </c>
    </row>
    <row r="227" ht="15.75" customHeight="1">
      <c r="A227" s="29"/>
      <c r="B227" s="30" t="str">
        <f>HYPERLINK("https://oknesset.org/committee/meeting/14048/","https://oknesset.org/committee/meeting/14048/")</f>
        <v>https://oknesset.org/committee/meeting/14048/</v>
      </c>
    </row>
    <row r="228" ht="15.75" customHeight="1">
      <c r="A228" s="29"/>
      <c r="B228" s="30" t="str">
        <f>HYPERLINK("https://oknesset.org/committee/meeting/14049/","https://oknesset.org/committee/meeting/14049/")</f>
        <v>https://oknesset.org/committee/meeting/14049/</v>
      </c>
    </row>
    <row r="229" ht="15.75" customHeight="1">
      <c r="A229" s="29"/>
      <c r="B229" s="30" t="str">
        <f>HYPERLINK("https://oknesset.org/committee/meeting/14050/","https://oknesset.org/committee/meeting/14045/")</f>
        <v>https://oknesset.org/committee/meeting/14045/</v>
      </c>
    </row>
    <row r="230" ht="15.75" customHeight="1">
      <c r="A230" s="29"/>
      <c r="B230" s="30" t="str">
        <f>HYPERLINK("https://oknesset.org/committee/meeting/14051/","https://oknesset.org/committee/meeting/14044/")</f>
        <v>https://oknesset.org/committee/meeting/14044/</v>
      </c>
    </row>
    <row r="231" ht="15.75" customHeight="1">
      <c r="A231" s="29"/>
      <c r="B231" s="30" t="str">
        <f>HYPERLINK("https://oknesset.org/committee/meeting/14052/","https://oknesset.org/committee/meeting/14042/")</f>
        <v>https://oknesset.org/committee/meeting/14042/</v>
      </c>
    </row>
    <row r="232" ht="15.75" customHeight="1">
      <c r="A232" s="29"/>
      <c r="B232" s="30" t="str">
        <f>HYPERLINK("https://oknesset.org/committee/meeting/14053/","https://oknesset.org/committee/meeting/14043/")</f>
        <v>https://oknesset.org/committee/meeting/14043/</v>
      </c>
    </row>
    <row r="233" ht="15.75" customHeight="1">
      <c r="A233" s="29"/>
      <c r="B233" s="30" t="str">
        <f>HYPERLINK("https://oknesset.org/committee/meeting/14466/","https://oknesset.org/committee/meeting/14041/")</f>
        <v>https://oknesset.org/committee/meeting/14041/</v>
      </c>
    </row>
    <row r="234" ht="15.75" customHeight="1">
      <c r="A234" s="29"/>
      <c r="B234" s="30" t="str">
        <f>HYPERLINK("https://oknesset.org/committee/meeting/14467/","https://oknesset.org/committee/meeting/14040/")</f>
        <v>https://oknesset.org/committee/meeting/14040/</v>
      </c>
    </row>
    <row r="235" ht="15.75" customHeight="1">
      <c r="A235" s="29"/>
      <c r="B235" s="30" t="str">
        <f>HYPERLINK("https://oknesset.org/committee/meeting/14469/","https://oknesset.org/committee/meeting/14039/")</f>
        <v>https://oknesset.org/committee/meeting/14039/</v>
      </c>
    </row>
    <row r="236" ht="15.75" customHeight="1">
      <c r="A236" s="29"/>
      <c r="B236" s="30" t="str">
        <f>HYPERLINK("https://oknesset.org/committee/meeting/14470/","https://oknesset.org/committee/meeting/14037/")</f>
        <v>https://oknesset.org/committee/meeting/14037/</v>
      </c>
    </row>
    <row r="237" ht="15.75" customHeight="1">
      <c r="A237" s="29"/>
      <c r="B237" s="31" t="s">
        <v>172</v>
      </c>
    </row>
    <row r="238" ht="15.75" customHeight="1">
      <c r="A238" s="29"/>
      <c r="B238" s="30" t="str">
        <f>HYPERLINK("https://oknesset.org/committee/meeting/14060/","https://oknesset.org/committee/meeting/14034/")</f>
        <v>https://oknesset.org/committee/meeting/14034/</v>
      </c>
    </row>
    <row r="239" ht="15.75" customHeight="1">
      <c r="A239" s="29"/>
      <c r="B239" s="30" t="str">
        <f>HYPERLINK("https://oknesset.org/committee/meeting/14061/","https://oknesset.org/committee/meeting/14035/")</f>
        <v>https://oknesset.org/committee/meeting/14035/</v>
      </c>
    </row>
    <row r="240" ht="15.75" customHeight="1">
      <c r="A240" s="29"/>
      <c r="B240" s="30" t="str">
        <f>HYPERLINK("https://oknesset.org/committee/meeting/14062/","https://oknesset.org/committee/meeting/14033/")</f>
        <v>https://oknesset.org/committee/meeting/14033/</v>
      </c>
    </row>
    <row r="241" ht="15.75" customHeight="1">
      <c r="A241" s="29"/>
      <c r="B241" s="30" t="str">
        <f>HYPERLINK("https://oknesset.org/committee/meeting/14063/","https://oknesset.org/committee/meeting/14030/")</f>
        <v>https://oknesset.org/committee/meeting/14030/</v>
      </c>
    </row>
    <row r="242" ht="15.75" customHeight="1">
      <c r="A242" s="29"/>
      <c r="B242" s="30" t="str">
        <f>HYPERLINK("https://oknesset.org/committee/meeting/14064/","https://oknesset.org/committee/meeting/14029/")</f>
        <v>https://oknesset.org/committee/meeting/14029/</v>
      </c>
    </row>
    <row r="243" ht="15.75" customHeight="1">
      <c r="A243" s="29"/>
      <c r="B243" s="30" t="str">
        <f>HYPERLINK("https://oknesset.org/committee/meeting/14065/","https://oknesset.org/committee/meeting/14028/")</f>
        <v>https://oknesset.org/committee/meeting/14028/</v>
      </c>
    </row>
    <row r="244" ht="15.75" customHeight="1">
      <c r="A244" s="29"/>
      <c r="B244" s="30" t="str">
        <f>HYPERLINK("https://oknesset.org/committee/meeting/14066/","https://oknesset.org/committee/meeting/14470/")</f>
        <v>https://oknesset.org/committee/meeting/14470/</v>
      </c>
    </row>
    <row r="245" ht="15.75" customHeight="1">
      <c r="A245" s="29"/>
      <c r="B245" s="30" t="str">
        <f>HYPERLINK("https://oknesset.org/committee/meeting/14067/","https://oknesset.org/committee/meeting/14027/")</f>
        <v>https://oknesset.org/committee/meeting/14027/</v>
      </c>
    </row>
    <row r="246" ht="15.75" customHeight="1">
      <c r="A246" s="29"/>
      <c r="B246" s="30" t="str">
        <f>HYPERLINK("https://oknesset.org/committee/meeting/14068/","https://oknesset.org/committee/meeting/14026/")</f>
        <v>https://oknesset.org/committee/meeting/14026/</v>
      </c>
    </row>
    <row r="247" ht="15.75" customHeight="1">
      <c r="A247" s="29"/>
      <c r="B247" s="30" t="str">
        <f>HYPERLINK("https://oknesset.org/committee/meeting/14069/","https://oknesset.org/committee/meeting/14469/")</f>
        <v>https://oknesset.org/committee/meeting/14469/</v>
      </c>
    </row>
    <row r="248" ht="15.75" customHeight="1">
      <c r="A248" s="29"/>
      <c r="B248" s="30" t="str">
        <f>HYPERLINK("https://oknesset.org/committee/meeting/14070/","https://oknesset.org/committee/meeting/14467/")</f>
        <v>https://oknesset.org/committee/meeting/14467/</v>
      </c>
    </row>
    <row r="249" ht="15.75" customHeight="1">
      <c r="A249" s="29"/>
      <c r="B249" s="30" t="str">
        <f>HYPERLINK("https://oknesset.org/committee/meeting/14071/","https://oknesset.org/committee/meeting/14466/")</f>
        <v>https://oknesset.org/committee/meeting/14466/</v>
      </c>
    </row>
    <row r="250" ht="15.75" customHeight="1">
      <c r="A250" s="3" t="s">
        <v>173</v>
      </c>
      <c r="B250" s="33" t="str">
        <f>HYPERLINK("https://oknesset.org/committee/meeting/14072/","https://oknesset.org/committee/meeting/14072/")</f>
        <v>https://oknesset.org/committee/meeting/14072/</v>
      </c>
    </row>
    <row r="251" ht="15.75" customHeight="1">
      <c r="A251" s="3" t="s">
        <v>114</v>
      </c>
      <c r="B251" s="28" t="str">
        <f>HYPERLINK("https://oknesset.org/committee/meeting/14073/","https://oknesset.org/committee/meeting/14399/")</f>
        <v>https://oknesset.org/committee/meeting/14399/</v>
      </c>
    </row>
    <row r="252" ht="15.75" customHeight="1">
      <c r="A252" s="29"/>
      <c r="B252" s="30" t="str">
        <f>HYPERLINK("https://oknesset.org/committee/meeting/14074/","https://oknesset.org/committee/meeting/14398/")</f>
        <v>https://oknesset.org/committee/meeting/14398/</v>
      </c>
    </row>
    <row r="253" ht="15.75" customHeight="1">
      <c r="A253" s="29"/>
      <c r="B253" s="30" t="str">
        <f>HYPERLINK("https://oknesset.org/committee/meeting/14075/","https://oknesset.org/committee/meeting/14397/")</f>
        <v>https://oknesset.org/committee/meeting/14397/</v>
      </c>
    </row>
    <row r="254" ht="15.75" customHeight="1">
      <c r="A254" s="3" t="s">
        <v>174</v>
      </c>
      <c r="B254" s="33" t="str">
        <f>HYPERLINK("https://oknesset.org/committee/meeting/14076/","https://oknesset.org/committee/meeting/14076/")</f>
        <v>https://oknesset.org/committee/meeting/14076/</v>
      </c>
    </row>
    <row r="255" ht="15.75" customHeight="1">
      <c r="A255" s="3" t="s">
        <v>115</v>
      </c>
      <c r="B255" s="28" t="str">
        <f>HYPERLINK("https://oknesset.org/committee/meeting/14077/","https://oknesset.org/committee/meeting/14376/")</f>
        <v>https://oknesset.org/committee/meeting/14376/</v>
      </c>
    </row>
    <row r="256" ht="15.75" customHeight="1">
      <c r="A256" s="29"/>
      <c r="B256" s="30" t="str">
        <f>HYPERLINK("https://oknesset.org/committee/meeting/14078/","https://oknesset.org/committee/meeting/14375/")</f>
        <v>https://oknesset.org/committee/meeting/14375/</v>
      </c>
    </row>
    <row r="257" ht="15.75" customHeight="1">
      <c r="A257" s="29"/>
      <c r="B257" s="30" t="str">
        <f>HYPERLINK("https://oknesset.org/committee/meeting/14079/","https://oknesset.org/committee/meeting/14374/")</f>
        <v>https://oknesset.org/committee/meeting/14374/</v>
      </c>
    </row>
    <row r="258" ht="15.75" customHeight="1">
      <c r="A258" s="29"/>
      <c r="B258" s="30" t="str">
        <f>HYPERLINK("https://oknesset.org/committee/meeting/14080/","https://oknesset.org/committee/meeting/14518/")</f>
        <v>https://oknesset.org/committee/meeting/14518/</v>
      </c>
    </row>
    <row r="259" ht="15.75" customHeight="1">
      <c r="A259" s="29"/>
      <c r="B259" s="30" t="str">
        <f>HYPERLINK("https://oknesset.org/committee/meeting/14081/","https://oknesset.org/committee/meeting/14517/")</f>
        <v>https://oknesset.org/committee/meeting/14517/</v>
      </c>
    </row>
    <row r="260" ht="15.75" customHeight="1">
      <c r="A260" s="29"/>
      <c r="B260" s="30" t="str">
        <f>HYPERLINK("https://oknesset.org/committee/meeting/14082/","https://oknesset.org/committee/meeting/14373/")</f>
        <v>https://oknesset.org/committee/meeting/14373/</v>
      </c>
    </row>
    <row r="261" ht="15.75" customHeight="1">
      <c r="A261" s="29"/>
      <c r="B261" s="30" t="str">
        <f>HYPERLINK("https://oknesset.org/committee/meeting/14083/","https://oknesset.org/committee/meeting/14372/")</f>
        <v>https://oknesset.org/committee/meeting/14372/</v>
      </c>
    </row>
    <row r="262" ht="15.75" customHeight="1">
      <c r="A262" s="29"/>
      <c r="B262" s="30" t="str">
        <f>HYPERLINK("https://oknesset.org/committee/meeting/14084/","https://oknesset.org/committee/meeting/14371/")</f>
        <v>https://oknesset.org/committee/meeting/14371/</v>
      </c>
    </row>
    <row r="263" ht="15.75" customHeight="1">
      <c r="A263" s="29"/>
      <c r="B263" s="30" t="str">
        <f>HYPERLINK("https://oknesset.org/committee/meeting/14085/","https://oknesset.org/committee/meeting/14368/")</f>
        <v>https://oknesset.org/committee/meeting/14368/</v>
      </c>
    </row>
    <row r="264" ht="15.75" customHeight="1">
      <c r="A264" s="29"/>
      <c r="B264" s="30" t="str">
        <f>HYPERLINK("https://oknesset.org/committee/meeting/14086/","https://oknesset.org/committee/meeting/14369/")</f>
        <v>https://oknesset.org/committee/meeting/14369/</v>
      </c>
    </row>
    <row r="265" ht="15.75" customHeight="1">
      <c r="A265" s="29"/>
      <c r="B265" s="30" t="str">
        <f>HYPERLINK("https://oknesset.org/committee/meeting/14087/","https://oknesset.org/committee/meeting/14370/")</f>
        <v>https://oknesset.org/committee/meeting/14370/</v>
      </c>
    </row>
    <row r="266" ht="15.75" customHeight="1">
      <c r="A266" s="29"/>
      <c r="B266" s="30" t="str">
        <f>HYPERLINK("https://oknesset.org/committee/meeting/14088/","https://oknesset.org/committee/meeting/14367/")</f>
        <v>https://oknesset.org/committee/meeting/14367/</v>
      </c>
    </row>
    <row r="267" ht="15.75" customHeight="1">
      <c r="A267" s="29"/>
      <c r="B267" s="30" t="str">
        <f>HYPERLINK("https://oknesset.org/committee/meeting/14089/","https://oknesset.org/committee/meeting/14364/")</f>
        <v>https://oknesset.org/committee/meeting/14364/</v>
      </c>
    </row>
    <row r="268" ht="15.75" customHeight="1">
      <c r="A268" s="29"/>
      <c r="B268" s="30" t="str">
        <f>HYPERLINK("https://oknesset.org/committee/meeting/14090/","https://oknesset.org/committee/meeting/14365/")</f>
        <v>https://oknesset.org/committee/meeting/14365/</v>
      </c>
    </row>
    <row r="269" ht="15.75" customHeight="1">
      <c r="A269" s="29"/>
      <c r="B269" s="30" t="str">
        <f>HYPERLINK("https://oknesset.org/committee/meeting/14091/","https://oknesset.org/committee/meeting/14366/")</f>
        <v>https://oknesset.org/committee/meeting/14366/</v>
      </c>
    </row>
    <row r="270" ht="15.75" customHeight="1">
      <c r="A270" s="29"/>
      <c r="B270" s="30" t="str">
        <f>HYPERLINK("https://oknesset.org/committee/meeting/14092/","https://oknesset.org/committee/meeting/14363/")</f>
        <v>https://oknesset.org/committee/meeting/14363/</v>
      </c>
    </row>
    <row r="271" ht="15.75" customHeight="1">
      <c r="A271" s="29"/>
      <c r="B271" s="30" t="str">
        <f>HYPERLINK("https://oknesset.org/committee/meeting/14093/","https://oknesset.org/committee/meeting/14362/")</f>
        <v>https://oknesset.org/committee/meeting/14362/</v>
      </c>
    </row>
    <row r="272" ht="15.75" customHeight="1">
      <c r="A272" s="29"/>
      <c r="B272" s="30" t="str">
        <f>HYPERLINK("https://oknesset.org/committee/meeting/14094/","https://oknesset.org/committee/meeting/14361/")</f>
        <v>https://oknesset.org/committee/meeting/14361/</v>
      </c>
    </row>
    <row r="273" ht="15.75" customHeight="1">
      <c r="A273" s="29"/>
      <c r="B273" s="30" t="str">
        <f>HYPERLINK("https://oknesset.org/committee/meeting/14095/","https://oknesset.org/committee/meeting/14359/")</f>
        <v>https://oknesset.org/committee/meeting/14359/</v>
      </c>
    </row>
    <row r="274" ht="15.75" customHeight="1">
      <c r="A274" s="29"/>
      <c r="B274" s="30" t="str">
        <f>HYPERLINK("https://oknesset.org/committee/meeting/14096/","https://oknesset.org/committee/meeting/14360/")</f>
        <v>https://oknesset.org/committee/meeting/14360/</v>
      </c>
    </row>
    <row r="275" ht="15.75" customHeight="1">
      <c r="A275" s="29"/>
      <c r="B275" s="30" t="str">
        <f>HYPERLINK("https://oknesset.org/committee/meeting/14097/","https://oknesset.org/committee/meeting/14357/")</f>
        <v>https://oknesset.org/committee/meeting/14357/</v>
      </c>
    </row>
    <row r="276" ht="15.75" customHeight="1">
      <c r="A276" s="29"/>
      <c r="B276" s="30" t="str">
        <f>HYPERLINK("https://oknesset.org/committee/meeting/14098/","https://oknesset.org/committee/meeting/14358/")</f>
        <v>https://oknesset.org/committee/meeting/14358/</v>
      </c>
    </row>
    <row r="277" ht="15.75" customHeight="1">
      <c r="A277" s="29"/>
      <c r="B277" s="30" t="str">
        <f>HYPERLINK("https://oknesset.org/committee/meeting/14099/","https://oknesset.org/committee/meeting/14356/")</f>
        <v>https://oknesset.org/committee/meeting/14356/</v>
      </c>
    </row>
    <row r="278" ht="15.75" customHeight="1">
      <c r="A278" s="29"/>
      <c r="B278" s="30" t="str">
        <f>HYPERLINK("https://oknesset.org/committee/meeting/14100/","https://oknesset.org/committee/meeting/14355/")</f>
        <v>https://oknesset.org/committee/meeting/14355/</v>
      </c>
    </row>
    <row r="279" ht="15.75" customHeight="1">
      <c r="A279" s="29"/>
      <c r="B279" s="30" t="str">
        <f>HYPERLINK("https://oknesset.org/committee/meeting/14101/","https://oknesset.org/committee/meeting/14354/")</f>
        <v>https://oknesset.org/committee/meeting/14354/</v>
      </c>
    </row>
    <row r="280" ht="15.75" customHeight="1">
      <c r="A280" s="29"/>
      <c r="B280" s="30" t="str">
        <f>HYPERLINK("https://oknesset.org/committee/meeting/14102/","https://oknesset.org/committee/meeting/14353/")</f>
        <v>https://oknesset.org/committee/meeting/14353/</v>
      </c>
    </row>
    <row r="281" ht="15.75" customHeight="1">
      <c r="A281" s="29"/>
      <c r="B281" s="30" t="str">
        <f>HYPERLINK("https://oknesset.org/committee/meeting/14103/","https://oknesset.org/committee/meeting/14351/")</f>
        <v>https://oknesset.org/committee/meeting/14351/</v>
      </c>
    </row>
    <row r="282" ht="15.75" customHeight="1">
      <c r="A282" s="29"/>
      <c r="B282" s="30" t="str">
        <f>HYPERLINK("https://oknesset.org/committee/meeting/14104/","https://oknesset.org/committee/meeting/14352/")</f>
        <v>https://oknesset.org/committee/meeting/14352/</v>
      </c>
    </row>
    <row r="283" ht="15.75" customHeight="1">
      <c r="A283" s="29"/>
      <c r="B283" s="30" t="str">
        <f>HYPERLINK("https://oknesset.org/committee/meeting/14105/","https://oknesset.org/committee/meeting/14350/")</f>
        <v>https://oknesset.org/committee/meeting/14350/</v>
      </c>
    </row>
    <row r="284" ht="15.75" customHeight="1">
      <c r="A284" s="29"/>
      <c r="B284" s="30" t="str">
        <f>HYPERLINK("https://oknesset.org/committee/meeting/14106/","https://oknesset.org/committee/meeting/14349/")</f>
        <v>https://oknesset.org/committee/meeting/14349/</v>
      </c>
    </row>
    <row r="285" ht="15.75" customHeight="1">
      <c r="A285" s="29"/>
      <c r="B285" s="30" t="str">
        <f>HYPERLINK("https://oknesset.org/committee/meeting/14107/","https://oknesset.org/committee/meeting/14348/")</f>
        <v>https://oknesset.org/committee/meeting/14348/</v>
      </c>
    </row>
    <row r="286" ht="15.75" customHeight="1">
      <c r="A286" s="29"/>
      <c r="B286" s="30" t="str">
        <f>HYPERLINK("https://oknesset.org/committee/meeting/14108/","https://oknesset.org/committee/meeting/14347/")</f>
        <v>https://oknesset.org/committee/meeting/14347/</v>
      </c>
    </row>
    <row r="287" ht="15.75" customHeight="1">
      <c r="A287" s="29"/>
      <c r="B287" s="30" t="str">
        <f>HYPERLINK("https://oknesset.org/committee/meeting/14109/","https://oknesset.org/committee/meeting/14346/")</f>
        <v>https://oknesset.org/committee/meeting/14346/</v>
      </c>
    </row>
    <row r="288" ht="15.75" customHeight="1">
      <c r="A288" s="29"/>
      <c r="B288" s="30" t="str">
        <f>HYPERLINK("https://oknesset.org/committee/meeting/14110/","https://oknesset.org/committee/meeting/14345/")</f>
        <v>https://oknesset.org/committee/meeting/14345/</v>
      </c>
    </row>
    <row r="289" ht="15.75" customHeight="1">
      <c r="A289" s="29"/>
      <c r="B289" s="30" t="str">
        <f>HYPERLINK("https://oknesset.org/committee/meeting/14111/","https://oknesset.org/committee/meeting/14344/")</f>
        <v>https://oknesset.org/committee/meeting/14344/</v>
      </c>
    </row>
    <row r="290" ht="15.75" customHeight="1">
      <c r="A290" s="29"/>
      <c r="B290" s="30" t="str">
        <f>HYPERLINK("https://oknesset.org/committee/meeting/14112/","https://oknesset.org/committee/meeting/14516/")</f>
        <v>https://oknesset.org/committee/meeting/14516/</v>
      </c>
    </row>
    <row r="291" ht="15.75" customHeight="1">
      <c r="A291" s="29"/>
      <c r="B291" s="30" t="str">
        <f>HYPERLINK("https://oknesset.org/committee/meeting/14113/","https://oknesset.org/committee/meeting/14342/")</f>
        <v>https://oknesset.org/committee/meeting/14342/</v>
      </c>
    </row>
    <row r="292" ht="15.75" customHeight="1">
      <c r="A292" s="29"/>
      <c r="B292" s="30" t="str">
        <f>HYPERLINK("https://oknesset.org/committee/meeting/14471/","https://oknesset.org/committee/meeting/14341/")</f>
        <v>https://oknesset.org/committee/meeting/14341/</v>
      </c>
    </row>
    <row r="293" ht="15.75" customHeight="1">
      <c r="A293" s="29"/>
      <c r="B293" s="30" t="str">
        <f>HYPERLINK("https://oknesset.org/committee/meeting/14472/","https://oknesset.org/committee/meeting/14343/")</f>
        <v>https://oknesset.org/committee/meeting/14343/</v>
      </c>
    </row>
    <row r="294" ht="15.75" customHeight="1">
      <c r="A294" s="29"/>
      <c r="B294" s="30" t="str">
        <f>HYPERLINK("https://oknesset.org/committee/meeting/14473/","https://oknesset.org/committee/meeting/14340/")</f>
        <v>https://oknesset.org/committee/meeting/14340/</v>
      </c>
    </row>
    <row r="295" ht="15.75" customHeight="1">
      <c r="A295" s="29"/>
      <c r="B295" s="30" t="str">
        <f>HYPERLINK("https://oknesset.org/committee/meeting/14474/","https://oknesset.org/committee/meeting/14515/")</f>
        <v>https://oknesset.org/committee/meeting/14515/</v>
      </c>
    </row>
    <row r="296" ht="15.75" customHeight="1">
      <c r="A296" s="29"/>
      <c r="B296" s="30" t="str">
        <f>HYPERLINK("https://oknesset.org/committee/meeting/14475/","https://oknesset.org/committee/meeting/14514/")</f>
        <v>https://oknesset.org/committee/meeting/14514/</v>
      </c>
    </row>
    <row r="297" ht="15.75" customHeight="1">
      <c r="A297" s="29"/>
      <c r="B297" s="30" t="str">
        <f>HYPERLINK("https://oknesset.org/committee/meeting/14476/","https://oknesset.org/committee/meeting/14513/")</f>
        <v>https://oknesset.org/committee/meeting/14513/</v>
      </c>
    </row>
    <row r="298" ht="15.75" customHeight="1">
      <c r="A298" s="3" t="s">
        <v>175</v>
      </c>
      <c r="B298" s="33" t="str">
        <f>HYPERLINK("https://oknesset.org/committee/meeting/14477/","https://oknesset.org/committee/meeting/14477/")</f>
        <v>https://oknesset.org/committee/meeting/14477/</v>
      </c>
    </row>
    <row r="299" ht="15.75" customHeight="1">
      <c r="A299" s="3" t="s">
        <v>116</v>
      </c>
      <c r="B299" s="28" t="str">
        <f>HYPERLINK("https://oknesset.org/committee/meeting/14478/","https://oknesset.org/committee/meeting/14428/")</f>
        <v>https://oknesset.org/committee/meeting/14428/</v>
      </c>
    </row>
    <row r="300" ht="15.75" customHeight="1">
      <c r="A300" s="29"/>
      <c r="B300" s="30" t="str">
        <f>HYPERLINK("https://oknesset.org/committee/meeting/14479/","https://oknesset.org/committee/meeting/14427/")</f>
        <v>https://oknesset.org/committee/meeting/14427/</v>
      </c>
    </row>
    <row r="301" ht="15.75" customHeight="1">
      <c r="A301" s="3" t="s">
        <v>176</v>
      </c>
      <c r="B301" s="33" t="str">
        <f>HYPERLINK("https://oknesset.org/committee/meeting/14480/","https://oknesset.org/committee/meeting/14480/")</f>
        <v>https://oknesset.org/committee/meeting/14480/</v>
      </c>
    </row>
    <row r="302" ht="15.75" customHeight="1">
      <c r="A302" s="3" t="s">
        <v>117</v>
      </c>
      <c r="B302" s="34" t="s">
        <v>177</v>
      </c>
    </row>
    <row r="303" ht="15.75" customHeight="1">
      <c r="A303" s="29"/>
      <c r="B303" s="30" t="str">
        <f>HYPERLINK("https://oknesset.org/committee/meeting/14408/","https://oknesset.org/committee/meeting/14311/")</f>
        <v>https://oknesset.org/committee/meeting/14311/</v>
      </c>
    </row>
    <row r="304" ht="15.75" customHeight="1">
      <c r="A304" s="29"/>
      <c r="B304" s="31" t="s">
        <v>178</v>
      </c>
    </row>
    <row r="305" ht="15.75" customHeight="1">
      <c r="A305" s="29"/>
      <c r="B305" s="30" t="str">
        <f>HYPERLINK("https://oknesset.org/committee/meeting/14425/","https://oknesset.org/committee/meeting/14309/")</f>
        <v>https://oknesset.org/committee/meeting/14309/</v>
      </c>
    </row>
    <row r="306" ht="15.75" customHeight="1">
      <c r="A306" s="3" t="s">
        <v>179</v>
      </c>
      <c r="B306" s="33" t="str">
        <f>HYPERLINK("https://oknesset.org/committee/meeting/14426/","https://oknesset.org/committee/meeting/14426/")</f>
        <v>https://oknesset.org/committee/meeting/14426/</v>
      </c>
    </row>
    <row r="307" ht="15.75" customHeight="1">
      <c r="A307" s="3" t="s">
        <v>118</v>
      </c>
      <c r="B307" s="34" t="s">
        <v>180</v>
      </c>
    </row>
    <row r="308" ht="15.75" customHeight="1">
      <c r="A308" s="29"/>
      <c r="B308" s="30" t="str">
        <f>HYPERLINK("https://oknesset.org/committee/meeting/14340/","https://oknesset.org/committee/meeting/14298/")</f>
        <v>https://oknesset.org/committee/meeting/14298/</v>
      </c>
    </row>
    <row r="309" ht="15.75" customHeight="1">
      <c r="A309" s="29"/>
      <c r="B309" s="30" t="str">
        <f>HYPERLINK("https://oknesset.org/committee/meeting/14341/","https://oknesset.org/committee/meeting/14296/")</f>
        <v>https://oknesset.org/committee/meeting/14296/</v>
      </c>
    </row>
    <row r="310" ht="15.75" customHeight="1">
      <c r="A310" s="29"/>
      <c r="B310" s="30" t="str">
        <f>HYPERLINK("https://oknesset.org/committee/meeting/14342/","https://oknesset.org/committee/meeting/14295/")</f>
        <v>https://oknesset.org/committee/meeting/14295/</v>
      </c>
    </row>
    <row r="311" ht="15.75" customHeight="1">
      <c r="A311" s="29"/>
      <c r="B311" s="30" t="str">
        <f>HYPERLINK("https://oknesset.org/committee/meeting/14343/","https://oknesset.org/committee/meeting/14294/")</f>
        <v>https://oknesset.org/committee/meeting/14294/</v>
      </c>
    </row>
    <row r="312" ht="15.75" customHeight="1">
      <c r="A312" s="29"/>
      <c r="B312" s="30" t="str">
        <f>HYPERLINK("https://oknesset.org/committee/meeting/14344/","https://oknesset.org/committee/meeting/14293/")</f>
        <v>https://oknesset.org/committee/meeting/14293/</v>
      </c>
    </row>
    <row r="313" ht="15.75" customHeight="1">
      <c r="A313" s="29"/>
      <c r="B313" s="30" t="str">
        <f>HYPERLINK("https://oknesset.org/committee/meeting/14345/","https://oknesset.org/committee/meeting/14292/")</f>
        <v>https://oknesset.org/committee/meeting/14292/</v>
      </c>
    </row>
    <row r="314" ht="15.75" customHeight="1">
      <c r="A314" s="29"/>
      <c r="B314" s="30" t="str">
        <f>HYPERLINK("https://oknesset.org/committee/meeting/14346/","https://oknesset.org/committee/meeting/14507/")</f>
        <v>https://oknesset.org/committee/meeting/14507/</v>
      </c>
    </row>
    <row r="315" ht="15.75" customHeight="1">
      <c r="A315" s="3" t="s">
        <v>181</v>
      </c>
      <c r="B315" s="33" t="str">
        <f>HYPERLINK("https://oknesset.org/committee/meeting/14347/","https://oknesset.org/committee/meeting/14347/")</f>
        <v>https://oknesset.org/committee/meeting/14347/</v>
      </c>
    </row>
    <row r="316" ht="15.75" customHeight="1">
      <c r="A316" s="3" t="s">
        <v>119</v>
      </c>
      <c r="B316" s="28" t="str">
        <f>HYPERLINK("https://oknesset.org/committee/meeting/14348/","https://oknesset.org/committee/meeting/14429/")</f>
        <v>https://oknesset.org/committee/meeting/14429/</v>
      </c>
    </row>
    <row r="317" ht="15.75" customHeight="1">
      <c r="A317" s="3" t="s">
        <v>182</v>
      </c>
      <c r="B317" s="33" t="str">
        <f>HYPERLINK("https://oknesset.org/committee/meeting/14349/","https://oknesset.org/committee/meeting/14349/")</f>
        <v>https://oknesset.org/committee/meeting/14349/</v>
      </c>
    </row>
    <row r="318" ht="15.75" customHeight="1">
      <c r="A318" s="3" t="s">
        <v>120</v>
      </c>
      <c r="B318" s="28" t="str">
        <f>HYPERLINK("https://oknesset.org/committee/meeting/14350/","https://oknesset.org/committee/meeting/14331/")</f>
        <v>https://oknesset.org/committee/meeting/14331/</v>
      </c>
    </row>
    <row r="319" ht="15.75" customHeight="1">
      <c r="A319" s="29"/>
      <c r="B319" s="30" t="str">
        <f>HYPERLINK("https://oknesset.org/committee/meeting/14351/","https://oknesset.org/committee/meeting/14330/")</f>
        <v>https://oknesset.org/committee/meeting/14330/</v>
      </c>
    </row>
    <row r="320" ht="15.75" customHeight="1">
      <c r="A320" s="29"/>
      <c r="B320" s="30" t="str">
        <f>HYPERLINK("https://oknesset.org/committee/meeting/14352/","https://oknesset.org/committee/meeting/14329/")</f>
        <v>https://oknesset.org/committee/meeting/14329/</v>
      </c>
    </row>
    <row r="321" ht="15.75" customHeight="1">
      <c r="A321" s="29"/>
      <c r="B321" s="30" t="str">
        <f>HYPERLINK("https://oknesset.org/committee/meeting/14353/","https://oknesset.org/committee/meeting/14509/")</f>
        <v>https://oknesset.org/committee/meeting/14509/</v>
      </c>
    </row>
    <row r="322" ht="15.75" customHeight="1">
      <c r="A322" s="3" t="s">
        <v>183</v>
      </c>
      <c r="B322" s="33" t="str">
        <f>HYPERLINK("https://oknesset.org/committee/meeting/14354/","https://oknesset.org/committee/meeting/14354/")</f>
        <v>https://oknesset.org/committee/meeting/14354/</v>
      </c>
    </row>
    <row r="323" ht="15.75" customHeight="1">
      <c r="A323" s="3" t="s">
        <v>121</v>
      </c>
      <c r="B323" s="28" t="str">
        <f>HYPERLINK("https://oknesset.org/committee/meeting/14355/","https://oknesset.org/committee/meeting/14436/")</f>
        <v>https://oknesset.org/committee/meeting/14436/</v>
      </c>
    </row>
    <row r="324" ht="15.75" customHeight="1">
      <c r="A324" s="29"/>
      <c r="B324" s="30" t="str">
        <f>HYPERLINK("https://oknesset.org/committee/meeting/14356/","https://oknesset.org/committee/meeting/14435/")</f>
        <v>https://oknesset.org/committee/meeting/14435/</v>
      </c>
    </row>
    <row r="325" ht="15.75" customHeight="1">
      <c r="A325" s="29"/>
      <c r="B325" s="30" t="str">
        <f>HYPERLINK("https://oknesset.org/committee/meeting/14357/","https://oknesset.org/committee/meeting/14434/")</f>
        <v>https://oknesset.org/committee/meeting/14434/</v>
      </c>
    </row>
    <row r="326" ht="15.75" customHeight="1">
      <c r="A326" s="29"/>
      <c r="B326" s="30" t="str">
        <f>HYPERLINK("https://oknesset.org/committee/meeting/14358/","https://oknesset.org/committee/meeting/14433/")</f>
        <v>https://oknesset.org/committee/meeting/14433/</v>
      </c>
    </row>
    <row r="327" ht="15.75" customHeight="1">
      <c r="A327" s="29"/>
      <c r="B327" s="30" t="str">
        <f>HYPERLINK("https://oknesset.org/committee/meeting/14359/","https://oknesset.org/committee/meeting/14432/")</f>
        <v>https://oknesset.org/committee/meeting/14432/</v>
      </c>
    </row>
    <row r="328" ht="15.75" customHeight="1">
      <c r="A328" s="29"/>
      <c r="B328" s="30" t="str">
        <f>HYPERLINK("https://oknesset.org/committee/meeting/14360/","https://oknesset.org/committee/meeting/14430/")</f>
        <v>https://oknesset.org/committee/meeting/14430/</v>
      </c>
    </row>
    <row r="329" ht="15.75" customHeight="1">
      <c r="A329" s="29"/>
      <c r="B329" s="30" t="str">
        <f>HYPERLINK("https://oknesset.org/committee/meeting/14361/","https://oknesset.org/committee/meeting/14431/")</f>
        <v>https://oknesset.org/committee/meeting/14431/</v>
      </c>
    </row>
    <row r="330" ht="15.75" customHeight="1">
      <c r="A330" s="3" t="s">
        <v>184</v>
      </c>
      <c r="B330" s="33" t="str">
        <f>HYPERLINK("https://oknesset.org/committee/meeting/14362/","https://oknesset.org/committee/meeting/14362/")</f>
        <v>https://oknesset.org/committee/meeting/14362/</v>
      </c>
    </row>
    <row r="331" ht="15.75" customHeight="1">
      <c r="A331" s="3" t="s">
        <v>122</v>
      </c>
      <c r="B331" s="28" t="str">
        <f>HYPERLINK("https://oknesset.org/committee/meeting/14363/","https://oknesset.org/committee/meeting/14407/")</f>
        <v>https://oknesset.org/committee/meeting/14407/</v>
      </c>
    </row>
    <row r="332" ht="15.75" customHeight="1">
      <c r="A332" s="3" t="s">
        <v>185</v>
      </c>
      <c r="B332" s="33" t="str">
        <f>HYPERLINK("https://oknesset.org/committee/meeting/14364/","https://oknesset.org/committee/meeting/14364/")</f>
        <v>https://oknesset.org/committee/meeting/14364/</v>
      </c>
    </row>
    <row r="333" ht="15.75" customHeight="1">
      <c r="A333" s="3" t="s">
        <v>123</v>
      </c>
      <c r="B333" s="28" t="str">
        <f>HYPERLINK("https://oknesset.org/committee/meeting/14365/","https://oknesset.org/committee/meeting/14288/")</f>
        <v>https://oknesset.org/committee/meeting/14288/</v>
      </c>
    </row>
    <row r="334" ht="15.75" customHeight="1">
      <c r="A334" s="29"/>
      <c r="B334" s="30" t="str">
        <f>HYPERLINK("https://oknesset.org/committee/meeting/14366/","https://oknesset.org/committee/meeting/14287/")</f>
        <v>https://oknesset.org/committee/meeting/14287/</v>
      </c>
    </row>
    <row r="335" ht="15.75" customHeight="1">
      <c r="A335" s="29"/>
      <c r="B335" s="30" t="str">
        <f>HYPERLINK("https://oknesset.org/committee/meeting/14367/","https://oknesset.org/committee/meeting/14286/")</f>
        <v>https://oknesset.org/committee/meeting/14286/</v>
      </c>
    </row>
    <row r="336" ht="15.75" customHeight="1">
      <c r="A336" s="29"/>
      <c r="B336" s="30" t="str">
        <f>HYPERLINK("https://oknesset.org/committee/meeting/14368/","https://oknesset.org/committee/meeting/14285/")</f>
        <v>https://oknesset.org/committee/meeting/14285/</v>
      </c>
    </row>
    <row r="337" ht="15.75" customHeight="1">
      <c r="A337" s="29"/>
      <c r="B337" s="30" t="str">
        <f>HYPERLINK("https://oknesset.org/committee/meeting/14369/","https://oknesset.org/committee/meeting/14284/")</f>
        <v>https://oknesset.org/committee/meeting/14284/</v>
      </c>
    </row>
    <row r="338" ht="15.75" customHeight="1">
      <c r="A338" s="29"/>
      <c r="B338" s="30" t="str">
        <f>HYPERLINK("https://oknesset.org/committee/meeting/14370/","https://oknesset.org/committee/meeting/14283/")</f>
        <v>https://oknesset.org/committee/meeting/14283/</v>
      </c>
    </row>
    <row r="339" ht="15.75" customHeight="1">
      <c r="A339" s="29"/>
      <c r="B339" s="30" t="str">
        <f>HYPERLINK("https://oknesset.org/committee/meeting/14371/","https://oknesset.org/committee/meeting/14281/")</f>
        <v>https://oknesset.org/committee/meeting/14281/</v>
      </c>
    </row>
    <row r="340" ht="15.75" customHeight="1">
      <c r="A340" s="29"/>
      <c r="B340" s="30" t="str">
        <f>HYPERLINK("https://oknesset.org/committee/meeting/14372/","https://oknesset.org/committee/meeting/14282/")</f>
        <v>https://oknesset.org/committee/meeting/14282/</v>
      </c>
    </row>
    <row r="341" ht="15.75" customHeight="1">
      <c r="A341" s="29"/>
      <c r="B341" s="30" t="str">
        <f>HYPERLINK("https://oknesset.org/committee/meeting/14373/","https://oknesset.org/committee/meeting/14280/")</f>
        <v>https://oknesset.org/committee/meeting/14280/</v>
      </c>
    </row>
    <row r="342" ht="15.75" customHeight="1">
      <c r="A342" s="29"/>
      <c r="B342" s="30" t="str">
        <f>HYPERLINK("https://oknesset.org/committee/meeting/14374/","https://oknesset.org/committee/meeting/14506/")</f>
        <v>https://oknesset.org/committee/meeting/14506/</v>
      </c>
    </row>
    <row r="343" ht="15.75" customHeight="1">
      <c r="A343" s="29"/>
      <c r="B343" s="30" t="str">
        <f>HYPERLINK("https://oknesset.org/committee/meeting/14375/","https://oknesset.org/committee/meeting/14279/")</f>
        <v>https://oknesset.org/committee/meeting/14279/</v>
      </c>
    </row>
    <row r="344" ht="15.75" customHeight="1">
      <c r="A344" s="29"/>
      <c r="B344" s="30" t="str">
        <f>HYPERLINK("https://oknesset.org/committee/meeting/14376/","https://oknesset.org/committee/meeting/14505/")</f>
        <v>https://oknesset.org/committee/meeting/14505/</v>
      </c>
    </row>
    <row r="345" ht="15.75" customHeight="1">
      <c r="A345" s="29"/>
      <c r="B345" s="30" t="str">
        <f>HYPERLINK("https://oknesset.org/committee/meeting/14513/","https://oknesset.org/committee/meeting/14504/")</f>
        <v>https://oknesset.org/committee/meeting/14504/</v>
      </c>
    </row>
    <row r="346" ht="15.75" customHeight="1">
      <c r="A346" s="3" t="s">
        <v>186</v>
      </c>
      <c r="B346" s="33" t="str">
        <f>HYPERLINK("https://oknesset.org/committee/meeting/14514/","https://oknesset.org/committee/meeting/14514/")</f>
        <v>https://oknesset.org/committee/meeting/14514/</v>
      </c>
    </row>
    <row r="347" ht="15.75" customHeight="1">
      <c r="A347" s="3" t="s">
        <v>124</v>
      </c>
      <c r="B347" s="28" t="str">
        <f>HYPERLINK("https://oknesset.org/committee/meeting/14515/","https://oknesset.org/committee/meeting/14175/")</f>
        <v>https://oknesset.org/committee/meeting/14175/</v>
      </c>
    </row>
    <row r="348" ht="15.75" customHeight="1">
      <c r="A348" s="29"/>
      <c r="B348" s="30" t="str">
        <f>HYPERLINK("https://oknesset.org/committee/meeting/14516/","https://oknesset.org/committee/meeting/14174/")</f>
        <v>https://oknesset.org/committee/meeting/14174/</v>
      </c>
    </row>
    <row r="349" ht="15.75" customHeight="1">
      <c r="A349" s="29"/>
      <c r="B349" s="30" t="str">
        <f>HYPERLINK("https://oknesset.org/committee/meeting/14517/","https://oknesset.org/committee/meeting/14173/")</f>
        <v>https://oknesset.org/committee/meeting/14173/</v>
      </c>
    </row>
    <row r="350" ht="15.75" customHeight="1">
      <c r="A350" s="29"/>
      <c r="B350" s="30" t="str">
        <f>HYPERLINK("https://oknesset.org/committee/meeting/14518/","https://oknesset.org/committee/meeting/14172/")</f>
        <v>https://oknesset.org/committee/meeting/14172/</v>
      </c>
    </row>
    <row r="351" ht="15.75" customHeight="1">
      <c r="A351" s="29"/>
      <c r="B351" s="31" t="s">
        <v>187</v>
      </c>
    </row>
    <row r="352" ht="15.75" customHeight="1">
      <c r="A352" s="29"/>
      <c r="B352" s="30" t="str">
        <f>HYPERLINK("https://oknesset.org/committee/meeting/14336/","https://oknesset.org/committee/meeting/14171/")</f>
        <v>https://oknesset.org/committee/meeting/14171/</v>
      </c>
    </row>
    <row r="353" ht="15.75" customHeight="1">
      <c r="A353" s="29"/>
      <c r="B353" s="30" t="str">
        <f>HYPERLINK("https://oknesset.org/committee/meeting/14337/","https://oknesset.org/committee/meeting/14496/")</f>
        <v>https://oknesset.org/committee/meeting/14496/</v>
      </c>
    </row>
    <row r="354" ht="15.75" customHeight="1">
      <c r="A354" s="29"/>
      <c r="B354" s="30" t="str">
        <f>HYPERLINK("https://oknesset.org/committee/meeting/14510/","https://oknesset.org/committee/meeting/14170/")</f>
        <v>https://oknesset.org/committee/meeting/14170/</v>
      </c>
    </row>
    <row r="355" ht="15.75" customHeight="1">
      <c r="A355" s="29"/>
      <c r="B355" s="30" t="str">
        <f>HYPERLINK("https://oknesset.org/committee/meeting/14511/","https://oknesset.org/committee/meeting/14169/")</f>
        <v>https://oknesset.org/committee/meeting/14169/</v>
      </c>
    </row>
    <row r="356" ht="15.75" customHeight="1">
      <c r="A356" s="29"/>
      <c r="B356" s="30" t="str">
        <f>HYPERLINK("https://oknesset.org/committee/meeting/14512/","https://oknesset.org/committee/meeting/14168/")</f>
        <v>https://oknesset.org/committee/meeting/14168/</v>
      </c>
    </row>
    <row r="357" ht="15.75" customHeight="1">
      <c r="A357" s="29"/>
      <c r="B357" s="30" t="str">
        <f>HYPERLINK("https://oknesset.org/committee/meeting/14521/","https://oknesset.org/committee/meeting/14495/")</f>
        <v>https://oknesset.org/committee/meeting/14495/</v>
      </c>
    </row>
    <row r="358" ht="15.75" customHeight="1">
      <c r="A358" s="3" t="s">
        <v>188</v>
      </c>
      <c r="B358" s="32"/>
    </row>
    <row r="359" ht="15.75" customHeight="1">
      <c r="A359" s="3" t="s">
        <v>125</v>
      </c>
      <c r="B359" s="28" t="str">
        <f>HYPERLINK("https://oknesset.org/committee/meeting/14176/","https://oknesset.org/committee/meeting/14402/")</f>
        <v>https://oknesset.org/committee/meeting/14402/</v>
      </c>
    </row>
    <row r="360" ht="15.75" customHeight="1">
      <c r="A360" s="29"/>
      <c r="B360" s="30" t="str">
        <f>HYPERLINK("https://oknesset.org/committee/meeting/14177/","https://oknesset.org/committee/meeting/14401/")</f>
        <v>https://oknesset.org/committee/meeting/14401/</v>
      </c>
    </row>
    <row r="361" ht="15.75" customHeight="1">
      <c r="A361" s="3" t="s">
        <v>189</v>
      </c>
      <c r="B361" s="33" t="str">
        <f>HYPERLINK("https://oknesset.org/committee/meeting/14178/","https://oknesset.org/committee/meeting/14178/")</f>
        <v>https://oknesset.org/committee/meeting/14178/</v>
      </c>
    </row>
    <row r="362" ht="15.75" customHeight="1">
      <c r="A362" s="3" t="s">
        <v>126</v>
      </c>
      <c r="B362" s="28" t="str">
        <f>HYPERLINK("https://oknesset.org/committee/meeting/14179/","https://oknesset.org/committee/meeting/14316/")</f>
        <v>https://oknesset.org/committee/meeting/14316/</v>
      </c>
    </row>
    <row r="363" ht="15.75" customHeight="1">
      <c r="A363" s="3" t="s">
        <v>190</v>
      </c>
      <c r="B363" s="33" t="str">
        <f>HYPERLINK("https://oknesset.org/committee/meeting/14180/","https://oknesset.org/committee/meeting/14180/")</f>
        <v>https://oknesset.org/committee/meeting/14180/</v>
      </c>
    </row>
    <row r="364" ht="15.75" customHeight="1">
      <c r="A364" s="3" t="s">
        <v>127</v>
      </c>
      <c r="B364" s="28" t="str">
        <f>HYPERLINK("https://oknesset.org/committee/meeting/14181/","https://oknesset.org/committee/meeting/14405/")</f>
        <v>https://oknesset.org/committee/meeting/14405/</v>
      </c>
    </row>
    <row r="365" ht="15.75" customHeight="1">
      <c r="A365" s="29"/>
      <c r="B365" s="30" t="str">
        <f>HYPERLINK("https://oknesset.org/committee/meeting/14182/","https://oknesset.org/committee/meeting/14404/")</f>
        <v>https://oknesset.org/committee/meeting/14404/</v>
      </c>
    </row>
    <row r="366" ht="15.75" customHeight="1">
      <c r="A366" s="29"/>
      <c r="B366" s="30" t="str">
        <f>HYPERLINK("https://oknesset.org/committee/meeting/14183/","https://oknesset.org/committee/meeting/14519/")</f>
        <v>https://oknesset.org/committee/meeting/14519/</v>
      </c>
    </row>
    <row r="367" ht="15.75" customHeight="1">
      <c r="A367" s="29"/>
      <c r="B367" s="30" t="str">
        <f>HYPERLINK("https://oknesset.org/committee/meeting/14184/","https://oknesset.org/committee/meeting/14522/")</f>
        <v>https://oknesset.org/committee/meeting/14522/</v>
      </c>
    </row>
    <row r="368" ht="15.75" customHeight="1">
      <c r="A368" s="3" t="s">
        <v>191</v>
      </c>
      <c r="B368" s="33" t="str">
        <f>HYPERLINK("https://oknesset.org/committee/meeting/14185/","https://oknesset.org/committee/meeting/14185/")</f>
        <v>https://oknesset.org/committee/meeting/14185/</v>
      </c>
    </row>
    <row r="369" ht="15.75" customHeight="1">
      <c r="A369" s="3" t="s">
        <v>128</v>
      </c>
      <c r="B369" s="28" t="str">
        <f>HYPERLINK("https://oknesset.org/committee/meeting/14186/","https://oknesset.org/committee/meeting/14324/")</f>
        <v>https://oknesset.org/committee/meeting/14324/</v>
      </c>
    </row>
    <row r="370" ht="15.75" customHeight="1">
      <c r="A370" s="29"/>
      <c r="B370" s="30" t="str">
        <f>HYPERLINK("https://oknesset.org/committee/meeting/14187/","https://oknesset.org/committee/meeting/14323/")</f>
        <v>https://oknesset.org/committee/meeting/14323/</v>
      </c>
    </row>
    <row r="371" ht="15.75" customHeight="1">
      <c r="A371" s="29"/>
      <c r="B371" s="30" t="str">
        <f>HYPERLINK("https://oknesset.org/committee/meeting/14188/","https://oknesset.org/committee/meeting/14322/")</f>
        <v>https://oknesset.org/committee/meeting/14322/</v>
      </c>
    </row>
    <row r="372" ht="15.75" customHeight="1">
      <c r="A372" s="29"/>
      <c r="B372" s="30" t="str">
        <f>HYPERLINK("https://oknesset.org/committee/meeting/14189/","https://oknesset.org/committee/meeting/14508/")</f>
        <v>https://oknesset.org/committee/meeting/14508/</v>
      </c>
    </row>
    <row r="373" ht="15.75" customHeight="1">
      <c r="A373" s="29"/>
      <c r="B373" s="30" t="str">
        <f>HYPERLINK("https://oknesset.org/committee/meeting/14190/","https://oknesset.org/committee/meeting/14321/")</f>
        <v>https://oknesset.org/committee/meeting/14321/</v>
      </c>
    </row>
    <row r="374" ht="15.75" customHeight="1">
      <c r="A374" s="29"/>
      <c r="B374" s="30" t="str">
        <f>HYPERLINK("https://oknesset.org/committee/meeting/14191/","https://oknesset.org/committee/meeting/14320/")</f>
        <v>https://oknesset.org/committee/meeting/14320/</v>
      </c>
    </row>
    <row r="375" ht="15.75" customHeight="1">
      <c r="A375" s="3" t="s">
        <v>192</v>
      </c>
      <c r="B375" s="33" t="str">
        <f>HYPERLINK("https://oknesset.org/committee/meeting/14192/","https://oknesset.org/committee/meeting/14192/")</f>
        <v>https://oknesset.org/committee/meeting/14192/</v>
      </c>
    </row>
    <row r="376" ht="15.75" customHeight="1">
      <c r="A376" s="3" t="s">
        <v>129</v>
      </c>
      <c r="B376" s="28" t="str">
        <f>HYPERLINK("https://oknesset.org/committee/meeting/14193/","https://oknesset.org/committee/meeting/14335/")</f>
        <v>https://oknesset.org/committee/meeting/14335/</v>
      </c>
    </row>
    <row r="377" ht="15.75" customHeight="1">
      <c r="A377" s="29"/>
      <c r="B377" s="30" t="str">
        <f>HYPERLINK("https://oknesset.org/committee/meeting/14194/","https://oknesset.org/committee/meeting/14334/")</f>
        <v>https://oknesset.org/committee/meeting/14334/</v>
      </c>
    </row>
    <row r="378" ht="15.75" customHeight="1">
      <c r="A378" s="29"/>
      <c r="B378" s="30" t="str">
        <f>HYPERLINK("https://oknesset.org/committee/meeting/14195/","https://oknesset.org/committee/meeting/14333/")</f>
        <v>https://oknesset.org/committee/meeting/14333/</v>
      </c>
    </row>
    <row r="379" ht="15.75" customHeight="1">
      <c r="A379" s="3" t="s">
        <v>193</v>
      </c>
      <c r="B379" s="33" t="str">
        <f>HYPERLINK("https://oknesset.org/committee/meeting/14196/","https://oknesset.org/committee/meeting/14196/")</f>
        <v>https://oknesset.org/committee/meeting/14196/</v>
      </c>
    </row>
    <row r="380" ht="15.75" customHeight="1">
      <c r="A380" s="3" t="s">
        <v>130</v>
      </c>
      <c r="B380" s="28" t="str">
        <f>HYPERLINK("https://oknesset.org/committee/meeting/14197/","https://oknesset.org/committee/meeting/14426/")</f>
        <v>https://oknesset.org/committee/meeting/14426/</v>
      </c>
    </row>
    <row r="381" ht="15.75" customHeight="1">
      <c r="A381" s="29"/>
      <c r="B381" s="30" t="str">
        <f>HYPERLINK("https://oknesset.org/committee/meeting/14198/","https://oknesset.org/committee/meeting/14425/")</f>
        <v>https://oknesset.org/committee/meeting/14425/</v>
      </c>
    </row>
    <row r="382" ht="15.75" customHeight="1">
      <c r="A382" s="3" t="s">
        <v>194</v>
      </c>
      <c r="B382" s="33" t="str">
        <f>HYPERLINK("https://oknesset.org/committee/meeting/14199/","https://oknesset.org/committee/meeting/14199/")</f>
        <v>https://oknesset.org/committee/meeting/14199/</v>
      </c>
    </row>
    <row r="383" ht="15.75" customHeight="1">
      <c r="A383" s="3" t="s">
        <v>131</v>
      </c>
      <c r="B383" s="28" t="str">
        <f>HYPERLINK("https://oknesset.org/committee/meeting/14200/","https://oknesset.org/committee/meeting/14408/")</f>
        <v>https://oknesset.org/committee/meeting/14408/</v>
      </c>
    </row>
    <row r="384" ht="15.75" customHeight="1">
      <c r="A384" s="3" t="s">
        <v>195</v>
      </c>
      <c r="B384" s="33" t="str">
        <f>HYPERLINK("https://oknesset.org/committee/meeting/14201/","https://oknesset.org/committee/meeting/14201/")</f>
        <v>https://oknesset.org/committee/meeting/14201/</v>
      </c>
    </row>
    <row r="385" ht="15.75" customHeight="1">
      <c r="A385" s="3" t="s">
        <v>132</v>
      </c>
      <c r="B385" s="28" t="str">
        <f>HYPERLINK("https://oknesset.org/committee/meeting/14202/","https://oknesset.org/committee/meeting/14337/")</f>
        <v>https://oknesset.org/committee/meeting/14337/</v>
      </c>
    </row>
    <row r="386" ht="15.75" customHeight="1">
      <c r="A386" s="29"/>
      <c r="B386" s="30" t="str">
        <f>HYPERLINK("https://oknesset.org/committee/meeting/14203/","https://oknesset.org/committee/meeting/14336/")</f>
        <v>https://oknesset.org/committee/meeting/14336/</v>
      </c>
    </row>
    <row r="387" ht="15.75" customHeight="1">
      <c r="A387" s="29"/>
      <c r="B387" s="30" t="str">
        <f>HYPERLINK("https://oknesset.org/committee/meeting/14204/","https://oknesset.org/committee/meeting/14521/")</f>
        <v>https://oknesset.org/committee/meeting/14521/</v>
      </c>
    </row>
    <row r="388" ht="15.75" customHeight="1">
      <c r="A388" s="29"/>
      <c r="B388" s="30" t="str">
        <f>HYPERLINK("https://oknesset.org/committee/meeting/14498/","https://oknesset.org/committee/meeting/14512/")</f>
        <v>https://oknesset.org/committee/meeting/14512/</v>
      </c>
    </row>
    <row r="389" ht="15.75" customHeight="1">
      <c r="A389" s="29"/>
      <c r="B389" s="30" t="str">
        <f>HYPERLINK("https://oknesset.org/committee/meeting/14499/","https://oknesset.org/committee/meeting/14511/")</f>
        <v>https://oknesset.org/committee/meeting/14511/</v>
      </c>
    </row>
    <row r="390" ht="15.75" customHeight="1">
      <c r="A390" s="29"/>
      <c r="B390" s="30" t="str">
        <f>HYPERLINK("https://oknesset.org/committee/meeting/14500/","https://oknesset.org/committee/meeting/14510/")</f>
        <v>https://oknesset.org/committee/meeting/14510/</v>
      </c>
    </row>
    <row r="391" ht="15.75" customHeight="1">
      <c r="A391" s="3" t="s">
        <v>196</v>
      </c>
      <c r="B391" s="32"/>
    </row>
    <row r="392" ht="15.75" customHeight="1">
      <c r="A392" s="3" t="s">
        <v>133</v>
      </c>
      <c r="B392" s="28" t="str">
        <f>HYPERLINK("https://oknesset.org/committee/meeting/14427/","https://oknesset.org/committee/meeting/14396/")</f>
        <v>https://oknesset.org/committee/meeting/14396/</v>
      </c>
    </row>
    <row r="393" ht="15.75" customHeight="1">
      <c r="A393" s="3" t="s">
        <v>197</v>
      </c>
      <c r="B393" s="33" t="str">
        <f>HYPERLINK("https://oknesset.org/committee/meeting/14428/","https://oknesset.org/committee/meeting/14428/")</f>
        <v>https://oknesset.org/committee/meeting/14428/</v>
      </c>
    </row>
    <row r="394" ht="15.75" customHeight="1">
      <c r="A394" s="3" t="s">
        <v>134</v>
      </c>
      <c r="B394" s="34" t="s">
        <v>198</v>
      </c>
    </row>
    <row r="395" ht="15.75" customHeight="1">
      <c r="A395" s="3" t="s">
        <v>199</v>
      </c>
      <c r="B395" s="33" t="str">
        <f>HYPERLINK("https://oknesset.org/committee/meeting/14397/","https://oknesset.org/committee/meeting/14397/")</f>
        <v>https://oknesset.org/committee/meeting/14397/</v>
      </c>
    </row>
    <row r="396" ht="15.75" customHeight="1">
      <c r="A396" s="3" t="s">
        <v>135</v>
      </c>
      <c r="B396" s="28" t="str">
        <f>HYPERLINK("https://oknesset.org/committee/meeting/14398/","https://oknesset.org/committee/meeting/14437/")</f>
        <v>https://oknesset.org/committee/meeting/14437/</v>
      </c>
    </row>
    <row r="397" ht="15.75" customHeight="1">
      <c r="A397" s="3" t="s">
        <v>200</v>
      </c>
      <c r="B397" s="33" t="str">
        <f>HYPERLINK("https://oknesset.org/committee/meeting/14399/","https://oknesset.org/committee/meeting/14399/")</f>
        <v>https://oknesset.org/committee/meeting/14399/</v>
      </c>
    </row>
    <row r="398" ht="15.75" customHeight="1">
      <c r="A398" s="3" t="s">
        <v>136</v>
      </c>
      <c r="B398" s="34" t="s">
        <v>201</v>
      </c>
    </row>
    <row r="399" ht="15.75" customHeight="1">
      <c r="A399" s="29"/>
      <c r="B399" s="30" t="str">
        <f>HYPERLINK("https://oknesset.org/committee/meeting/14401/","https://oknesset.org/committee/meeting/14422/")</f>
        <v>https://oknesset.org/committee/meeting/14422/</v>
      </c>
    </row>
    <row r="400" ht="15.75" customHeight="1">
      <c r="A400" s="29"/>
      <c r="B400" s="30" t="str">
        <f>HYPERLINK("https://oknesset.org/committee/meeting/14402/","https://oknesset.org/committee/meeting/14421/")</f>
        <v>https://oknesset.org/committee/meeting/14421/</v>
      </c>
    </row>
    <row r="401" ht="15.75" customHeight="1">
      <c r="A401" s="3" t="s">
        <v>202</v>
      </c>
      <c r="B401" s="32"/>
    </row>
    <row r="402" ht="15.75" customHeight="1">
      <c r="A402" s="3" t="s">
        <v>137</v>
      </c>
      <c r="B402" s="28" t="str">
        <f>HYPERLINK("https://oknesset.org/committee/meeting/14400/","https://oknesset.org/committee/meeting/14400/")</f>
        <v>https://oknesset.org/committee/meeting/14400/</v>
      </c>
    </row>
    <row r="403" ht="15.75" customHeight="1">
      <c r="A403" s="3" t="s">
        <v>203</v>
      </c>
      <c r="B403" s="32"/>
    </row>
    <row r="404" ht="15.75" customHeight="1">
      <c r="A404" s="6" t="s">
        <v>106</v>
      </c>
      <c r="B404" s="35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drawing r:id="rId1"/>
</worksheet>
</file>