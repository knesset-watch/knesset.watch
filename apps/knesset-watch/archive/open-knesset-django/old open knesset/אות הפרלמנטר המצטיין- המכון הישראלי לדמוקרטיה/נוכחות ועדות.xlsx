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ועדת הכנסת" sheetId="1" r:id="rId4"/>
    <sheet state="visible" name="כספים" sheetId="2" r:id="rId5"/>
    <sheet state="visible" name="כלכלה" sheetId="3" r:id="rId6"/>
    <sheet state="visible" name="פנים ואיכ&quot;ס" sheetId="4" r:id="rId7"/>
    <sheet state="visible" name="חוקה חוק ומשפט" sheetId="5" r:id="rId8"/>
    <sheet state="visible" name="חינוך" sheetId="6" r:id="rId9"/>
    <sheet state="visible" name="ביקורת המדינה" sheetId="7" r:id="rId10"/>
    <sheet state="visible" name="קידום מעמד האישה" sheetId="8" r:id="rId11"/>
    <sheet state="visible" name="מאבק בנגע הסמים" sheetId="9" r:id="rId12"/>
    <sheet state="visible" name="מדע וטכנולוגיה" sheetId="10" r:id="rId13"/>
    <sheet state="visible" name="בעיית העובדים הזרים" sheetId="11" r:id="rId14"/>
    <sheet state="visible" name="פניות הציבור" sheetId="12" r:id="rId15"/>
    <sheet state="visible" name="זכויות הילד" sheetId="13" r:id="rId16"/>
    <sheet state="visible" name="עלייה" sheetId="14" r:id="rId17"/>
    <sheet state="visible" name="עבודה" sheetId="15" r:id="rId18"/>
    <sheet state="visible" name="חוץ ובטחון" sheetId="16" r:id="rId19"/>
  </sheets>
  <definedNames/>
  <calcPr/>
</workbook>
</file>

<file path=xl/sharedStrings.xml><?xml version="1.0" encoding="utf-8"?>
<sst xmlns="http://schemas.openxmlformats.org/spreadsheetml/2006/main" count="3499" uniqueCount="490">
  <si>
    <t>תאריך</t>
  </si>
  <si>
    <t>מס' פרוטוקול</t>
  </si>
  <si>
    <t>יריב לוין</t>
  </si>
  <si>
    <t>דורון אביטל</t>
  </si>
  <si>
    <t>נינו אבסדזה</t>
  </si>
  <si>
    <t>רוחמה אברהם בלילא</t>
  </si>
  <si>
    <t>עפו אגבאריה</t>
  </si>
  <si>
    <t>רחל אדטו</t>
  </si>
  <si>
    <t>יעקב אדרי</t>
  </si>
  <si>
    <t>אורי אורבך</t>
  </si>
  <si>
    <t>חיים אורון</t>
  </si>
  <si>
    <t>זבולון אורלב</t>
  </si>
  <si>
    <t>דוד אזולאי</t>
  </si>
  <si>
    <t>רוברט אילטוב</t>
  </si>
  <si>
    <t>ישראל אייכלר</t>
  </si>
  <si>
    <t>אריה אלדד</t>
  </si>
  <si>
    <t>טלב אלסאנע</t>
  </si>
  <si>
    <t>זאב אלקין</t>
  </si>
  <si>
    <t>אלי אפללו</t>
  </si>
  <si>
    <t>אופיר אקוניס</t>
  </si>
  <si>
    <t>אורי אריאל</t>
  </si>
  <si>
    <t>אריה ביבי</t>
  </si>
  <si>
    <t>זאב בילסקי</t>
  </si>
  <si>
    <t>מיכאל בן ארי</t>
  </si>
  <si>
    <t>דניאל בן סימון</t>
  </si>
  <si>
    <t>מוחמד ברכה</t>
  </si>
  <si>
    <t>אילן גילאון</t>
  </si>
  <si>
    <t>מסעוד גנאים</t>
  </si>
  <si>
    <t>משה גפני</t>
  </si>
  <si>
    <t>דני דנון</t>
  </si>
  <si>
    <t>ניצן הורוביץ</t>
  </si>
  <si>
    <t>מגלי והבה</t>
  </si>
  <si>
    <t>עינת וילף</t>
  </si>
  <si>
    <t>יצחק וקנין</t>
  </si>
  <si>
    <t>נסים זאב</t>
  </si>
  <si>
    <t>אורית זוארץ</t>
  </si>
  <si>
    <t>ג'מרל זחאלקה</t>
  </si>
  <si>
    <t>ציפי חוטובלי</t>
  </si>
  <si>
    <t>דב חנין</t>
  </si>
  <si>
    <t>יואל חסון</t>
  </si>
  <si>
    <t>ישראל חסון</t>
  </si>
  <si>
    <t>רוברט טבייב</t>
  </si>
  <si>
    <t>אחמד טיבי</t>
  </si>
  <si>
    <t>שלי יחימוביץ'</t>
  </si>
  <si>
    <t>איתן כבל (ממ)</t>
  </si>
  <si>
    <t>אמנון כהן</t>
  </si>
  <si>
    <t>יעקב כ"ץ</t>
  </si>
  <si>
    <t>גאלב מג'אדלה</t>
  </si>
  <si>
    <t>שלמה מולה</t>
  </si>
  <si>
    <t>מנחם אליעזר מוזס</t>
  </si>
  <si>
    <t>משה מטלון</t>
  </si>
  <si>
    <t>אברהם מיכאלי</t>
  </si>
  <si>
    <t>אנסטסיה מיכאלי</t>
  </si>
  <si>
    <t>אלכס מילר</t>
  </si>
  <si>
    <t>אורי מקלב</t>
  </si>
  <si>
    <t>חנא סוייד</t>
  </si>
  <si>
    <t>חמד עמאר</t>
  </si>
  <si>
    <t>ציון פיניאן</t>
  </si>
  <si>
    <t>יוחנן פלסנר</t>
  </si>
  <si>
    <t>עמיר פרץ</t>
  </si>
  <si>
    <t>פאינה קירשנבאום</t>
  </si>
  <si>
    <t>מירי רגב</t>
  </si>
  <si>
    <t>דוד רותם</t>
  </si>
  <si>
    <t>כרמל שאמה</t>
  </si>
  <si>
    <t>מאיר שטרית</t>
  </si>
  <si>
    <t>נחמן שי</t>
  </si>
  <si>
    <t>יוליה שמאלוב-ברקוביץ</t>
  </si>
  <si>
    <t>ליה שמטוב</t>
  </si>
  <si>
    <t>עתניאל שנלר</t>
  </si>
  <si>
    <t>רונית תירוש</t>
  </si>
  <si>
    <t>ישיבות סה"כ</t>
  </si>
  <si>
    <t>ישיבות ראשי</t>
  </si>
  <si>
    <t>נוכחות סה"כ</t>
  </si>
  <si>
    <t>נוכחות ראשי</t>
  </si>
  <si>
    <t>אחוזי נוכחות ראשי</t>
  </si>
  <si>
    <t>11.10.10</t>
  </si>
  <si>
    <t>18.10.10</t>
  </si>
  <si>
    <t>19.10.10</t>
  </si>
  <si>
    <t>20.10.10</t>
  </si>
  <si>
    <t>25.10.10</t>
  </si>
  <si>
    <t>26.10.10</t>
  </si>
  <si>
    <t>31.10.10</t>
  </si>
  <si>
    <t>1.11.10</t>
  </si>
  <si>
    <t>2.11.10</t>
  </si>
  <si>
    <t>9.11.10</t>
  </si>
  <si>
    <t>10.11.10</t>
  </si>
  <si>
    <t>15.11.10</t>
  </si>
  <si>
    <t>16.11.10</t>
  </si>
  <si>
    <t>22.11.10</t>
  </si>
  <si>
    <t>23.11.10</t>
  </si>
  <si>
    <t>30.11.10</t>
  </si>
  <si>
    <t>1.12.10</t>
  </si>
  <si>
    <t>6.12.10</t>
  </si>
  <si>
    <t>7.12.10</t>
  </si>
  <si>
    <t>13.12.10</t>
  </si>
  <si>
    <t>14.12.10</t>
  </si>
  <si>
    <t>20.12.10</t>
  </si>
  <si>
    <t>22.12.10</t>
  </si>
  <si>
    <t>27.12.10</t>
  </si>
  <si>
    <t>28.12.10</t>
  </si>
  <si>
    <t>3.1.11</t>
  </si>
  <si>
    <t>4.1.11</t>
  </si>
  <si>
    <t>5.1.11</t>
  </si>
  <si>
    <t>17.1.11</t>
  </si>
  <si>
    <t>18.1.11</t>
  </si>
  <si>
    <t>25.1.11</t>
  </si>
  <si>
    <t>1.2.11</t>
  </si>
  <si>
    <t>2.2.11</t>
  </si>
  <si>
    <t>8.2.11</t>
  </si>
  <si>
    <t>9.2.11</t>
  </si>
  <si>
    <t>14.2.11</t>
  </si>
  <si>
    <t>15.2.11</t>
  </si>
  <si>
    <t>21.2.11</t>
  </si>
  <si>
    <t>22.2.11</t>
  </si>
  <si>
    <t>23.2.11</t>
  </si>
  <si>
    <t>1.3.11</t>
  </si>
  <si>
    <t>7.3.11</t>
  </si>
  <si>
    <t>8.3.11</t>
  </si>
  <si>
    <t>14.3.11</t>
  </si>
  <si>
    <t>15.3.11</t>
  </si>
  <si>
    <t>22.3.11</t>
  </si>
  <si>
    <t>23.3.11</t>
  </si>
  <si>
    <t>28.3.11</t>
  </si>
  <si>
    <t>29.3.11</t>
  </si>
  <si>
    <t>30.3.11</t>
  </si>
  <si>
    <t>13.4.11</t>
  </si>
  <si>
    <t>27.4.11</t>
  </si>
  <si>
    <t>16.5.11</t>
  </si>
  <si>
    <t>17.5.11</t>
  </si>
  <si>
    <t>24.5.11</t>
  </si>
  <si>
    <t>31.5.11</t>
  </si>
  <si>
    <t>6.6.11</t>
  </si>
  <si>
    <t>13.6.11</t>
  </si>
  <si>
    <t>15.6.11</t>
  </si>
  <si>
    <t>22.6.11</t>
  </si>
  <si>
    <t>27.6.11</t>
  </si>
  <si>
    <t>11.7.11</t>
  </si>
  <si>
    <t>18.7.11</t>
  </si>
  <si>
    <t>1.8.11</t>
  </si>
  <si>
    <t>1 משותף לכלכלה</t>
  </si>
  <si>
    <t>14 ועדת משנה לגיבוש כללי אתיקה</t>
  </si>
  <si>
    <t>15 ועדת משנה לגיבוש כללי אתיקה</t>
  </si>
  <si>
    <t>16 ועדת משנה לגיבוש כללי אתיקה</t>
  </si>
  <si>
    <t>17 ועדת משנה לגיבוש כללי אתיקה</t>
  </si>
  <si>
    <t>18 ועדת משנה לגיבוש כללי אתיקה</t>
  </si>
  <si>
    <t>2 משותף לעבודה</t>
  </si>
  <si>
    <t>11.1.11</t>
  </si>
  <si>
    <t>20 ועדת משנה לגיבוש כללי אתיקה</t>
  </si>
  <si>
    <t>3 משותפת לכספים</t>
  </si>
  <si>
    <t>24.11.10</t>
  </si>
  <si>
    <t>4 משותף לכספים</t>
  </si>
  <si>
    <t>5 משותף לכספים</t>
  </si>
  <si>
    <t>29.6.11</t>
  </si>
  <si>
    <t>הצוות לבחינת תנאי עבודת חברי הכנסת 1</t>
  </si>
  <si>
    <t>20.6.11</t>
  </si>
  <si>
    <t>משותפת לכספים, לתקציב הכנסת 6</t>
  </si>
  <si>
    <t>פרוטוקול</t>
  </si>
  <si>
    <t>רוחמה אברהם</t>
  </si>
  <si>
    <t>עפו אגבריה</t>
  </si>
  <si>
    <t>חיים אמסלם</t>
  </si>
  <si>
    <t>רוני בר און</t>
  </si>
  <si>
    <t>זהבה גלאון</t>
  </si>
  <si>
    <t>חנין זועבי</t>
  </si>
  <si>
    <t>ג'מאל זחאלקה</t>
  </si>
  <si>
    <t>שי חרמש</t>
  </si>
  <si>
    <t>רוברט טיבייב</t>
  </si>
  <si>
    <t>שלי יחימוביץ</t>
  </si>
  <si>
    <t>איתן כבל</t>
  </si>
  <si>
    <t>חיים כץ</t>
  </si>
  <si>
    <t>יעקב כץ</t>
  </si>
  <si>
    <t>אורלי לוי אבקסיס</t>
  </si>
  <si>
    <t>ראלב מג'אדלה</t>
  </si>
  <si>
    <t>סעיד נפאע</t>
  </si>
  <si>
    <t>מרינה סולודקין</t>
  </si>
  <si>
    <t>סה"כ ישיבות</t>
  </si>
  <si>
    <t>13.10.10</t>
  </si>
  <si>
    <t>8.11.10</t>
  </si>
  <si>
    <t>14.11.10</t>
  </si>
  <si>
    <t>28.11.10</t>
  </si>
  <si>
    <t>21.12.10</t>
  </si>
  <si>
    <t>10.1.11</t>
  </si>
  <si>
    <t>24.1.11</t>
  </si>
  <si>
    <t>-</t>
  </si>
  <si>
    <t>1.6.11</t>
  </si>
  <si>
    <t>10.3.11</t>
  </si>
  <si>
    <t>10.4.11</t>
  </si>
  <si>
    <t>11.5.11</t>
  </si>
  <si>
    <t>12.1.11</t>
  </si>
  <si>
    <t>12.10.10</t>
  </si>
  <si>
    <t>12.12.10</t>
  </si>
  <si>
    <t>12.7.11</t>
  </si>
  <si>
    <t>13.2.11</t>
  </si>
  <si>
    <t>13.3.11</t>
  </si>
  <si>
    <t>13.7.11</t>
  </si>
  <si>
    <t>14.6.11</t>
  </si>
  <si>
    <t>15.12.10</t>
  </si>
  <si>
    <t>16.2.11</t>
  </si>
  <si>
    <t>16.3.11</t>
  </si>
  <si>
    <t>17.11.10</t>
  </si>
  <si>
    <t>18.11.10</t>
  </si>
  <si>
    <t>18.5.11</t>
  </si>
  <si>
    <t>19.1.11</t>
  </si>
  <si>
    <t>2.12.10</t>
  </si>
  <si>
    <t>2.3.11</t>
  </si>
  <si>
    <t>2.8.11</t>
  </si>
  <si>
    <t>21.6.11</t>
  </si>
  <si>
    <t>23.5.11</t>
  </si>
  <si>
    <t>25.11.10</t>
  </si>
  <si>
    <t>25.5.11</t>
  </si>
  <si>
    <t>26.1.11</t>
  </si>
  <si>
    <t>27.10.10</t>
  </si>
  <si>
    <t>28.2.11</t>
  </si>
  <si>
    <t>29.11.10</t>
  </si>
  <si>
    <t>29.12.10</t>
  </si>
  <si>
    <t>3.11.10</t>
  </si>
  <si>
    <t>3.5.11</t>
  </si>
  <si>
    <t>30.5.11</t>
  </si>
  <si>
    <t>31.1.11</t>
  </si>
  <si>
    <t>4.7.11</t>
  </si>
  <si>
    <t>5.7.11</t>
  </si>
  <si>
    <t>6.7.11</t>
  </si>
  <si>
    <t>7.2.11</t>
  </si>
  <si>
    <t>8.12.10</t>
  </si>
  <si>
    <t>9.3.11</t>
  </si>
  <si>
    <t>1 ועדת משנה לקידום תעסוקה ותעשייה</t>
  </si>
  <si>
    <t>6.2.11</t>
  </si>
  <si>
    <t>1 משותפת לחוק חוקה ומשפט</t>
  </si>
  <si>
    <t>10 ועדת משנה לביטוח</t>
  </si>
  <si>
    <t>2 ועדת משנה לקידום תעסוקה ותעשייה</t>
  </si>
  <si>
    <t>27.2.11</t>
  </si>
  <si>
    <t>2 משותפת לחוקה חוק ומשפט</t>
  </si>
  <si>
    <t>3 ועדת משנה לפנסיה</t>
  </si>
  <si>
    <t>6.3.11</t>
  </si>
  <si>
    <t>3 משותפת לחוקה חוק ומשפט</t>
  </si>
  <si>
    <t>26.12.10</t>
  </si>
  <si>
    <t>6 משותפת  לחוקה לנכסי נספי שואה</t>
  </si>
  <si>
    <t>9 ועדת משנה לביטוח</t>
  </si>
  <si>
    <t>28.6.11</t>
  </si>
  <si>
    <t>ועדת משנה לביטוח 12</t>
  </si>
  <si>
    <t>ועדת משנה לביטוח 13</t>
  </si>
  <si>
    <t>ועדת משנה לעסקים קטנים ובינוניים 5</t>
  </si>
  <si>
    <t>ועדת משנה לעסקים קטנים ובינוניים 6</t>
  </si>
  <si>
    <t>ועדת משנה לפריפריה 12</t>
  </si>
  <si>
    <t>ישיבת משנה לביטוח</t>
  </si>
  <si>
    <t>דליה איציק</t>
  </si>
  <si>
    <t>אפי איתם</t>
  </si>
  <si>
    <t>אבישי ברוורמן</t>
  </si>
  <si>
    <t>אורלי לוי אבוקסיס</t>
  </si>
  <si>
    <t>משה מוץ מטלון</t>
  </si>
  <si>
    <t>גדעון עזרא</t>
  </si>
  <si>
    <t>יוליה שמאלוב</t>
  </si>
  <si>
    <t>14.10.10</t>
  </si>
  <si>
    <t>9.12.10</t>
  </si>
  <si>
    <t>13.1.11</t>
  </si>
  <si>
    <t>3.2.11</t>
  </si>
  <si>
    <t>29.5.11</t>
  </si>
  <si>
    <t>5.6.11</t>
  </si>
  <si>
    <t>19.6.11</t>
  </si>
  <si>
    <t>14.7.11</t>
  </si>
  <si>
    <t>20.7.11</t>
  </si>
  <si>
    <t>25.7.11</t>
  </si>
  <si>
    <t>26.7.11</t>
  </si>
  <si>
    <t>3.8.11</t>
  </si>
  <si>
    <t>1 ועדת המשנה למאבק בתאונות הדרכים</t>
  </si>
  <si>
    <t>1 משותפת לחינוך, הצעת חוק רשות השידור</t>
  </si>
  <si>
    <t>10 משותפת לפנים, הצעת חוק התכנון והבנייה</t>
  </si>
  <si>
    <t>11 משותפת לפנים, הצעת חוק התכנון והבנייה</t>
  </si>
  <si>
    <t>12 משותפת לפנים, הצעת חוק התכנון והבנייה</t>
  </si>
  <si>
    <t>23.12.10</t>
  </si>
  <si>
    <t>13 משותפת לפנים, הצעת חוק התכנון והבנייה</t>
  </si>
  <si>
    <t>14 משותפת לפנים, הצעת חוק התכנון והבנייה</t>
  </si>
  <si>
    <t>15 משותפת לפנים, הצעת חוק התכנון והבנייה</t>
  </si>
  <si>
    <t>16 משותפת לפנים, הצעת חוק התכנון והבנייה</t>
  </si>
  <si>
    <t>17 משותפת לפנים, הצעת חוק התכנון והבנייה</t>
  </si>
  <si>
    <t>18 משותפת לפנים, הצעת חוק התכנון והבנייה</t>
  </si>
  <si>
    <t>19 משותפת לפנים, הצעת חוק התכנון והבנייה</t>
  </si>
  <si>
    <t>2 משותפת לחינוך</t>
  </si>
  <si>
    <t>20 משותפת לפנים, הצעת חוק התכנון והבנייה</t>
  </si>
  <si>
    <t>21 משותפת לפנים</t>
  </si>
  <si>
    <t>22 משותפת לפנים, הצעת חוק התכנון והבניה</t>
  </si>
  <si>
    <t>23 משותפת לפנים, הצעת חוק התכנון והבנייה</t>
  </si>
  <si>
    <t>24 משותפת לפנים, הצעת חוק התכנון והבנייה</t>
  </si>
  <si>
    <t>25 משותפת לפנים, הצעת חוק התכנון והבנייה</t>
  </si>
  <si>
    <t>26 משותפת לפנים, הצעת חוק התכנון והבנייה</t>
  </si>
  <si>
    <t>27 משותפת לפנים, הצעת חוק התכנון והבניה</t>
  </si>
  <si>
    <t>3 משותפת לחינוך, הצעת חוק רשות השידור</t>
  </si>
  <si>
    <t>5 ועדת משנה לשירותי בנקאות</t>
  </si>
  <si>
    <t>26.5.11</t>
  </si>
  <si>
    <t>5 משותפת לועדת החינוך לדיון בהצעת חוק רשות השידור</t>
  </si>
  <si>
    <t>6 ועדת משנה לקידום וסיוע לתעשיות עתירות ידע</t>
  </si>
  <si>
    <t>6 משותפת לועדת החינוך לדיון בהצעת חוק רשות השידור</t>
  </si>
  <si>
    <t>6 משותפת לפנים, הצעת חוק התכנון והבנייה</t>
  </si>
  <si>
    <t>7 ועדת המשנה לקידום וסיוע לתעשיות עתירות ידע</t>
  </si>
  <si>
    <t>7 משותפת לפנים, הצעת חוק התכנון והבנייה</t>
  </si>
  <si>
    <t>8 משותפת לפנים, הצעת חוק התכנון והבנייה</t>
  </si>
  <si>
    <t>9 משותפת לפנים, הצעת חוק התכנון והבנייה</t>
  </si>
  <si>
    <t>ועדת משנה לתעשיות עתירות ידע 8</t>
  </si>
  <si>
    <t>משותפת לחוקה, חוק נתוני אשראי 5</t>
  </si>
  <si>
    <t>משותפת לחינוך, הצעת חוק רשות השידור 4</t>
  </si>
  <si>
    <t>משותפת לחינוך, הצעת חוק רשות השידור 7</t>
  </si>
  <si>
    <t>10.7.11</t>
  </si>
  <si>
    <t>משותפת לפנים, הצעת חוק הליכי תכנון ובנייה 1</t>
  </si>
  <si>
    <t>משותפת לפנים, הצעת חוק הליכי תכנון ובנייה 2</t>
  </si>
  <si>
    <t>משותפת לפנים, הצעת חוק הליכי תכנון ובנייה 4</t>
  </si>
  <si>
    <t>משותפת לפנים, הצעת חוק הליכי תכנון ובנייה 5</t>
  </si>
  <si>
    <t>19.7.11</t>
  </si>
  <si>
    <t>משותפת לפנים, הצעת חוק הליכי תכנון ובנייה 6</t>
  </si>
  <si>
    <t>משותפת לפנים, הצעת חוק הליכי תכנון ובנייה 7</t>
  </si>
  <si>
    <t>משותפת לפנים, הצעת חוק הליכי תכנון ובנייה 8</t>
  </si>
  <si>
    <t>משותפת לפנים, הצעת חוק התכנון והבנייה 28</t>
  </si>
  <si>
    <t>משותפת לפנים, הצעת חוק התכנון והבנייה 29</t>
  </si>
  <si>
    <t>משותפת לפנים, הצעת חוק התכנון והבנייה 30</t>
  </si>
  <si>
    <t>משותפת לפנים, הצעת חוק התכנון והבנייה 31</t>
  </si>
  <si>
    <t>26.6.11</t>
  </si>
  <si>
    <t>משותפת לפנים, הצעת חוק התכנון והבנייה 32</t>
  </si>
  <si>
    <t>משותפת לפנים, הצעת חוק התכנון והבנייה 33</t>
  </si>
  <si>
    <t>משותפת לפנים, הצעת חוק התכנון והבנייה 35</t>
  </si>
  <si>
    <t>אליעזר מוזס</t>
  </si>
  <si>
    <t>חנא סוויד</t>
  </si>
  <si>
    <t>אברהים צרצור</t>
  </si>
  <si>
    <t>נוכחות</t>
  </si>
  <si>
    <t>17.3.11</t>
  </si>
  <si>
    <t>4.5.11</t>
  </si>
  <si>
    <t>28.7.11</t>
  </si>
  <si>
    <t>2.6.11</t>
  </si>
  <si>
    <t>משותפת לחוקה ולמדע, לאמצעים ביומטריים 1</t>
  </si>
  <si>
    <t>משותפת לחינוך, לנושא פיקוח על מערך ההסעות לילדים 1</t>
  </si>
  <si>
    <t>משותפת לכלכה 21</t>
  </si>
  <si>
    <t>משותפת לעבודה לנושא סביבה ובריאות 47</t>
  </si>
  <si>
    <t>משותפת לעבודה לנושא סביבה ובריאות 51</t>
  </si>
  <si>
    <t>משותפת לעבודה לנושא סביבה ובריאות 52</t>
  </si>
  <si>
    <t>משותפת לעבודה לנושא סביבה ובריאות 53</t>
  </si>
  <si>
    <t>משותפת לעבודה לנושא סביבה ובריאות 54</t>
  </si>
  <si>
    <t>משותפת לעבודה לנושא סביבה ובריאות 55</t>
  </si>
  <si>
    <t>משותפת לעבודה לנושא סביבה ובריאות 56</t>
  </si>
  <si>
    <t>משותפת לעבודה לנושא סביבה ובריאות 57</t>
  </si>
  <si>
    <t>משותפת לעבודה לנושא סביבה ובריאות 58</t>
  </si>
  <si>
    <t>משותפת לעבודה לנושא סביבה ובריאות 59</t>
  </si>
  <si>
    <t>משותפת לעבודה, לנושא סביבה ובריאות</t>
  </si>
  <si>
    <t>משותפת לעבודה, לנושא סביבה ובריאות 24</t>
  </si>
  <si>
    <t>משותפת לעבודה, לנושא סביבה ובריאות 25</t>
  </si>
  <si>
    <t>משותפת לעבודה, לנושא סביבה ובריאות 26</t>
  </si>
  <si>
    <t>משותפת לעבודה, לנושא סביבה ובריאות 27</t>
  </si>
  <si>
    <t>משותפת לעבודה, לנושא סביבה ובריאות 28</t>
  </si>
  <si>
    <t>משותפת לעבודה, לנושא סביבה ובריאות 29</t>
  </si>
  <si>
    <t>משותפת לעבודה, לנושא סביבה ובריאות 30</t>
  </si>
  <si>
    <t>משותפת לעבודה, לנושא סביבה ובריאות 31</t>
  </si>
  <si>
    <t>משותפת לעבודה, לנושא סביבה ובריאות 32</t>
  </si>
  <si>
    <t>משותפת לעבודה, לנושא סביבה ובריאות 33</t>
  </si>
  <si>
    <t>משותפת לעבודה, לנושא סביבה ובריאות 34</t>
  </si>
  <si>
    <t>משותפת לעבודה, לנושא סביבה ובריאות 35</t>
  </si>
  <si>
    <t>משותפת לעבודה, לנושא סביבה ובריאות 36</t>
  </si>
  <si>
    <t>משותפת לעבודה, לנושא סביבה ובריאות 37</t>
  </si>
  <si>
    <t>משותפת לעבודה, לנושא סביבה ובריאות 38</t>
  </si>
  <si>
    <t>משותפת לעבודה, לנושא סביבה ובריאות 39</t>
  </si>
  <si>
    <t>משותפת לעבודה, לנושא סביבה ובריאות 40</t>
  </si>
  <si>
    <t>משותפת לעבודה, לנושא סביבה ובריאות 41</t>
  </si>
  <si>
    <t>משותפת לעבודה, לנושא סביבה ובריאות 42</t>
  </si>
  <si>
    <t>משותפת לעבודה, לנושא סביבה ובריאות 43</t>
  </si>
  <si>
    <t>משותפת לעבודה, לנושא סביבה ובריאות 45</t>
  </si>
  <si>
    <t>משותפת לעבודה, לנושא סביבה ובריאות 46</t>
  </si>
  <si>
    <t>משותפת לעבודה, לנושא סביבה ובריאות 48</t>
  </si>
  <si>
    <t>משותפת לעבודה, לנושא סביבה ובריאות 50</t>
  </si>
  <si>
    <t>משותפת לעבודה, לנושא סביבה ובריאות 9</t>
  </si>
  <si>
    <t>יגאל ביבי</t>
  </si>
  <si>
    <t>יצחק הרצוג</t>
  </si>
  <si>
    <t>11.8.11</t>
  </si>
  <si>
    <t>7.8.11</t>
  </si>
  <si>
    <t>27.7.11</t>
  </si>
  <si>
    <t>21.7.11</t>
  </si>
  <si>
    <t>12.6.11</t>
  </si>
  <si>
    <t>22.5.11</t>
  </si>
  <si>
    <t>27.3.11</t>
  </si>
  <si>
    <t>24.3.11</t>
  </si>
  <si>
    <t>24.2.11</t>
  </si>
  <si>
    <t>20.2.11</t>
  </si>
  <si>
    <t>30.1.11</t>
  </si>
  <si>
    <t>23.1.11</t>
  </si>
  <si>
    <t>16.1.11</t>
  </si>
  <si>
    <t>9.1.11</t>
  </si>
  <si>
    <t>2.1.11</t>
  </si>
  <si>
    <t>19.12.10</t>
  </si>
  <si>
    <t>16.12.10</t>
  </si>
  <si>
    <t>5.12.10</t>
  </si>
  <si>
    <t>21.11.10</t>
  </si>
  <si>
    <t>7.11.10</t>
  </si>
  <si>
    <t>28.10.10</t>
  </si>
  <si>
    <t>אבי דיכטר</t>
  </si>
  <si>
    <t>3.3.11</t>
  </si>
  <si>
    <t>4.4.11</t>
  </si>
  <si>
    <t>12.4.11</t>
  </si>
  <si>
    <t>ועדת משנה לחינוך דתי ותרבות תורנית 10</t>
  </si>
  <si>
    <t>ועדת משנה לחינוך דתי ותרבות תורנית 11</t>
  </si>
  <si>
    <t>ועדת משנה לחינוך דתי ותרבות תורנית 12</t>
  </si>
  <si>
    <t>ועדת משנה לחינוך דתי ותרבות תורנית 14</t>
  </si>
  <si>
    <t>ועדת משנה לחינוך דתי ותרבות תורנית 3</t>
  </si>
  <si>
    <t>ועדת משנה לחינוך דתי ותרבות תורנית 4</t>
  </si>
  <si>
    <t>ועדת משנה לחינוך דתי ותרבות תורנית 5</t>
  </si>
  <si>
    <t>ועדת משנה לחינוך דתי ותרבות תורנית 6</t>
  </si>
  <si>
    <t>ועדת משנה לחינוך דתי ותרבות תורנית 7</t>
  </si>
  <si>
    <t>ועדת משנה לחינוך דתי ותרבות תורנית 8</t>
  </si>
  <si>
    <t>ועדת משנה לחינוך דתי ותרבות תורנית 9</t>
  </si>
  <si>
    <t>משותפת לקידום מעמד האישה, הצעות חוק בנושא זכויות הסטודנט 1</t>
  </si>
  <si>
    <t>רוני בר-און</t>
  </si>
  <si>
    <t>יצחק כהן</t>
  </si>
  <si>
    <t>יעקב ליצמן</t>
  </si>
  <si>
    <t>5.4.11</t>
  </si>
  <si>
    <t>--</t>
  </si>
  <si>
    <t>ועדת משנה - טיפול במפוני גוש קטיף וצפון השומרון 10</t>
  </si>
  <si>
    <t>ועדת משנה - טיפול במפוני גוש קטיף וצפון השומרון 8</t>
  </si>
  <si>
    <t>ועדת משנה - טיפול במפוני גוש קטיף וצפון השומרון 9</t>
  </si>
  <si>
    <t>ציפי לבני</t>
  </si>
  <si>
    <t>אורית נוקד</t>
  </si>
  <si>
    <t>ועדת משנה למאבק בסחר בנשים</t>
  </si>
  <si>
    <t>ועדת משנה למאבק בסחר בנשים 21</t>
  </si>
  <si>
    <t>ועדת משנה למאבק בסחר בנשים 23</t>
  </si>
  <si>
    <t>ועדת משנה למאבק בסחר בנשים 24</t>
  </si>
  <si>
    <t>אחוזי נוכחות</t>
  </si>
  <si>
    <t>יוליה שמאלוב ברקוביץ'</t>
  </si>
  <si>
    <t>11.4.11</t>
  </si>
  <si>
    <t>6.4.11</t>
  </si>
  <si>
    <t>11.11.10</t>
  </si>
  <si>
    <t>10.10.10</t>
  </si>
  <si>
    <t>10.2.11</t>
  </si>
  <si>
    <t>ועדת משנה לטיפול בקליטת עולים בפריפריה 1</t>
  </si>
  <si>
    <t>ועדת משנה לטיפול בקליטת עולים בפריפריה 2</t>
  </si>
  <si>
    <t>רוחמה אברהם-בלילא</t>
  </si>
  <si>
    <t>16.4.11</t>
  </si>
  <si>
    <t>ועדת משנה להצעת חוק הסדרת העיסוק במקצועות הבריאות 12</t>
  </si>
  <si>
    <t>ועדת משנה להצעת חוק הסדרת העיסוק במקצועות הבריאות 13</t>
  </si>
  <si>
    <t>ועדת משנה לשוויון זכויות לאנשים עם מוגבלות 59</t>
  </si>
  <si>
    <t>ועדת משנה לשוויון זכויות לאנשים עם מוגבלות 60</t>
  </si>
  <si>
    <t>ועדת משנה לתקנון שוויון זכויות לאנשים עם מוגבלות 38</t>
  </si>
  <si>
    <t>ועדת משנה לתקנון שוויון זכויות לאנשים עם מוגבלות 39</t>
  </si>
  <si>
    <t>ועדת משנה לתקנון שוויון זכויות לאנשים עם מוגבלות 40</t>
  </si>
  <si>
    <t>ועדת משנה לתקנון שוויון זכויות לאנשים עם מוגבלות 41</t>
  </si>
  <si>
    <t>ועדת משנה לתקנון שוויון זכויות לאנשים עם מוגבלות 42</t>
  </si>
  <si>
    <t>ועדת משנה לתקנון שוויון זכויות לאנשים עם מוגבלות 43</t>
  </si>
  <si>
    <t>ועדת משנה לתקנון שוויון זכויות לאנשים עם מוגבלות 44</t>
  </si>
  <si>
    <t>ועדת משנה לתקנון שוויון זכויות לאנשים עם מוגבלות 45</t>
  </si>
  <si>
    <t>ועדת משנה לתקנון שוויון זכויות לאנשים עם מוגבלות 46</t>
  </si>
  <si>
    <t>ועדת משנה לתקנון שוויון זכויות לאנשים עם מוגבלות 47</t>
  </si>
  <si>
    <t>ועדת משנה לתקנון שוויון זכויות לאנשים עם מוגבלות 48</t>
  </si>
  <si>
    <t>ועדת משנה לתקנון שוויון זכויות לאנשים עם מוגבלות 49</t>
  </si>
  <si>
    <t>ועדת משנה לתקנון שוויון זכויות לאנשים עם מוגבלות 50</t>
  </si>
  <si>
    <t>ועדת משנה לתקנון שוויון זכויות לאנשים עם מוגבלות 51</t>
  </si>
  <si>
    <t>ועדת משנה לתקנון שוויון זכויות לאנשים עם מוגבלות 52</t>
  </si>
  <si>
    <t>ועדת משנה לתקנון שוויון זכויות לאנשים עם מוגבלות 54</t>
  </si>
  <si>
    <t>ועדת משנה לתקנון שוויון זכויות לאנשים עם מוגבלות 55</t>
  </si>
  <si>
    <t>ועדת משנה לתקנון שוויון זכויות לאנשים עם מוגבלות 56</t>
  </si>
  <si>
    <t>ועדת משנה לתקנון שוויון זכויות לאנשים עם מוגבלות 57</t>
  </si>
  <si>
    <t>ועדת משנה לתקנון שוויון זכויות לאנשים עם מוגבלות 58</t>
  </si>
  <si>
    <t>מספר ישיבות</t>
  </si>
  <si>
    <t>אחוזים</t>
  </si>
  <si>
    <t>יו"ר</t>
  </si>
  <si>
    <t>מופז שאול</t>
  </si>
  <si>
    <t>חברים</t>
  </si>
  <si>
    <t>אילטוב רוברט</t>
  </si>
  <si>
    <t>אלדד אריה</t>
  </si>
  <si>
    <t>אלקין זאב</t>
  </si>
  <si>
    <t>אקוניס אופיר</t>
  </si>
  <si>
    <t>בילסקי זאב</t>
  </si>
  <si>
    <t>דיכטר אבי</t>
  </si>
  <si>
    <t>דנון דני</t>
  </si>
  <si>
    <t>וילף עינת</t>
  </si>
  <si>
    <t>זאב נסים</t>
  </si>
  <si>
    <t>כבל איתן</t>
  </si>
  <si>
    <t>מטלון משה</t>
  </si>
  <si>
    <t>מקלב אורי</t>
  </si>
  <si>
    <t>עזרא גדעון</t>
  </si>
  <si>
    <t>פלסנר יוחנן</t>
  </si>
  <si>
    <t>רגב מירי</t>
  </si>
  <si>
    <t>שטרית מאיר</t>
  </si>
  <si>
    <t>ממלאי מקום</t>
  </si>
  <si>
    <t>אדטו רחל</t>
  </si>
  <si>
    <t>אורבך אורי</t>
  </si>
  <si>
    <t>אזולאי דוד</t>
  </si>
  <si>
    <t>ביבי אריה</t>
  </si>
  <si>
    <t>בן-ארי מיכאל</t>
  </si>
  <si>
    <t>גפני משה</t>
  </si>
  <si>
    <t>הרצוג יצחק</t>
  </si>
  <si>
    <t>והבה מגלי</t>
  </si>
  <si>
    <t>זוארץ אורית</t>
  </si>
  <si>
    <t>חוטובלי ציפי</t>
  </si>
  <si>
    <t>חסון ישראל</t>
  </si>
  <si>
    <t>לוין יריב</t>
  </si>
  <si>
    <t>פיניאן ציון</t>
  </si>
  <si>
    <t>רותם דוד</t>
  </si>
  <si>
    <t>שאמה כרמל</t>
  </si>
  <si>
    <t>שי נחמן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</si>
</sst>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sz val="12.0"/>
      <color rgb="FF000000"/>
    </font>
    <font>
      <sz val="12.0"/>
      <color rgb="FFFF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30.38"/>
    <col customWidth="1" min="2" max="2" width="35.63"/>
    <col customWidth="1" min="3" max="70" width="13.1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</row>
    <row r="2" ht="15.75" customHeight="1">
      <c r="A2" s="1" t="s">
        <v>70</v>
      </c>
      <c r="B2" s="4">
        <f>COUNTA(B7:B96)</f>
        <v>90</v>
      </c>
    </row>
    <row r="3" ht="15.75" customHeight="1">
      <c r="A3" s="1" t="s">
        <v>71</v>
      </c>
      <c r="B3" s="4">
        <f>COUNTA(B7:B83)</f>
        <v>77</v>
      </c>
    </row>
    <row r="4" ht="15.0" customHeight="1">
      <c r="A4" s="1" t="s">
        <v>72</v>
      </c>
      <c r="C4" s="5">
        <f t="shared" ref="C4:BR4" si="1">SUM(C7:C96)</f>
        <v>83</v>
      </c>
      <c r="D4" s="5">
        <f t="shared" si="1"/>
        <v>1</v>
      </c>
      <c r="E4" s="5">
        <f t="shared" si="1"/>
        <v>6</v>
      </c>
      <c r="F4" s="5">
        <f t="shared" si="1"/>
        <v>3</v>
      </c>
      <c r="G4" s="5">
        <f t="shared" si="1"/>
        <v>1</v>
      </c>
      <c r="H4" s="5">
        <f t="shared" si="1"/>
        <v>25</v>
      </c>
      <c r="I4" s="5">
        <f t="shared" si="1"/>
        <v>7</v>
      </c>
      <c r="J4" s="5">
        <f t="shared" si="1"/>
        <v>23</v>
      </c>
      <c r="K4" s="5">
        <f t="shared" si="1"/>
        <v>14</v>
      </c>
      <c r="L4" s="5">
        <f t="shared" si="1"/>
        <v>4</v>
      </c>
      <c r="M4" s="5">
        <f t="shared" si="1"/>
        <v>1</v>
      </c>
      <c r="N4" s="5">
        <f t="shared" si="1"/>
        <v>26</v>
      </c>
      <c r="O4" s="5">
        <f t="shared" si="1"/>
        <v>6</v>
      </c>
      <c r="P4" s="5">
        <f t="shared" si="1"/>
        <v>3</v>
      </c>
      <c r="Q4" s="5">
        <f t="shared" si="1"/>
        <v>1</v>
      </c>
      <c r="R4" s="5">
        <f t="shared" si="1"/>
        <v>42</v>
      </c>
      <c r="S4" s="5">
        <f t="shared" si="1"/>
        <v>1</v>
      </c>
      <c r="T4" s="5">
        <f t="shared" si="1"/>
        <v>12</v>
      </c>
      <c r="U4" s="5">
        <f t="shared" si="1"/>
        <v>1</v>
      </c>
      <c r="V4" s="5">
        <f t="shared" si="1"/>
        <v>3</v>
      </c>
      <c r="W4" s="5">
        <f t="shared" si="1"/>
        <v>2</v>
      </c>
      <c r="X4" s="5">
        <f t="shared" si="1"/>
        <v>4</v>
      </c>
      <c r="Y4" s="5">
        <f t="shared" si="1"/>
        <v>3</v>
      </c>
      <c r="Z4" s="5">
        <f t="shared" si="1"/>
        <v>2</v>
      </c>
      <c r="AA4" s="5">
        <f t="shared" si="1"/>
        <v>6</v>
      </c>
      <c r="AB4" s="5">
        <f t="shared" si="1"/>
        <v>1</v>
      </c>
      <c r="AC4" s="5">
        <f t="shared" si="1"/>
        <v>13</v>
      </c>
      <c r="AD4" s="5">
        <f t="shared" si="1"/>
        <v>5</v>
      </c>
      <c r="AE4" s="5">
        <f t="shared" si="1"/>
        <v>7</v>
      </c>
      <c r="AF4" s="5">
        <f t="shared" si="1"/>
        <v>1</v>
      </c>
      <c r="AG4" s="5">
        <f t="shared" si="1"/>
        <v>6</v>
      </c>
      <c r="AH4" s="5">
        <f t="shared" si="1"/>
        <v>3</v>
      </c>
      <c r="AI4" s="5">
        <f t="shared" si="1"/>
        <v>32</v>
      </c>
      <c r="AJ4" s="5">
        <f t="shared" si="1"/>
        <v>4</v>
      </c>
      <c r="AK4" s="5">
        <f t="shared" si="1"/>
        <v>1</v>
      </c>
      <c r="AL4" s="5">
        <f t="shared" si="1"/>
        <v>6</v>
      </c>
      <c r="AM4" s="5">
        <f t="shared" si="1"/>
        <v>7</v>
      </c>
      <c r="AN4" s="5">
        <f t="shared" si="1"/>
        <v>2</v>
      </c>
      <c r="AO4" s="5">
        <f t="shared" si="1"/>
        <v>3</v>
      </c>
      <c r="AP4" s="5">
        <f t="shared" si="1"/>
        <v>2</v>
      </c>
      <c r="AQ4" s="5">
        <f t="shared" si="1"/>
        <v>18</v>
      </c>
      <c r="AR4" s="5">
        <f t="shared" si="1"/>
        <v>5</v>
      </c>
      <c r="AS4" s="5">
        <f t="shared" si="1"/>
        <v>5</v>
      </c>
      <c r="AT4" s="5">
        <f t="shared" si="1"/>
        <v>1</v>
      </c>
      <c r="AU4" s="5">
        <f t="shared" si="1"/>
        <v>3</v>
      </c>
      <c r="AV4" s="5">
        <f t="shared" si="1"/>
        <v>1</v>
      </c>
      <c r="AW4" s="5">
        <f t="shared" si="1"/>
        <v>25</v>
      </c>
      <c r="AX4" s="5">
        <f t="shared" si="1"/>
        <v>10</v>
      </c>
      <c r="AY4" s="5">
        <f t="shared" si="1"/>
        <v>3</v>
      </c>
      <c r="AZ4" s="5">
        <f t="shared" si="1"/>
        <v>44</v>
      </c>
      <c r="BA4" s="5">
        <f t="shared" si="1"/>
        <v>3</v>
      </c>
      <c r="BB4" s="5">
        <f t="shared" si="1"/>
        <v>5</v>
      </c>
      <c r="BC4" s="5">
        <f t="shared" si="1"/>
        <v>6</v>
      </c>
      <c r="BD4" s="5">
        <f t="shared" si="1"/>
        <v>1</v>
      </c>
      <c r="BE4" s="5">
        <f t="shared" si="1"/>
        <v>1</v>
      </c>
      <c r="BF4" s="5">
        <f t="shared" si="1"/>
        <v>28</v>
      </c>
      <c r="BG4" s="5">
        <f t="shared" si="1"/>
        <v>5</v>
      </c>
      <c r="BH4" s="5">
        <f t="shared" si="1"/>
        <v>1</v>
      </c>
      <c r="BI4" s="5">
        <f t="shared" si="1"/>
        <v>5</v>
      </c>
      <c r="BJ4" s="5">
        <f t="shared" si="1"/>
        <v>1</v>
      </c>
      <c r="BK4" s="5">
        <f t="shared" si="1"/>
        <v>31</v>
      </c>
      <c r="BL4" s="5">
        <f t="shared" si="1"/>
        <v>3</v>
      </c>
      <c r="BM4" s="5">
        <f t="shared" si="1"/>
        <v>2</v>
      </c>
      <c r="BN4" s="5">
        <f t="shared" si="1"/>
        <v>6</v>
      </c>
      <c r="BO4" s="5">
        <f t="shared" si="1"/>
        <v>3</v>
      </c>
      <c r="BP4" s="5">
        <f t="shared" si="1"/>
        <v>7</v>
      </c>
      <c r="BQ4" s="5">
        <f t="shared" si="1"/>
        <v>1</v>
      </c>
      <c r="BR4" s="5">
        <f t="shared" si="1"/>
        <v>2</v>
      </c>
    </row>
    <row r="5" ht="15.0" customHeight="1">
      <c r="A5" s="1" t="s">
        <v>73</v>
      </c>
      <c r="C5" s="5">
        <f t="shared" ref="C5:BR5" si="2">SUM(C7:C83)</f>
        <v>75</v>
      </c>
      <c r="D5" s="5">
        <f t="shared" si="2"/>
        <v>1</v>
      </c>
      <c r="E5" s="5">
        <f t="shared" si="2"/>
        <v>6</v>
      </c>
      <c r="F5" s="5">
        <f t="shared" si="2"/>
        <v>3</v>
      </c>
      <c r="G5" s="5">
        <f t="shared" si="2"/>
        <v>1</v>
      </c>
      <c r="H5" s="5">
        <f t="shared" si="2"/>
        <v>24</v>
      </c>
      <c r="I5" s="5">
        <f t="shared" si="2"/>
        <v>3</v>
      </c>
      <c r="J5" s="5">
        <f t="shared" si="2"/>
        <v>23</v>
      </c>
      <c r="K5" s="5">
        <f t="shared" si="2"/>
        <v>8</v>
      </c>
      <c r="L5" s="5">
        <f t="shared" si="2"/>
        <v>3</v>
      </c>
      <c r="M5" s="5">
        <f t="shared" si="2"/>
        <v>1</v>
      </c>
      <c r="N5" s="5">
        <f t="shared" si="2"/>
        <v>26</v>
      </c>
      <c r="O5" s="5">
        <f t="shared" si="2"/>
        <v>4</v>
      </c>
      <c r="P5" s="5">
        <f t="shared" si="2"/>
        <v>3</v>
      </c>
      <c r="Q5" s="5">
        <f t="shared" si="2"/>
        <v>1</v>
      </c>
      <c r="R5" s="5">
        <f t="shared" si="2"/>
        <v>41</v>
      </c>
      <c r="S5" s="5">
        <f t="shared" si="2"/>
        <v>0</v>
      </c>
      <c r="T5" s="5">
        <f t="shared" si="2"/>
        <v>12</v>
      </c>
      <c r="U5" s="5">
        <f t="shared" si="2"/>
        <v>1</v>
      </c>
      <c r="V5" s="5">
        <f t="shared" si="2"/>
        <v>3</v>
      </c>
      <c r="W5" s="5">
        <f t="shared" si="2"/>
        <v>2</v>
      </c>
      <c r="X5" s="5">
        <f t="shared" si="2"/>
        <v>4</v>
      </c>
      <c r="Y5" s="5">
        <f t="shared" si="2"/>
        <v>3</v>
      </c>
      <c r="Z5" s="5">
        <f t="shared" si="2"/>
        <v>2</v>
      </c>
      <c r="AA5" s="5">
        <f t="shared" si="2"/>
        <v>6</v>
      </c>
      <c r="AB5" s="5">
        <f t="shared" si="2"/>
        <v>1</v>
      </c>
      <c r="AC5" s="5">
        <f t="shared" si="2"/>
        <v>10</v>
      </c>
      <c r="AD5" s="5">
        <f t="shared" si="2"/>
        <v>5</v>
      </c>
      <c r="AE5" s="5">
        <f t="shared" si="2"/>
        <v>7</v>
      </c>
      <c r="AF5" s="5">
        <f t="shared" si="2"/>
        <v>1</v>
      </c>
      <c r="AG5" s="5">
        <f t="shared" si="2"/>
        <v>6</v>
      </c>
      <c r="AH5" s="5">
        <f t="shared" si="2"/>
        <v>3</v>
      </c>
      <c r="AI5" s="5">
        <f t="shared" si="2"/>
        <v>32</v>
      </c>
      <c r="AJ5" s="5">
        <f t="shared" si="2"/>
        <v>4</v>
      </c>
      <c r="AK5" s="5">
        <f t="shared" si="2"/>
        <v>1</v>
      </c>
      <c r="AL5" s="5">
        <f t="shared" si="2"/>
        <v>6</v>
      </c>
      <c r="AM5" s="5">
        <f t="shared" si="2"/>
        <v>7</v>
      </c>
      <c r="AN5" s="5">
        <f t="shared" si="2"/>
        <v>2</v>
      </c>
      <c r="AO5" s="5">
        <f t="shared" si="2"/>
        <v>3</v>
      </c>
      <c r="AP5" s="5">
        <f t="shared" si="2"/>
        <v>2</v>
      </c>
      <c r="AQ5" s="5">
        <f t="shared" si="2"/>
        <v>15</v>
      </c>
      <c r="AR5" s="5">
        <f t="shared" si="2"/>
        <v>0</v>
      </c>
      <c r="AS5" s="5">
        <f t="shared" si="2"/>
        <v>4</v>
      </c>
      <c r="AT5" s="5">
        <f t="shared" si="2"/>
        <v>1</v>
      </c>
      <c r="AU5" s="5">
        <f t="shared" si="2"/>
        <v>3</v>
      </c>
      <c r="AV5" s="5">
        <f t="shared" si="2"/>
        <v>1</v>
      </c>
      <c r="AW5" s="5">
        <f t="shared" si="2"/>
        <v>23</v>
      </c>
      <c r="AX5" s="5">
        <f t="shared" si="2"/>
        <v>10</v>
      </c>
      <c r="AY5" s="5">
        <f t="shared" si="2"/>
        <v>2</v>
      </c>
      <c r="AZ5" s="5">
        <f t="shared" si="2"/>
        <v>38</v>
      </c>
      <c r="BA5" s="5">
        <f t="shared" si="2"/>
        <v>3</v>
      </c>
      <c r="BB5" s="5">
        <f t="shared" si="2"/>
        <v>4</v>
      </c>
      <c r="BC5" s="5">
        <f t="shared" si="2"/>
        <v>6</v>
      </c>
      <c r="BD5" s="5">
        <f t="shared" si="2"/>
        <v>1</v>
      </c>
      <c r="BE5" s="5">
        <f t="shared" si="2"/>
        <v>1</v>
      </c>
      <c r="BF5" s="5">
        <f t="shared" si="2"/>
        <v>26</v>
      </c>
      <c r="BG5" s="5">
        <f t="shared" si="2"/>
        <v>5</v>
      </c>
      <c r="BH5" s="5">
        <f t="shared" si="2"/>
        <v>1</v>
      </c>
      <c r="BI5" s="5">
        <f t="shared" si="2"/>
        <v>5</v>
      </c>
      <c r="BJ5" s="5">
        <f t="shared" si="2"/>
        <v>1</v>
      </c>
      <c r="BK5" s="5">
        <f t="shared" si="2"/>
        <v>29</v>
      </c>
      <c r="BL5" s="5">
        <f t="shared" si="2"/>
        <v>3</v>
      </c>
      <c r="BM5" s="5">
        <f t="shared" si="2"/>
        <v>1</v>
      </c>
      <c r="BN5" s="5">
        <f t="shared" si="2"/>
        <v>6</v>
      </c>
      <c r="BO5" s="5">
        <f t="shared" si="2"/>
        <v>3</v>
      </c>
      <c r="BP5" s="5">
        <f t="shared" si="2"/>
        <v>5</v>
      </c>
      <c r="BQ5" s="5">
        <f t="shared" si="2"/>
        <v>1</v>
      </c>
      <c r="BR5" s="5">
        <f t="shared" si="2"/>
        <v>1</v>
      </c>
    </row>
    <row r="6" ht="15.0" customHeight="1">
      <c r="A6" s="1" t="s">
        <v>74</v>
      </c>
      <c r="C6" s="5">
        <f t="shared" ref="C6:BR6" si="3">C5/77</f>
        <v>0.974025974</v>
      </c>
      <c r="D6" s="5">
        <f t="shared" si="3"/>
        <v>0.01298701299</v>
      </c>
      <c r="E6" s="5">
        <f t="shared" si="3"/>
        <v>0.07792207792</v>
      </c>
      <c r="F6" s="5">
        <f t="shared" si="3"/>
        <v>0.03896103896</v>
      </c>
      <c r="G6" s="5">
        <f t="shared" si="3"/>
        <v>0.01298701299</v>
      </c>
      <c r="H6" s="5">
        <f t="shared" si="3"/>
        <v>0.3116883117</v>
      </c>
      <c r="I6" s="5">
        <f t="shared" si="3"/>
        <v>0.03896103896</v>
      </c>
      <c r="J6" s="5">
        <f t="shared" si="3"/>
        <v>0.2987012987</v>
      </c>
      <c r="K6" s="5">
        <f t="shared" si="3"/>
        <v>0.1038961039</v>
      </c>
      <c r="L6" s="5">
        <f t="shared" si="3"/>
        <v>0.03896103896</v>
      </c>
      <c r="M6" s="5">
        <f t="shared" si="3"/>
        <v>0.01298701299</v>
      </c>
      <c r="N6" s="5">
        <f t="shared" si="3"/>
        <v>0.3376623377</v>
      </c>
      <c r="O6" s="5">
        <f t="shared" si="3"/>
        <v>0.05194805195</v>
      </c>
      <c r="P6" s="5">
        <f t="shared" si="3"/>
        <v>0.03896103896</v>
      </c>
      <c r="Q6" s="5">
        <f t="shared" si="3"/>
        <v>0.01298701299</v>
      </c>
      <c r="R6" s="5">
        <f t="shared" si="3"/>
        <v>0.5324675325</v>
      </c>
      <c r="S6" s="5">
        <f t="shared" si="3"/>
        <v>0</v>
      </c>
      <c r="T6" s="5">
        <f t="shared" si="3"/>
        <v>0.1558441558</v>
      </c>
      <c r="U6" s="5">
        <f t="shared" si="3"/>
        <v>0.01298701299</v>
      </c>
      <c r="V6" s="5">
        <f t="shared" si="3"/>
        <v>0.03896103896</v>
      </c>
      <c r="W6" s="5">
        <f t="shared" si="3"/>
        <v>0.02597402597</v>
      </c>
      <c r="X6" s="5">
        <f t="shared" si="3"/>
        <v>0.05194805195</v>
      </c>
      <c r="Y6" s="5">
        <f t="shared" si="3"/>
        <v>0.03896103896</v>
      </c>
      <c r="Z6" s="5">
        <f t="shared" si="3"/>
        <v>0.02597402597</v>
      </c>
      <c r="AA6" s="5">
        <f t="shared" si="3"/>
        <v>0.07792207792</v>
      </c>
      <c r="AB6" s="5">
        <f t="shared" si="3"/>
        <v>0.01298701299</v>
      </c>
      <c r="AC6" s="5">
        <f t="shared" si="3"/>
        <v>0.1298701299</v>
      </c>
      <c r="AD6" s="5">
        <f t="shared" si="3"/>
        <v>0.06493506494</v>
      </c>
      <c r="AE6" s="5">
        <f t="shared" si="3"/>
        <v>0.09090909091</v>
      </c>
      <c r="AF6" s="5">
        <f t="shared" si="3"/>
        <v>0.01298701299</v>
      </c>
      <c r="AG6" s="5">
        <f t="shared" si="3"/>
        <v>0.07792207792</v>
      </c>
      <c r="AH6" s="5">
        <f t="shared" si="3"/>
        <v>0.03896103896</v>
      </c>
      <c r="AI6" s="5">
        <f t="shared" si="3"/>
        <v>0.4155844156</v>
      </c>
      <c r="AJ6" s="5">
        <f t="shared" si="3"/>
        <v>0.05194805195</v>
      </c>
      <c r="AK6" s="5">
        <f t="shared" si="3"/>
        <v>0.01298701299</v>
      </c>
      <c r="AL6" s="5">
        <f t="shared" si="3"/>
        <v>0.07792207792</v>
      </c>
      <c r="AM6" s="5">
        <f t="shared" si="3"/>
        <v>0.09090909091</v>
      </c>
      <c r="AN6" s="5">
        <f t="shared" si="3"/>
        <v>0.02597402597</v>
      </c>
      <c r="AO6" s="5">
        <f t="shared" si="3"/>
        <v>0.03896103896</v>
      </c>
      <c r="AP6" s="5">
        <f t="shared" si="3"/>
        <v>0.02597402597</v>
      </c>
      <c r="AQ6" s="5">
        <f t="shared" si="3"/>
        <v>0.1948051948</v>
      </c>
      <c r="AR6" s="5">
        <f t="shared" si="3"/>
        <v>0</v>
      </c>
      <c r="AS6" s="5">
        <f t="shared" si="3"/>
        <v>0.05194805195</v>
      </c>
      <c r="AT6" s="5">
        <f t="shared" si="3"/>
        <v>0.01298701299</v>
      </c>
      <c r="AU6" s="5">
        <f t="shared" si="3"/>
        <v>0.03896103896</v>
      </c>
      <c r="AV6" s="5">
        <f t="shared" si="3"/>
        <v>0.01298701299</v>
      </c>
      <c r="AW6" s="5">
        <f t="shared" si="3"/>
        <v>0.2987012987</v>
      </c>
      <c r="AX6" s="5">
        <f t="shared" si="3"/>
        <v>0.1298701299</v>
      </c>
      <c r="AY6" s="5">
        <f t="shared" si="3"/>
        <v>0.02597402597</v>
      </c>
      <c r="AZ6" s="5">
        <f t="shared" si="3"/>
        <v>0.4935064935</v>
      </c>
      <c r="BA6" s="5">
        <f t="shared" si="3"/>
        <v>0.03896103896</v>
      </c>
      <c r="BB6" s="5">
        <f t="shared" si="3"/>
        <v>0.05194805195</v>
      </c>
      <c r="BC6" s="5">
        <f t="shared" si="3"/>
        <v>0.07792207792</v>
      </c>
      <c r="BD6" s="5">
        <f t="shared" si="3"/>
        <v>0.01298701299</v>
      </c>
      <c r="BE6" s="5">
        <f t="shared" si="3"/>
        <v>0.01298701299</v>
      </c>
      <c r="BF6" s="5">
        <f t="shared" si="3"/>
        <v>0.3376623377</v>
      </c>
      <c r="BG6" s="5">
        <f t="shared" si="3"/>
        <v>0.06493506494</v>
      </c>
      <c r="BH6" s="5">
        <f t="shared" si="3"/>
        <v>0.01298701299</v>
      </c>
      <c r="BI6" s="5">
        <f t="shared" si="3"/>
        <v>0.06493506494</v>
      </c>
      <c r="BJ6" s="5">
        <f t="shared" si="3"/>
        <v>0.01298701299</v>
      </c>
      <c r="BK6" s="5">
        <f t="shared" si="3"/>
        <v>0.3766233766</v>
      </c>
      <c r="BL6" s="5">
        <f t="shared" si="3"/>
        <v>0.03896103896</v>
      </c>
      <c r="BM6" s="5">
        <f t="shared" si="3"/>
        <v>0.01298701299</v>
      </c>
      <c r="BN6" s="5">
        <f t="shared" si="3"/>
        <v>0.07792207792</v>
      </c>
      <c r="BO6" s="5">
        <f t="shared" si="3"/>
        <v>0.03896103896</v>
      </c>
      <c r="BP6" s="5">
        <f t="shared" si="3"/>
        <v>0.06493506494</v>
      </c>
      <c r="BQ6" s="5">
        <f t="shared" si="3"/>
        <v>0.01298701299</v>
      </c>
      <c r="BR6" s="5">
        <f t="shared" si="3"/>
        <v>0.01298701299</v>
      </c>
    </row>
    <row r="7" ht="15.0" customHeight="1">
      <c r="A7" s="6" t="s">
        <v>75</v>
      </c>
      <c r="B7" s="7">
        <v>111.0</v>
      </c>
      <c r="C7" s="8">
        <v>1.0</v>
      </c>
      <c r="R7" s="8">
        <v>1.0</v>
      </c>
      <c r="AI7" s="8">
        <v>1.0</v>
      </c>
      <c r="AW7" s="8">
        <v>1.0</v>
      </c>
      <c r="AZ7" s="8">
        <v>1.0</v>
      </c>
      <c r="BF7" s="8">
        <v>1.0</v>
      </c>
    </row>
    <row r="8" ht="15.0" customHeight="1">
      <c r="A8" s="6" t="s">
        <v>76</v>
      </c>
      <c r="B8" s="7">
        <v>112.0</v>
      </c>
      <c r="C8" s="8">
        <v>1.0</v>
      </c>
      <c r="N8" s="8">
        <v>1.0</v>
      </c>
      <c r="R8" s="8">
        <v>1.0</v>
      </c>
      <c r="AD8" s="8">
        <v>1.0</v>
      </c>
      <c r="AI8" s="8">
        <v>1.0</v>
      </c>
      <c r="AW8" s="8">
        <v>1.0</v>
      </c>
      <c r="AZ8" s="8">
        <v>1.0</v>
      </c>
      <c r="BK8" s="8">
        <v>1.0</v>
      </c>
    </row>
    <row r="9" ht="15.0" customHeight="1">
      <c r="A9" s="6" t="s">
        <v>77</v>
      </c>
      <c r="B9" s="7">
        <v>113.0</v>
      </c>
      <c r="C9" s="8">
        <v>1.0</v>
      </c>
      <c r="H9" s="8">
        <v>1.0</v>
      </c>
      <c r="J9" s="8">
        <v>1.0</v>
      </c>
      <c r="N9" s="8">
        <v>1.0</v>
      </c>
      <c r="R9" s="8">
        <v>1.0</v>
      </c>
      <c r="AI9" s="8">
        <v>1.0</v>
      </c>
      <c r="AJ9" s="8">
        <v>1.0</v>
      </c>
      <c r="AN9" s="8">
        <v>1.0</v>
      </c>
      <c r="BF9" s="8">
        <v>1.0</v>
      </c>
      <c r="BG9" s="8">
        <v>1.0</v>
      </c>
      <c r="BK9" s="8">
        <v>1.0</v>
      </c>
    </row>
    <row r="10" ht="15.0" customHeight="1">
      <c r="A10" s="6" t="s">
        <v>78</v>
      </c>
      <c r="B10" s="7">
        <v>114.0</v>
      </c>
      <c r="C10" s="8">
        <v>1.0</v>
      </c>
      <c r="H10" s="8">
        <v>1.0</v>
      </c>
      <c r="AI10" s="8">
        <v>1.0</v>
      </c>
      <c r="AW10" s="8">
        <v>1.0</v>
      </c>
      <c r="AZ10" s="8">
        <v>1.0</v>
      </c>
    </row>
    <row r="11" ht="15.0" customHeight="1">
      <c r="A11" s="6" t="s">
        <v>79</v>
      </c>
      <c r="B11" s="7">
        <v>115.0</v>
      </c>
      <c r="C11" s="8">
        <v>1.0</v>
      </c>
    </row>
    <row r="12" ht="15.0" customHeight="1">
      <c r="A12" s="6" t="s">
        <v>80</v>
      </c>
      <c r="B12" s="7">
        <v>116.0</v>
      </c>
      <c r="C12" s="8">
        <v>1.0</v>
      </c>
      <c r="H12" s="8">
        <v>1.0</v>
      </c>
      <c r="AJ12" s="8">
        <v>1.0</v>
      </c>
      <c r="AW12" s="8">
        <v>1.0</v>
      </c>
      <c r="AZ12" s="8">
        <v>1.0</v>
      </c>
      <c r="BA12" s="8">
        <v>1.0</v>
      </c>
      <c r="BK12" s="8">
        <v>1.0</v>
      </c>
    </row>
    <row r="13" ht="15.0" customHeight="1">
      <c r="A13" s="6" t="s">
        <v>81</v>
      </c>
      <c r="B13" s="7">
        <v>117.0</v>
      </c>
      <c r="C13" s="8">
        <v>1.0</v>
      </c>
      <c r="F13" s="8">
        <v>1.0</v>
      </c>
      <c r="H13" s="8">
        <v>1.0</v>
      </c>
      <c r="J13" s="8">
        <v>1.0</v>
      </c>
      <c r="K13" s="8">
        <v>1.0</v>
      </c>
      <c r="R13" s="8">
        <v>1.0</v>
      </c>
      <c r="AQ13" s="8">
        <v>1.0</v>
      </c>
      <c r="AZ13" s="8">
        <v>1.0</v>
      </c>
      <c r="BB13" s="8">
        <v>1.0</v>
      </c>
      <c r="BL13" s="8">
        <v>1.0</v>
      </c>
      <c r="BN13" s="8">
        <v>1.0</v>
      </c>
    </row>
    <row r="14" ht="15.0" customHeight="1">
      <c r="A14" s="6" t="s">
        <v>82</v>
      </c>
      <c r="B14" s="7">
        <v>118.0</v>
      </c>
      <c r="C14" s="8">
        <v>1.0</v>
      </c>
      <c r="H14" s="8">
        <v>1.0</v>
      </c>
      <c r="N14" s="8">
        <v>1.0</v>
      </c>
      <c r="AI14" s="8">
        <v>1.0</v>
      </c>
      <c r="AQ14" s="8">
        <v>1.0</v>
      </c>
      <c r="AZ14" s="8">
        <v>1.0</v>
      </c>
      <c r="BF14" s="8">
        <v>1.0</v>
      </c>
      <c r="BK14" s="8">
        <v>1.0</v>
      </c>
    </row>
    <row r="15" ht="15.0" customHeight="1">
      <c r="A15" s="6" t="s">
        <v>83</v>
      </c>
      <c r="B15" s="7">
        <v>119.0</v>
      </c>
      <c r="C15" s="8">
        <v>1.0</v>
      </c>
      <c r="H15" s="8">
        <v>1.0</v>
      </c>
      <c r="J15" s="8">
        <v>1.0</v>
      </c>
      <c r="L15" s="8">
        <v>1.0</v>
      </c>
      <c r="N15" s="8">
        <v>1.0</v>
      </c>
      <c r="R15" s="8">
        <v>1.0</v>
      </c>
      <c r="T15" s="8">
        <v>1.0</v>
      </c>
      <c r="V15" s="8">
        <v>1.0</v>
      </c>
      <c r="W15" s="8">
        <v>1.0</v>
      </c>
      <c r="AI15" s="8">
        <v>1.0</v>
      </c>
      <c r="AQ15" s="8">
        <v>1.0</v>
      </c>
      <c r="AX15" s="8">
        <v>1.0</v>
      </c>
      <c r="AZ15" s="8">
        <v>1.0</v>
      </c>
      <c r="BB15" s="8">
        <v>1.0</v>
      </c>
      <c r="BF15" s="8">
        <v>1.0</v>
      </c>
      <c r="BK15" s="8">
        <v>1.0</v>
      </c>
      <c r="BN15" s="8">
        <v>1.0</v>
      </c>
      <c r="BR15" s="8">
        <v>1.0</v>
      </c>
    </row>
    <row r="16" ht="15.0" customHeight="1">
      <c r="A16" s="6" t="s">
        <v>84</v>
      </c>
      <c r="B16" s="7">
        <v>120.0</v>
      </c>
      <c r="C16" s="8">
        <v>1.0</v>
      </c>
      <c r="N16" s="8">
        <v>1.0</v>
      </c>
      <c r="R16" s="8">
        <v>1.0</v>
      </c>
      <c r="AQ16" s="8">
        <v>1.0</v>
      </c>
    </row>
    <row r="17" ht="15.0" customHeight="1">
      <c r="A17" s="6" t="s">
        <v>84</v>
      </c>
      <c r="B17" s="7">
        <v>121.0</v>
      </c>
      <c r="C17" s="8">
        <v>1.0</v>
      </c>
      <c r="N17" s="8">
        <v>1.0</v>
      </c>
      <c r="R17" s="8">
        <v>1.0</v>
      </c>
      <c r="AQ17" s="8">
        <v>1.0</v>
      </c>
      <c r="BF17" s="8">
        <v>1.0</v>
      </c>
    </row>
    <row r="18" ht="15.0" customHeight="1">
      <c r="A18" s="6" t="s">
        <v>84</v>
      </c>
      <c r="B18" s="7">
        <v>122.0</v>
      </c>
      <c r="C18" s="8">
        <v>1.0</v>
      </c>
      <c r="F18" s="8">
        <v>1.0</v>
      </c>
    </row>
    <row r="19" ht="15.0" customHeight="1">
      <c r="A19" s="6" t="s">
        <v>85</v>
      </c>
      <c r="B19" s="7">
        <v>123.0</v>
      </c>
      <c r="C19" s="8">
        <v>1.0</v>
      </c>
      <c r="J19" s="8">
        <v>1.0</v>
      </c>
      <c r="K19" s="8">
        <v>1.0</v>
      </c>
      <c r="R19" s="8">
        <v>1.0</v>
      </c>
      <c r="T19" s="8">
        <v>1.0</v>
      </c>
      <c r="V19" s="8">
        <v>1.0</v>
      </c>
      <c r="AD19" s="8">
        <v>1.0</v>
      </c>
      <c r="AI19" s="8">
        <v>1.0</v>
      </c>
      <c r="AO19" s="8">
        <v>1.0</v>
      </c>
      <c r="AW19" s="8">
        <v>1.0</v>
      </c>
      <c r="AZ19" s="8">
        <v>1.0</v>
      </c>
      <c r="BC19" s="8">
        <v>1.0</v>
      </c>
      <c r="BE19" s="8">
        <v>1.0</v>
      </c>
      <c r="BF19" s="8">
        <v>1.0</v>
      </c>
      <c r="BG19" s="8">
        <v>1.0</v>
      </c>
      <c r="BI19" s="8">
        <v>1.0</v>
      </c>
      <c r="BO19" s="8">
        <v>1.0</v>
      </c>
      <c r="BP19" s="8">
        <v>1.0</v>
      </c>
    </row>
    <row r="20" ht="15.0" customHeight="1">
      <c r="A20" s="6" t="s">
        <v>86</v>
      </c>
      <c r="B20" s="7">
        <v>124.0</v>
      </c>
      <c r="C20" s="8">
        <v>1.0</v>
      </c>
      <c r="H20" s="8">
        <v>1.0</v>
      </c>
      <c r="R20" s="8">
        <v>1.0</v>
      </c>
      <c r="AI20" s="8">
        <v>1.0</v>
      </c>
      <c r="AX20" s="8">
        <v>1.0</v>
      </c>
      <c r="AZ20" s="8">
        <v>1.0</v>
      </c>
      <c r="BK20" s="8">
        <v>1.0</v>
      </c>
    </row>
    <row r="21" ht="15.0" customHeight="1">
      <c r="A21" s="6" t="s">
        <v>87</v>
      </c>
      <c r="B21" s="7">
        <v>125.0</v>
      </c>
      <c r="C21" s="8">
        <v>1.0</v>
      </c>
      <c r="H21" s="8">
        <v>1.0</v>
      </c>
      <c r="J21" s="8">
        <v>1.0</v>
      </c>
    </row>
    <row r="22" ht="15.0" customHeight="1">
      <c r="A22" s="6" t="s">
        <v>88</v>
      </c>
      <c r="B22" s="7">
        <v>126.0</v>
      </c>
      <c r="C22" s="8">
        <v>1.0</v>
      </c>
      <c r="H22" s="8">
        <v>1.0</v>
      </c>
      <c r="J22" s="8">
        <v>1.0</v>
      </c>
      <c r="L22" s="8">
        <v>1.0</v>
      </c>
      <c r="N22" s="8">
        <v>1.0</v>
      </c>
      <c r="R22" s="8">
        <v>1.0</v>
      </c>
      <c r="AC22" s="8">
        <v>1.0</v>
      </c>
      <c r="AI22" s="8">
        <v>1.0</v>
      </c>
      <c r="AW22" s="8">
        <v>1.0</v>
      </c>
      <c r="BF22" s="8">
        <v>1.0</v>
      </c>
      <c r="BK22" s="8">
        <v>1.0</v>
      </c>
    </row>
    <row r="23" ht="15.0" customHeight="1">
      <c r="A23" s="6" t="s">
        <v>89</v>
      </c>
      <c r="B23" s="7">
        <v>127.0</v>
      </c>
      <c r="C23" s="8">
        <v>1.0</v>
      </c>
      <c r="H23" s="8">
        <v>1.0</v>
      </c>
      <c r="N23" s="8">
        <v>1.0</v>
      </c>
      <c r="AC23" s="8">
        <v>1.0</v>
      </c>
      <c r="AE23" s="8">
        <v>1.0</v>
      </c>
      <c r="AM23" s="8">
        <v>1.0</v>
      </c>
      <c r="AZ23" s="8">
        <v>1.0</v>
      </c>
    </row>
    <row r="24" ht="15.0" customHeight="1">
      <c r="A24" s="6" t="s">
        <v>89</v>
      </c>
      <c r="B24" s="7">
        <v>128.0</v>
      </c>
      <c r="C24" s="8">
        <v>1.0</v>
      </c>
      <c r="H24" s="8">
        <v>1.0</v>
      </c>
      <c r="N24" s="8">
        <v>1.0</v>
      </c>
      <c r="AZ24" s="8">
        <v>1.0</v>
      </c>
      <c r="BK24" s="8">
        <v>1.0</v>
      </c>
    </row>
    <row r="25" ht="15.0" customHeight="1">
      <c r="A25" s="6" t="s">
        <v>90</v>
      </c>
      <c r="B25" s="7">
        <v>129.0</v>
      </c>
      <c r="C25" s="8">
        <v>1.0</v>
      </c>
      <c r="P25" s="8">
        <v>1.0</v>
      </c>
      <c r="R25" s="8">
        <v>1.0</v>
      </c>
      <c r="AT25" s="8">
        <v>1.0</v>
      </c>
      <c r="AU25" s="8">
        <v>1.0</v>
      </c>
      <c r="AV25" s="8">
        <v>1.0</v>
      </c>
      <c r="AX25" s="8">
        <v>1.0</v>
      </c>
      <c r="BF25" s="8">
        <v>1.0</v>
      </c>
      <c r="BK25" s="8">
        <v>1.0</v>
      </c>
    </row>
    <row r="26" ht="15.0" customHeight="1">
      <c r="A26" s="6" t="s">
        <v>91</v>
      </c>
      <c r="B26" s="7">
        <v>131.0</v>
      </c>
      <c r="C26" s="8">
        <v>1.0</v>
      </c>
      <c r="J26" s="8">
        <v>1.0</v>
      </c>
      <c r="R26" s="8">
        <v>1.0</v>
      </c>
      <c r="AH26" s="8">
        <v>1.0</v>
      </c>
      <c r="AI26" s="8">
        <v>1.0</v>
      </c>
      <c r="AW26" s="8">
        <v>1.0</v>
      </c>
      <c r="AX26" s="8">
        <v>1.0</v>
      </c>
      <c r="BF26" s="8">
        <v>1.0</v>
      </c>
      <c r="BL26" s="8">
        <v>1.0</v>
      </c>
    </row>
    <row r="27" ht="15.0" customHeight="1">
      <c r="A27" s="6" t="s">
        <v>92</v>
      </c>
      <c r="B27" s="7">
        <v>132.0</v>
      </c>
      <c r="C27" s="8">
        <v>1.0</v>
      </c>
      <c r="AI27" s="8">
        <v>1.0</v>
      </c>
    </row>
    <row r="28" ht="15.0" customHeight="1">
      <c r="A28" s="6" t="s">
        <v>93</v>
      </c>
      <c r="B28" s="7">
        <v>133.0</v>
      </c>
      <c r="C28" s="8">
        <v>1.0</v>
      </c>
      <c r="N28" s="8">
        <v>1.0</v>
      </c>
      <c r="R28" s="8">
        <v>1.0</v>
      </c>
      <c r="AC28" s="8">
        <v>1.0</v>
      </c>
      <c r="AE28" s="8">
        <v>1.0</v>
      </c>
      <c r="AI28" s="8">
        <v>1.0</v>
      </c>
      <c r="AZ28" s="8">
        <v>1.0</v>
      </c>
    </row>
    <row r="29" ht="15.0" customHeight="1">
      <c r="A29" s="6" t="s">
        <v>94</v>
      </c>
      <c r="B29" s="7">
        <v>134.0</v>
      </c>
      <c r="C29" s="8">
        <v>1.0</v>
      </c>
      <c r="H29" s="8">
        <v>1.0</v>
      </c>
      <c r="N29" s="8">
        <v>1.0</v>
      </c>
      <c r="R29" s="8">
        <v>1.0</v>
      </c>
      <c r="AI29" s="8">
        <v>1.0</v>
      </c>
      <c r="AZ29" s="8">
        <v>1.0</v>
      </c>
      <c r="BF29" s="8">
        <v>1.0</v>
      </c>
      <c r="BK29" s="8">
        <v>1.0</v>
      </c>
    </row>
    <row r="30" ht="15.0" customHeight="1">
      <c r="A30" s="6" t="s">
        <v>95</v>
      </c>
      <c r="B30" s="7">
        <v>135.0</v>
      </c>
      <c r="C30" s="8">
        <v>1.0</v>
      </c>
    </row>
    <row r="31" ht="15.0" customHeight="1">
      <c r="A31" s="6" t="s">
        <v>96</v>
      </c>
      <c r="B31" s="7">
        <v>136.0</v>
      </c>
      <c r="C31" s="8">
        <v>1.0</v>
      </c>
      <c r="J31" s="8">
        <v>1.0</v>
      </c>
      <c r="N31" s="8">
        <v>1.0</v>
      </c>
      <c r="R31" s="8">
        <v>1.0</v>
      </c>
      <c r="T31" s="8">
        <v>1.0</v>
      </c>
      <c r="Z31" s="8">
        <v>1.0</v>
      </c>
      <c r="AI31" s="8">
        <v>1.0</v>
      </c>
      <c r="AX31" s="8">
        <v>1.0</v>
      </c>
      <c r="AZ31" s="8">
        <v>1.0</v>
      </c>
      <c r="BK31" s="8">
        <v>1.0</v>
      </c>
      <c r="BL31" s="8">
        <v>1.0</v>
      </c>
    </row>
    <row r="32" ht="15.0" customHeight="1">
      <c r="A32" s="6" t="s">
        <v>97</v>
      </c>
      <c r="B32" s="7">
        <v>138.0</v>
      </c>
      <c r="C32" s="8">
        <v>1.0</v>
      </c>
    </row>
    <row r="33" ht="15.0" customHeight="1">
      <c r="A33" s="6" t="s">
        <v>98</v>
      </c>
      <c r="B33" s="7">
        <v>139.0</v>
      </c>
      <c r="C33" s="8">
        <v>1.0</v>
      </c>
      <c r="H33" s="8">
        <v>1.0</v>
      </c>
      <c r="J33" s="8">
        <v>1.0</v>
      </c>
      <c r="N33" s="8">
        <v>1.0</v>
      </c>
      <c r="R33" s="8">
        <v>1.0</v>
      </c>
      <c r="AQ33" s="8">
        <v>1.0</v>
      </c>
      <c r="AW33" s="8">
        <v>1.0</v>
      </c>
      <c r="AZ33" s="8">
        <v>1.0</v>
      </c>
      <c r="BF33" s="8">
        <v>1.0</v>
      </c>
    </row>
    <row r="34" ht="15.75" customHeight="1">
      <c r="A34" s="6" t="s">
        <v>99</v>
      </c>
      <c r="B34" s="7">
        <v>140.0</v>
      </c>
      <c r="C34" s="8">
        <v>1.0</v>
      </c>
      <c r="H34" s="8">
        <v>1.0</v>
      </c>
      <c r="I34" s="8">
        <v>1.0</v>
      </c>
      <c r="J34" s="8">
        <v>1.0</v>
      </c>
      <c r="K34" s="8">
        <v>1.0</v>
      </c>
      <c r="M34" s="8">
        <v>1.0</v>
      </c>
      <c r="N34" s="8">
        <v>1.0</v>
      </c>
      <c r="R34" s="8">
        <v>1.0</v>
      </c>
      <c r="T34" s="8">
        <v>1.0</v>
      </c>
      <c r="W34" s="8">
        <v>1.0</v>
      </c>
      <c r="AC34" s="8">
        <v>1.0</v>
      </c>
      <c r="AE34" s="8">
        <v>1.0</v>
      </c>
      <c r="AI34" s="8">
        <v>1.0</v>
      </c>
      <c r="AJ34" s="8">
        <v>1.0</v>
      </c>
      <c r="AQ34" s="8">
        <v>1.0</v>
      </c>
      <c r="AS34" s="8">
        <v>1.0</v>
      </c>
      <c r="AW34" s="8">
        <v>1.0</v>
      </c>
      <c r="AX34" s="8">
        <v>1.0</v>
      </c>
      <c r="AZ34" s="8">
        <v>1.0</v>
      </c>
      <c r="BG34" s="8">
        <v>1.0</v>
      </c>
      <c r="BK34" s="8">
        <v>1.0</v>
      </c>
      <c r="BN34" s="8">
        <v>1.0</v>
      </c>
    </row>
    <row r="35" ht="15.75" customHeight="1">
      <c r="A35" s="6" t="s">
        <v>100</v>
      </c>
      <c r="B35" s="7">
        <v>141.0</v>
      </c>
      <c r="C35" s="8">
        <v>1.0</v>
      </c>
      <c r="BK35" s="8">
        <v>1.0</v>
      </c>
    </row>
    <row r="36" ht="15.75" customHeight="1">
      <c r="A36" s="6" t="s">
        <v>101</v>
      </c>
      <c r="B36" s="7">
        <v>142.0</v>
      </c>
      <c r="C36" s="8">
        <v>1.0</v>
      </c>
      <c r="I36" s="8">
        <v>1.0</v>
      </c>
      <c r="R36" s="8">
        <v>1.0</v>
      </c>
      <c r="AA36" s="8">
        <v>1.0</v>
      </c>
      <c r="AH36" s="8">
        <v>1.0</v>
      </c>
      <c r="AM36" s="8">
        <v>1.0</v>
      </c>
      <c r="AX36" s="8">
        <v>1.0</v>
      </c>
      <c r="AZ36" s="8">
        <v>1.0</v>
      </c>
      <c r="BK36" s="8">
        <v>1.0</v>
      </c>
      <c r="BO36" s="8">
        <v>1.0</v>
      </c>
      <c r="BP36" s="8">
        <v>1.0</v>
      </c>
    </row>
    <row r="37" ht="15.75" customHeight="1">
      <c r="A37" s="6" t="s">
        <v>102</v>
      </c>
      <c r="B37" s="7">
        <v>143.0</v>
      </c>
      <c r="C37" s="8">
        <v>1.0</v>
      </c>
      <c r="BA37" s="8">
        <v>1.0</v>
      </c>
      <c r="BB37" s="8">
        <v>1.0</v>
      </c>
    </row>
    <row r="38" ht="15.75" customHeight="1">
      <c r="A38" s="6" t="s">
        <v>103</v>
      </c>
      <c r="B38" s="7">
        <v>144.0</v>
      </c>
      <c r="C38" s="8">
        <v>1.0</v>
      </c>
      <c r="H38" s="8">
        <v>1.0</v>
      </c>
      <c r="J38" s="8">
        <v>1.0</v>
      </c>
      <c r="N38" s="8">
        <v>1.0</v>
      </c>
      <c r="R38" s="8">
        <v>1.0</v>
      </c>
      <c r="T38" s="8">
        <v>1.0</v>
      </c>
      <c r="AG38" s="8">
        <v>1.0</v>
      </c>
      <c r="AI38" s="8">
        <v>1.0</v>
      </c>
      <c r="AQ38" s="8">
        <v>1.0</v>
      </c>
      <c r="AW38" s="8">
        <v>1.0</v>
      </c>
      <c r="AX38" s="8">
        <v>1.0</v>
      </c>
      <c r="AZ38" s="8">
        <v>1.0</v>
      </c>
      <c r="BF38" s="8">
        <v>1.0</v>
      </c>
      <c r="BK38" s="8">
        <v>1.0</v>
      </c>
    </row>
    <row r="39" ht="15.75" customHeight="1">
      <c r="A39" s="6" t="s">
        <v>104</v>
      </c>
      <c r="B39" s="7">
        <v>145.0</v>
      </c>
      <c r="C39" s="8">
        <v>1.0</v>
      </c>
    </row>
    <row r="40" ht="15.75" customHeight="1">
      <c r="A40" s="6" t="s">
        <v>105</v>
      </c>
      <c r="B40" s="7">
        <v>146.0</v>
      </c>
      <c r="C40" s="8">
        <v>1.0</v>
      </c>
      <c r="J40" s="8">
        <v>1.0</v>
      </c>
      <c r="N40" s="8">
        <v>1.0</v>
      </c>
      <c r="R40" s="8">
        <v>1.0</v>
      </c>
      <c r="T40" s="8">
        <v>1.0</v>
      </c>
      <c r="U40" s="8">
        <v>1.0</v>
      </c>
      <c r="AC40" s="8">
        <v>1.0</v>
      </c>
      <c r="AI40" s="8">
        <v>1.0</v>
      </c>
      <c r="AW40" s="8">
        <v>1.0</v>
      </c>
      <c r="BB40" s="8">
        <v>1.0</v>
      </c>
      <c r="BF40" s="8">
        <v>1.0</v>
      </c>
    </row>
    <row r="41" ht="15.75" customHeight="1">
      <c r="A41" s="6" t="s">
        <v>106</v>
      </c>
      <c r="B41" s="7">
        <v>149.0</v>
      </c>
      <c r="C41" s="8">
        <v>1.0</v>
      </c>
      <c r="E41" s="8">
        <v>1.0</v>
      </c>
      <c r="G41" s="8">
        <v>1.0</v>
      </c>
      <c r="K41" s="8">
        <v>1.0</v>
      </c>
      <c r="N41" s="8">
        <v>1.0</v>
      </c>
      <c r="X41" s="8">
        <v>1.0</v>
      </c>
      <c r="Y41" s="8">
        <v>1.0</v>
      </c>
      <c r="AA41" s="8">
        <v>1.0</v>
      </c>
      <c r="AD41" s="8">
        <v>1.0</v>
      </c>
      <c r="AE41" s="8">
        <v>1.0</v>
      </c>
      <c r="AI41" s="8">
        <v>1.0</v>
      </c>
      <c r="AJ41" s="8">
        <v>1.0</v>
      </c>
      <c r="AK41" s="8">
        <v>1.0</v>
      </c>
      <c r="AL41" s="8">
        <v>1.0</v>
      </c>
      <c r="AM41" s="8">
        <v>1.0</v>
      </c>
      <c r="AQ41" s="8">
        <v>1.0</v>
      </c>
      <c r="AS41" s="8">
        <v>1.0</v>
      </c>
      <c r="AW41" s="8">
        <v>1.0</v>
      </c>
      <c r="AZ41" s="8">
        <v>1.0</v>
      </c>
      <c r="BA41" s="8">
        <v>1.0</v>
      </c>
      <c r="BI41" s="8">
        <v>1.0</v>
      </c>
      <c r="BK41" s="8">
        <v>1.0</v>
      </c>
    </row>
    <row r="42" ht="15.75" customHeight="1">
      <c r="A42" s="6" t="s">
        <v>107</v>
      </c>
      <c r="B42" s="7">
        <v>150.0</v>
      </c>
      <c r="C42" s="8">
        <v>1.0</v>
      </c>
      <c r="E42" s="8">
        <v>1.0</v>
      </c>
      <c r="J42" s="8">
        <v>1.0</v>
      </c>
      <c r="R42" s="8">
        <v>1.0</v>
      </c>
      <c r="Y42" s="8">
        <v>1.0</v>
      </c>
      <c r="AA42" s="8">
        <v>1.0</v>
      </c>
      <c r="AD42" s="8">
        <v>1.0</v>
      </c>
      <c r="AG42" s="8">
        <v>1.0</v>
      </c>
      <c r="AI42" s="8">
        <v>1.0</v>
      </c>
      <c r="AQ42" s="8">
        <v>1.0</v>
      </c>
      <c r="AW42" s="8">
        <v>1.0</v>
      </c>
      <c r="AX42" s="8">
        <v>1.0</v>
      </c>
      <c r="AZ42" s="8">
        <v>1.0</v>
      </c>
      <c r="BF42" s="8">
        <v>1.0</v>
      </c>
      <c r="BI42" s="8">
        <v>1.0</v>
      </c>
      <c r="BN42" s="8">
        <v>1.0</v>
      </c>
      <c r="BP42" s="8">
        <v>1.0</v>
      </c>
    </row>
    <row r="43" ht="15.75" customHeight="1">
      <c r="A43" s="6" t="s">
        <v>108</v>
      </c>
      <c r="B43" s="7">
        <v>151.0</v>
      </c>
      <c r="C43" s="8">
        <v>1.0</v>
      </c>
      <c r="H43" s="8">
        <v>1.0</v>
      </c>
      <c r="K43" s="8">
        <v>1.0</v>
      </c>
      <c r="V43" s="8">
        <v>1.0</v>
      </c>
      <c r="AB43" s="8">
        <v>1.0</v>
      </c>
      <c r="AI43" s="8">
        <v>1.0</v>
      </c>
      <c r="AM43" s="8">
        <v>1.0</v>
      </c>
      <c r="AO43" s="8">
        <v>1.0</v>
      </c>
      <c r="AP43" s="8">
        <v>1.0</v>
      </c>
      <c r="AQ43" s="8">
        <v>1.0</v>
      </c>
      <c r="AY43" s="8">
        <v>1.0</v>
      </c>
      <c r="AZ43" s="8">
        <v>1.0</v>
      </c>
      <c r="BO43" s="8">
        <v>1.0</v>
      </c>
    </row>
    <row r="44" ht="15.75" customHeight="1">
      <c r="A44" s="6" t="s">
        <v>108</v>
      </c>
      <c r="B44" s="7">
        <v>152.0</v>
      </c>
      <c r="C44" s="8">
        <v>1.0</v>
      </c>
    </row>
    <row r="45" ht="15.75" customHeight="1">
      <c r="A45" s="6" t="s">
        <v>109</v>
      </c>
      <c r="B45" s="7">
        <v>153.0</v>
      </c>
      <c r="C45" s="8">
        <v>1.0</v>
      </c>
      <c r="H45" s="8">
        <v>1.0</v>
      </c>
      <c r="J45" s="8">
        <v>1.0</v>
      </c>
      <c r="K45" s="8">
        <v>1.0</v>
      </c>
      <c r="N45" s="8">
        <v>1.0</v>
      </c>
      <c r="R45" s="8">
        <v>1.0</v>
      </c>
      <c r="T45" s="8">
        <v>1.0</v>
      </c>
      <c r="Y45" s="8">
        <v>1.0</v>
      </c>
      <c r="AI45" s="8">
        <v>1.0</v>
      </c>
      <c r="AL45" s="8">
        <v>1.0</v>
      </c>
      <c r="AM45" s="8">
        <v>1.0</v>
      </c>
      <c r="AP45" s="8">
        <v>1.0</v>
      </c>
      <c r="AQ45" s="8">
        <v>1.0</v>
      </c>
      <c r="AW45" s="8">
        <v>1.0</v>
      </c>
      <c r="AX45" s="8">
        <v>1.0</v>
      </c>
      <c r="AZ45" s="8">
        <v>1.0</v>
      </c>
      <c r="BF45" s="8">
        <v>1.0</v>
      </c>
      <c r="BH45" s="8">
        <v>1.0</v>
      </c>
      <c r="BP45" s="8">
        <v>1.0</v>
      </c>
    </row>
    <row r="46" ht="15.75" customHeight="1">
      <c r="A46" s="6" t="s">
        <v>110</v>
      </c>
      <c r="B46" s="7">
        <v>154.0</v>
      </c>
      <c r="C46" s="8">
        <v>1.0</v>
      </c>
      <c r="AI46" s="8">
        <v>1.0</v>
      </c>
    </row>
    <row r="47" ht="15.75" customHeight="1">
      <c r="A47" s="6" t="s">
        <v>111</v>
      </c>
      <c r="B47" s="7">
        <v>155.0</v>
      </c>
      <c r="C47" s="8">
        <v>1.0</v>
      </c>
      <c r="F47" s="8">
        <v>1.0</v>
      </c>
      <c r="H47" s="8">
        <v>1.0</v>
      </c>
    </row>
    <row r="48" ht="15.75" customHeight="1">
      <c r="A48" s="6" t="s">
        <v>111</v>
      </c>
      <c r="B48" s="7">
        <v>156.0</v>
      </c>
      <c r="C48" s="8">
        <v>1.0</v>
      </c>
      <c r="AZ48" s="8">
        <v>1.0</v>
      </c>
    </row>
    <row r="49" ht="15.75" customHeight="1">
      <c r="A49" s="6" t="s">
        <v>112</v>
      </c>
      <c r="B49" s="7">
        <v>157.0</v>
      </c>
      <c r="C49" s="8">
        <v>1.0</v>
      </c>
      <c r="BF49" s="8">
        <v>1.0</v>
      </c>
    </row>
    <row r="50" ht="15.75" customHeight="1">
      <c r="A50" s="6" t="s">
        <v>112</v>
      </c>
      <c r="B50" s="7">
        <v>158.0</v>
      </c>
      <c r="C50" s="8">
        <v>1.0</v>
      </c>
      <c r="R50" s="8">
        <v>1.0</v>
      </c>
      <c r="AI50" s="8">
        <v>1.0</v>
      </c>
      <c r="AQ50" s="8">
        <v>1.0</v>
      </c>
      <c r="AW50" s="8">
        <v>1.0</v>
      </c>
      <c r="BK50" s="8">
        <v>1.0</v>
      </c>
    </row>
    <row r="51" ht="15.75" customHeight="1">
      <c r="A51" s="6" t="s">
        <v>113</v>
      </c>
      <c r="B51" s="7">
        <v>159.0</v>
      </c>
      <c r="C51" s="8">
        <v>1.0</v>
      </c>
    </row>
    <row r="52" ht="15.75" customHeight="1">
      <c r="A52" s="6" t="s">
        <v>114</v>
      </c>
      <c r="B52" s="7">
        <v>160.0</v>
      </c>
      <c r="C52" s="8">
        <v>1.0</v>
      </c>
      <c r="J52" s="8">
        <v>1.0</v>
      </c>
      <c r="R52" s="8">
        <v>1.0</v>
      </c>
      <c r="T52" s="8">
        <v>1.0</v>
      </c>
      <c r="AI52" s="8">
        <v>1.0</v>
      </c>
      <c r="AQ52" s="8">
        <v>1.0</v>
      </c>
      <c r="AZ52" s="8">
        <v>1.0</v>
      </c>
      <c r="BK52" s="8">
        <v>1.0</v>
      </c>
    </row>
    <row r="53" ht="15.75" customHeight="1">
      <c r="A53" s="6" t="s">
        <v>115</v>
      </c>
      <c r="B53" s="7">
        <v>161.0</v>
      </c>
      <c r="C53" s="8">
        <v>1.0</v>
      </c>
      <c r="E53" s="8">
        <v>1.0</v>
      </c>
      <c r="N53" s="8">
        <v>1.0</v>
      </c>
      <c r="R53" s="8">
        <v>1.0</v>
      </c>
      <c r="AA53" s="8">
        <v>1.0</v>
      </c>
      <c r="AD53" s="8">
        <v>1.0</v>
      </c>
      <c r="AF53" s="8">
        <v>1.0</v>
      </c>
      <c r="AQ53" s="8">
        <v>1.0</v>
      </c>
      <c r="AS53" s="8">
        <v>1.0</v>
      </c>
      <c r="AZ53" s="8">
        <v>1.0</v>
      </c>
      <c r="BK53" s="8">
        <v>1.0</v>
      </c>
      <c r="BQ53" s="8">
        <v>1.0</v>
      </c>
    </row>
    <row r="54" ht="15.75" customHeight="1">
      <c r="A54" s="6" t="s">
        <v>116</v>
      </c>
      <c r="B54" s="7">
        <v>162.0</v>
      </c>
      <c r="R54" s="8">
        <v>1.0</v>
      </c>
    </row>
    <row r="55" ht="15.75" customHeight="1">
      <c r="A55" s="6" t="s">
        <v>117</v>
      </c>
      <c r="B55" s="7">
        <v>163.0</v>
      </c>
      <c r="C55" s="8">
        <v>1.0</v>
      </c>
      <c r="N55" s="8">
        <v>1.0</v>
      </c>
      <c r="R55" s="8">
        <v>1.0</v>
      </c>
      <c r="AZ55" s="8">
        <v>1.0</v>
      </c>
      <c r="BF55" s="8">
        <v>1.0</v>
      </c>
      <c r="BN55" s="8">
        <v>1.0</v>
      </c>
    </row>
    <row r="56" ht="15.75" customHeight="1">
      <c r="A56" s="6" t="s">
        <v>117</v>
      </c>
      <c r="B56" s="7">
        <v>164.0</v>
      </c>
      <c r="C56" s="8">
        <v>1.0</v>
      </c>
      <c r="E56" s="8">
        <v>1.0</v>
      </c>
      <c r="K56" s="8">
        <v>1.0</v>
      </c>
      <c r="N56" s="8">
        <v>1.0</v>
      </c>
      <c r="O56" s="8">
        <v>1.0</v>
      </c>
      <c r="R56" s="8">
        <v>1.0</v>
      </c>
      <c r="BK56" s="8">
        <v>1.0</v>
      </c>
      <c r="BN56" s="8">
        <v>1.0</v>
      </c>
    </row>
    <row r="57" ht="15.75" customHeight="1">
      <c r="A57" s="6" t="s">
        <v>117</v>
      </c>
      <c r="B57" s="7">
        <v>165.0</v>
      </c>
      <c r="C57" s="8">
        <v>1.0</v>
      </c>
    </row>
    <row r="58" ht="15.75" customHeight="1">
      <c r="A58" s="6" t="s">
        <v>118</v>
      </c>
      <c r="B58" s="7">
        <v>166.0</v>
      </c>
      <c r="C58" s="8">
        <v>1.0</v>
      </c>
      <c r="I58" s="8">
        <v>1.0</v>
      </c>
      <c r="J58" s="8">
        <v>1.0</v>
      </c>
      <c r="R58" s="8">
        <v>1.0</v>
      </c>
      <c r="X58" s="8">
        <v>1.0</v>
      </c>
      <c r="AI58" s="8">
        <v>1.0</v>
      </c>
      <c r="AL58" s="8">
        <v>1.0</v>
      </c>
      <c r="AO58" s="8">
        <v>1.0</v>
      </c>
      <c r="AY58" s="8">
        <v>1.0</v>
      </c>
    </row>
    <row r="59" ht="15.75" customHeight="1">
      <c r="A59" s="6" t="s">
        <v>118</v>
      </c>
      <c r="B59" s="7">
        <v>167.0</v>
      </c>
      <c r="C59" s="8">
        <v>1.0</v>
      </c>
      <c r="J59" s="8">
        <v>1.0</v>
      </c>
      <c r="R59" s="8">
        <v>1.0</v>
      </c>
      <c r="AC59" s="8">
        <v>1.0</v>
      </c>
      <c r="BC59" s="8">
        <v>1.0</v>
      </c>
      <c r="BF59" s="8">
        <v>1.0</v>
      </c>
      <c r="BK59" s="8">
        <v>1.0</v>
      </c>
      <c r="BP59" s="8">
        <v>1.0</v>
      </c>
    </row>
    <row r="60" ht="15.75" customHeight="1">
      <c r="A60" s="6" t="s">
        <v>119</v>
      </c>
      <c r="B60" s="7">
        <v>168.0</v>
      </c>
      <c r="C60" s="8">
        <v>1.0</v>
      </c>
      <c r="AZ60" s="8">
        <v>1.0</v>
      </c>
    </row>
    <row r="61" ht="15.75" customHeight="1">
      <c r="A61" s="6" t="s">
        <v>120</v>
      </c>
      <c r="B61" s="7">
        <v>169.0</v>
      </c>
      <c r="C61" s="8">
        <v>1.0</v>
      </c>
      <c r="H61" s="8">
        <v>1.0</v>
      </c>
      <c r="Z61" s="8">
        <v>1.0</v>
      </c>
      <c r="AM61" s="8">
        <v>1.0</v>
      </c>
      <c r="AW61" s="8">
        <v>1.0</v>
      </c>
    </row>
    <row r="62" ht="15.75" customHeight="1">
      <c r="A62" s="6" t="s">
        <v>120</v>
      </c>
      <c r="B62" s="7">
        <v>170.0</v>
      </c>
      <c r="C62" s="8">
        <v>1.0</v>
      </c>
      <c r="K62" s="8">
        <v>1.0</v>
      </c>
      <c r="R62" s="8">
        <v>1.0</v>
      </c>
      <c r="AN62" s="8">
        <v>1.0</v>
      </c>
    </row>
    <row r="63" ht="15.75" customHeight="1">
      <c r="A63" s="6" t="s">
        <v>120</v>
      </c>
      <c r="B63" s="7">
        <v>171.0</v>
      </c>
      <c r="H63" s="8">
        <v>1.0</v>
      </c>
      <c r="J63" s="8">
        <v>1.0</v>
      </c>
      <c r="R63" s="8">
        <v>1.0</v>
      </c>
      <c r="AA63" s="8">
        <v>1.0</v>
      </c>
      <c r="AC63" s="8">
        <v>1.0</v>
      </c>
      <c r="AH63" s="8">
        <v>1.0</v>
      </c>
      <c r="AL63" s="8">
        <v>1.0</v>
      </c>
      <c r="AW63" s="8">
        <v>1.0</v>
      </c>
      <c r="AZ63" s="8">
        <v>1.0</v>
      </c>
      <c r="BF63" s="8">
        <v>1.0</v>
      </c>
      <c r="BG63" s="8">
        <v>1.0</v>
      </c>
      <c r="BI63" s="8">
        <v>1.0</v>
      </c>
      <c r="BJ63" s="8">
        <v>1.0</v>
      </c>
      <c r="BK63" s="8">
        <v>1.0</v>
      </c>
    </row>
    <row r="64" ht="15.75" customHeight="1">
      <c r="A64" s="6" t="s">
        <v>121</v>
      </c>
      <c r="B64" s="7">
        <v>172.0</v>
      </c>
      <c r="C64" s="8">
        <v>1.0</v>
      </c>
      <c r="X64" s="8">
        <v>1.0</v>
      </c>
    </row>
    <row r="65" ht="15.75" customHeight="1">
      <c r="A65" s="6" t="s">
        <v>122</v>
      </c>
      <c r="B65" s="7">
        <v>173.0</v>
      </c>
      <c r="C65" s="8">
        <v>1.0</v>
      </c>
      <c r="E65" s="8">
        <v>1.0</v>
      </c>
      <c r="J65" s="8">
        <v>1.0</v>
      </c>
      <c r="N65" s="8">
        <v>1.0</v>
      </c>
      <c r="O65" s="8">
        <v>1.0</v>
      </c>
      <c r="R65" s="8">
        <v>1.0</v>
      </c>
      <c r="T65" s="8">
        <v>1.0</v>
      </c>
      <c r="AI65" s="8">
        <v>1.0</v>
      </c>
      <c r="AW65" s="8">
        <v>1.0</v>
      </c>
      <c r="BC65" s="8">
        <v>1.0</v>
      </c>
      <c r="BF65" s="8">
        <v>1.0</v>
      </c>
      <c r="BK65" s="8">
        <v>1.0</v>
      </c>
    </row>
    <row r="66" ht="15.75" customHeight="1">
      <c r="A66" s="6" t="s">
        <v>123</v>
      </c>
      <c r="B66" s="7">
        <v>174.0</v>
      </c>
      <c r="C66" s="8">
        <v>1.0</v>
      </c>
      <c r="H66" s="8">
        <v>1.0</v>
      </c>
      <c r="N66" s="8">
        <v>1.0</v>
      </c>
      <c r="R66" s="8">
        <v>1.0</v>
      </c>
      <c r="AI66" s="8">
        <v>1.0</v>
      </c>
      <c r="AW66" s="8">
        <v>1.0</v>
      </c>
      <c r="AZ66" s="8">
        <v>1.0</v>
      </c>
      <c r="BF66" s="8">
        <v>1.0</v>
      </c>
    </row>
    <row r="67" ht="15.75" customHeight="1">
      <c r="A67" s="6" t="s">
        <v>123</v>
      </c>
      <c r="B67" s="7">
        <v>175.0</v>
      </c>
      <c r="C67" s="8">
        <v>1.0</v>
      </c>
      <c r="AG67" s="8">
        <v>1.0</v>
      </c>
      <c r="AZ67" s="8">
        <v>1.0</v>
      </c>
      <c r="BM67" s="8">
        <v>1.0</v>
      </c>
    </row>
    <row r="68" ht="15.75" customHeight="1">
      <c r="A68" s="6" t="s">
        <v>124</v>
      </c>
      <c r="B68" s="7">
        <v>176.0</v>
      </c>
      <c r="C68" s="8">
        <v>1.0</v>
      </c>
      <c r="L68" s="8">
        <v>1.0</v>
      </c>
      <c r="R68" s="8">
        <v>1.0</v>
      </c>
      <c r="AC68" s="8">
        <v>1.0</v>
      </c>
      <c r="AZ68" s="8">
        <v>1.0</v>
      </c>
      <c r="BC68" s="8">
        <v>1.0</v>
      </c>
    </row>
    <row r="69" ht="15.75" customHeight="1">
      <c r="A69" s="6" t="s">
        <v>125</v>
      </c>
      <c r="B69" s="7">
        <v>177.0</v>
      </c>
      <c r="C69" s="8">
        <v>1.0</v>
      </c>
      <c r="H69" s="8">
        <v>1.0</v>
      </c>
      <c r="R69" s="8">
        <v>1.0</v>
      </c>
      <c r="AA69" s="8">
        <v>1.0</v>
      </c>
      <c r="AG69" s="8">
        <v>1.0</v>
      </c>
      <c r="AS69" s="8">
        <v>1.0</v>
      </c>
      <c r="AZ69" s="8">
        <v>1.0</v>
      </c>
      <c r="BK69" s="8">
        <v>1.0</v>
      </c>
    </row>
    <row r="70" ht="15.75" customHeight="1">
      <c r="A70" s="6" t="s">
        <v>126</v>
      </c>
      <c r="B70" s="7">
        <v>178.0</v>
      </c>
      <c r="C70" s="8">
        <v>1.0</v>
      </c>
      <c r="BK70" s="8">
        <v>1.0</v>
      </c>
    </row>
    <row r="71" ht="15.75" customHeight="1">
      <c r="A71" s="6" t="s">
        <v>127</v>
      </c>
      <c r="B71" s="7">
        <v>179.0</v>
      </c>
      <c r="C71" s="8">
        <v>1.0</v>
      </c>
      <c r="R71" s="8">
        <v>1.0</v>
      </c>
      <c r="AI71" s="8">
        <v>1.0</v>
      </c>
      <c r="AZ71" s="8">
        <v>1.0</v>
      </c>
    </row>
    <row r="72" ht="15.75" customHeight="1">
      <c r="A72" s="6" t="s">
        <v>128</v>
      </c>
      <c r="B72" s="7">
        <v>180.0</v>
      </c>
      <c r="C72" s="8">
        <v>1.0</v>
      </c>
      <c r="BK72" s="8">
        <v>1.0</v>
      </c>
    </row>
    <row r="73" ht="15.75" customHeight="1">
      <c r="A73" s="6" t="s">
        <v>129</v>
      </c>
      <c r="B73" s="7">
        <v>181.0</v>
      </c>
      <c r="C73" s="8">
        <v>1.0</v>
      </c>
      <c r="BK73" s="8">
        <v>1.0</v>
      </c>
    </row>
    <row r="74" ht="15.75" customHeight="1">
      <c r="A74" s="6" t="s">
        <v>130</v>
      </c>
      <c r="B74" s="7">
        <v>183.0</v>
      </c>
      <c r="C74" s="8">
        <v>1.0</v>
      </c>
      <c r="AZ74" s="8">
        <v>1.0</v>
      </c>
    </row>
    <row r="75" ht="15.75" customHeight="1">
      <c r="A75" s="6" t="s">
        <v>131</v>
      </c>
      <c r="B75" s="7">
        <v>184.0</v>
      </c>
      <c r="C75" s="8">
        <v>1.0</v>
      </c>
      <c r="J75" s="8">
        <v>1.0</v>
      </c>
      <c r="O75" s="8">
        <v>1.0</v>
      </c>
      <c r="R75" s="8">
        <v>1.0</v>
      </c>
      <c r="T75" s="8">
        <v>1.0</v>
      </c>
      <c r="AL75" s="8">
        <v>1.0</v>
      </c>
      <c r="AW75" s="8">
        <v>1.0</v>
      </c>
      <c r="BF75" s="8">
        <v>1.0</v>
      </c>
    </row>
    <row r="76" ht="15.75" customHeight="1">
      <c r="A76" s="6" t="s">
        <v>132</v>
      </c>
      <c r="B76" s="7">
        <v>185.0</v>
      </c>
      <c r="C76" s="8">
        <v>1.0</v>
      </c>
      <c r="T76" s="8">
        <v>1.0</v>
      </c>
      <c r="AG76" s="8">
        <v>1.0</v>
      </c>
      <c r="AI76" s="8">
        <v>1.0</v>
      </c>
      <c r="AM76" s="8">
        <v>1.0</v>
      </c>
      <c r="BF76" s="8">
        <v>1.0</v>
      </c>
    </row>
    <row r="77" ht="15.75" customHeight="1">
      <c r="A77" s="6" t="s">
        <v>133</v>
      </c>
      <c r="B77" s="7">
        <v>187.0</v>
      </c>
      <c r="C77" s="8">
        <v>1.0</v>
      </c>
      <c r="O77" s="8">
        <v>1.0</v>
      </c>
      <c r="P77" s="8">
        <v>1.0</v>
      </c>
      <c r="AI77" s="8">
        <v>1.0</v>
      </c>
      <c r="AW77" s="8">
        <v>1.0</v>
      </c>
    </row>
    <row r="78" ht="15.75" customHeight="1">
      <c r="A78" s="6" t="s">
        <v>134</v>
      </c>
      <c r="B78" s="7">
        <v>188.0</v>
      </c>
      <c r="C78" s="8">
        <v>1.0</v>
      </c>
      <c r="AC78" s="8">
        <v>1.0</v>
      </c>
    </row>
    <row r="79" ht="15.75" customHeight="1">
      <c r="A79" s="6" t="s">
        <v>135</v>
      </c>
      <c r="B79" s="7">
        <v>189.0</v>
      </c>
      <c r="C79" s="8">
        <v>1.0</v>
      </c>
      <c r="D79" s="8">
        <v>1.0</v>
      </c>
      <c r="H79" s="8">
        <v>1.0</v>
      </c>
      <c r="J79" s="8">
        <v>1.0</v>
      </c>
      <c r="N79" s="8">
        <v>1.0</v>
      </c>
      <c r="R79" s="8">
        <v>1.0</v>
      </c>
      <c r="X79" s="8">
        <v>1.0</v>
      </c>
      <c r="AE79" s="8">
        <v>1.0</v>
      </c>
      <c r="AI79" s="8">
        <v>1.0</v>
      </c>
      <c r="AW79" s="8">
        <v>1.0</v>
      </c>
      <c r="AZ79" s="8">
        <v>1.0</v>
      </c>
      <c r="BD79" s="8">
        <v>1.0</v>
      </c>
      <c r="BF79" s="8">
        <v>1.0</v>
      </c>
      <c r="BI79" s="8">
        <v>1.0</v>
      </c>
    </row>
    <row r="80" ht="15.75" customHeight="1">
      <c r="A80" s="6" t="s">
        <v>135</v>
      </c>
      <c r="B80" s="7">
        <v>190.0</v>
      </c>
      <c r="C80" s="8">
        <v>1.0</v>
      </c>
      <c r="E80" s="8">
        <v>1.0</v>
      </c>
      <c r="J80" s="8">
        <v>1.0</v>
      </c>
      <c r="N80" s="8">
        <v>1.0</v>
      </c>
      <c r="Q80" s="8">
        <v>1.0</v>
      </c>
      <c r="R80" s="8">
        <v>1.0</v>
      </c>
      <c r="AE80" s="8">
        <v>1.0</v>
      </c>
      <c r="AL80" s="8">
        <v>1.0</v>
      </c>
      <c r="AW80" s="8">
        <v>1.0</v>
      </c>
      <c r="AZ80" s="8">
        <v>1.0</v>
      </c>
      <c r="BC80" s="8">
        <v>1.0</v>
      </c>
      <c r="BF80" s="8">
        <v>1.0</v>
      </c>
      <c r="BG80" s="8">
        <v>1.0</v>
      </c>
      <c r="BK80" s="8">
        <v>1.0</v>
      </c>
    </row>
    <row r="81" ht="15.75" customHeight="1">
      <c r="A81" s="6" t="s">
        <v>136</v>
      </c>
      <c r="B81" s="7">
        <v>193.0</v>
      </c>
      <c r="C81" s="8">
        <v>1.0</v>
      </c>
      <c r="AU81" s="8">
        <v>1.0</v>
      </c>
      <c r="AZ81" s="8">
        <v>1.0</v>
      </c>
    </row>
    <row r="82" ht="15.75" customHeight="1">
      <c r="A82" s="6" t="s">
        <v>137</v>
      </c>
      <c r="B82" s="7">
        <v>194.0</v>
      </c>
      <c r="C82" s="8">
        <v>1.0</v>
      </c>
    </row>
    <row r="83" ht="15.75" customHeight="1">
      <c r="A83" s="6" t="s">
        <v>138</v>
      </c>
      <c r="B83" s="7">
        <v>200.0</v>
      </c>
      <c r="C83" s="8">
        <v>1.0</v>
      </c>
      <c r="H83" s="8">
        <v>1.0</v>
      </c>
      <c r="J83" s="8">
        <v>1.0</v>
      </c>
      <c r="N83" s="8">
        <v>1.0</v>
      </c>
      <c r="P83" s="8">
        <v>1.0</v>
      </c>
      <c r="R83" s="8">
        <v>1.0</v>
      </c>
      <c r="T83" s="8">
        <v>1.0</v>
      </c>
      <c r="AC83" s="8">
        <v>1.0</v>
      </c>
      <c r="AE83" s="8">
        <v>1.0</v>
      </c>
      <c r="AG83" s="8">
        <v>1.0</v>
      </c>
      <c r="AI83" s="8">
        <v>1.0</v>
      </c>
      <c r="AU83" s="8">
        <v>1.0</v>
      </c>
      <c r="AZ83" s="8">
        <v>1.0</v>
      </c>
      <c r="BC83" s="8">
        <v>1.0</v>
      </c>
      <c r="BF83" s="8">
        <v>1.0</v>
      </c>
      <c r="BK83" s="8">
        <v>1.0</v>
      </c>
    </row>
    <row r="84" ht="15.75" customHeight="1">
      <c r="A84" s="6" t="s">
        <v>112</v>
      </c>
      <c r="B84" s="2" t="s">
        <v>139</v>
      </c>
      <c r="C84" s="8">
        <v>1.0</v>
      </c>
      <c r="O84" s="8">
        <v>1.0</v>
      </c>
    </row>
    <row r="85" ht="15.0" customHeight="1">
      <c r="A85" s="6" t="s">
        <v>77</v>
      </c>
      <c r="B85" s="2" t="s">
        <v>140</v>
      </c>
      <c r="C85" s="8">
        <v>1.0</v>
      </c>
      <c r="K85" s="8">
        <v>1.0</v>
      </c>
      <c r="AR85" s="8">
        <v>1.0</v>
      </c>
      <c r="AZ85" s="8">
        <v>1.0</v>
      </c>
    </row>
    <row r="86" ht="15.0" customHeight="1">
      <c r="A86" s="6" t="s">
        <v>80</v>
      </c>
      <c r="B86" s="2" t="s">
        <v>141</v>
      </c>
      <c r="K86" s="8">
        <v>1.0</v>
      </c>
      <c r="AR86" s="8">
        <v>1.0</v>
      </c>
    </row>
    <row r="87" ht="15.75" customHeight="1">
      <c r="A87" s="6" t="s">
        <v>89</v>
      </c>
      <c r="B87" s="2" t="s">
        <v>142</v>
      </c>
      <c r="K87" s="8">
        <v>1.0</v>
      </c>
      <c r="AR87" s="8">
        <v>1.0</v>
      </c>
      <c r="BK87" s="8">
        <v>1.0</v>
      </c>
    </row>
    <row r="88" ht="15.75" customHeight="1">
      <c r="A88" s="6" t="s">
        <v>91</v>
      </c>
      <c r="B88" s="2" t="s">
        <v>143</v>
      </c>
      <c r="C88" s="8">
        <v>1.0</v>
      </c>
      <c r="K88" s="8">
        <v>1.0</v>
      </c>
      <c r="AR88" s="8">
        <v>1.0</v>
      </c>
    </row>
    <row r="89" ht="15.75" customHeight="1">
      <c r="A89" s="6" t="s">
        <v>99</v>
      </c>
      <c r="B89" s="2" t="s">
        <v>144</v>
      </c>
      <c r="K89" s="8">
        <v>1.0</v>
      </c>
      <c r="BK89" s="8">
        <v>1.0</v>
      </c>
    </row>
    <row r="90" ht="15.75" customHeight="1">
      <c r="A90" s="6" t="s">
        <v>120</v>
      </c>
      <c r="B90" s="2" t="s">
        <v>145</v>
      </c>
      <c r="C90" s="8">
        <v>1.0</v>
      </c>
      <c r="H90" s="8">
        <v>1.0</v>
      </c>
      <c r="O90" s="8">
        <v>1.0</v>
      </c>
      <c r="AQ90" s="8">
        <v>1.0</v>
      </c>
      <c r="AY90" s="8">
        <v>1.0</v>
      </c>
    </row>
    <row r="91" ht="15.75" customHeight="1">
      <c r="A91" s="6" t="s">
        <v>146</v>
      </c>
      <c r="B91" s="2" t="s">
        <v>147</v>
      </c>
      <c r="K91" s="8">
        <v>1.0</v>
      </c>
      <c r="AR91" s="8">
        <v>1.0</v>
      </c>
      <c r="AZ91" s="8">
        <v>1.0</v>
      </c>
    </row>
    <row r="92" ht="15.0" customHeight="1">
      <c r="A92" s="6" t="s">
        <v>77</v>
      </c>
      <c r="B92" s="2" t="s">
        <v>148</v>
      </c>
      <c r="C92" s="8">
        <v>1.0</v>
      </c>
      <c r="I92" s="8">
        <v>1.0</v>
      </c>
      <c r="AC92" s="8">
        <v>1.0</v>
      </c>
      <c r="AZ92" s="8">
        <v>1.0</v>
      </c>
      <c r="BB92" s="8">
        <v>1.0</v>
      </c>
      <c r="BF92" s="8">
        <v>1.0</v>
      </c>
    </row>
    <row r="93" ht="15.75" customHeight="1">
      <c r="A93" s="6" t="s">
        <v>149</v>
      </c>
      <c r="B93" s="2" t="s">
        <v>150</v>
      </c>
      <c r="C93" s="8">
        <v>1.0</v>
      </c>
      <c r="I93" s="8">
        <v>1.0</v>
      </c>
      <c r="L93" s="8">
        <v>1.0</v>
      </c>
      <c r="AC93" s="8">
        <v>1.0</v>
      </c>
      <c r="AZ93" s="8">
        <v>1.0</v>
      </c>
      <c r="BR93" s="8">
        <v>1.0</v>
      </c>
    </row>
    <row r="94" ht="15.75" customHeight="1">
      <c r="A94" s="6" t="s">
        <v>92</v>
      </c>
      <c r="B94" s="2" t="s">
        <v>151</v>
      </c>
      <c r="C94" s="8">
        <v>1.0</v>
      </c>
      <c r="I94" s="8">
        <v>1.0</v>
      </c>
      <c r="S94" s="8">
        <v>1.0</v>
      </c>
      <c r="AC94" s="8">
        <v>1.0</v>
      </c>
      <c r="AQ94" s="8">
        <v>1.0</v>
      </c>
      <c r="AS94" s="8">
        <v>1.0</v>
      </c>
      <c r="AW94" s="8">
        <v>1.0</v>
      </c>
      <c r="AZ94" s="8">
        <v>1.0</v>
      </c>
      <c r="BF94" s="8">
        <v>1.0</v>
      </c>
      <c r="BP94" s="8">
        <v>1.0</v>
      </c>
    </row>
    <row r="95" ht="15.75" customHeight="1">
      <c r="A95" s="6" t="s">
        <v>152</v>
      </c>
      <c r="B95" s="2" t="s">
        <v>153</v>
      </c>
      <c r="R95" s="8">
        <v>1.0</v>
      </c>
      <c r="BM95" s="8">
        <v>1.0</v>
      </c>
    </row>
    <row r="96" ht="15.75" customHeight="1">
      <c r="A96" s="6" t="s">
        <v>154</v>
      </c>
      <c r="B96" s="2" t="s">
        <v>155</v>
      </c>
      <c r="C96" s="8">
        <v>1.0</v>
      </c>
      <c r="I96" s="8">
        <v>1.0</v>
      </c>
      <c r="AQ96" s="8">
        <v>1.0</v>
      </c>
      <c r="AW96" s="8">
        <v>1.0</v>
      </c>
      <c r="AZ96" s="8">
        <v>1.0</v>
      </c>
      <c r="BP96" s="8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5.63"/>
    <col customWidth="1" min="2" max="2" width="34.13"/>
    <col customWidth="1" min="3" max="72" width="10.25"/>
  </cols>
  <sheetData>
    <row r="1" ht="15.0" customHeight="1">
      <c r="A1" s="3" t="s">
        <v>0</v>
      </c>
      <c r="B1" s="3" t="s">
        <v>156</v>
      </c>
      <c r="C1" s="3" t="s">
        <v>28</v>
      </c>
      <c r="D1" s="3" t="s">
        <v>157</v>
      </c>
      <c r="E1" s="3" t="s">
        <v>158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14</v>
      </c>
      <c r="M1" s="3" t="s">
        <v>13</v>
      </c>
      <c r="N1" s="3" t="s">
        <v>16</v>
      </c>
      <c r="O1" s="3" t="s">
        <v>17</v>
      </c>
      <c r="P1" s="3" t="s">
        <v>159</v>
      </c>
      <c r="Q1" s="3" t="s">
        <v>18</v>
      </c>
      <c r="R1" s="3" t="s">
        <v>20</v>
      </c>
      <c r="S1" s="3" t="s">
        <v>19</v>
      </c>
      <c r="T1" s="3" t="s">
        <v>21</v>
      </c>
      <c r="U1" s="3" t="s">
        <v>22</v>
      </c>
      <c r="V1" s="3" t="s">
        <v>23</v>
      </c>
      <c r="W1" s="3" t="s">
        <v>160</v>
      </c>
      <c r="X1" s="3" t="s">
        <v>25</v>
      </c>
      <c r="Y1" s="3" t="s">
        <v>26</v>
      </c>
      <c r="Z1" s="3" t="s">
        <v>161</v>
      </c>
      <c r="AA1" s="3" t="s">
        <v>27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162</v>
      </c>
      <c r="AJ1" s="3" t="s">
        <v>163</v>
      </c>
      <c r="AK1" s="3" t="s">
        <v>37</v>
      </c>
      <c r="AL1" s="3" t="s">
        <v>38</v>
      </c>
      <c r="AM1" s="3" t="s">
        <v>39</v>
      </c>
      <c r="AN1" s="3" t="s">
        <v>164</v>
      </c>
      <c r="AO1" s="3" t="s">
        <v>42</v>
      </c>
      <c r="AP1" s="3" t="s">
        <v>165</v>
      </c>
      <c r="AQ1" s="3" t="s">
        <v>166</v>
      </c>
      <c r="AR1" s="3" t="s">
        <v>167</v>
      </c>
      <c r="AS1" s="3" t="s">
        <v>45</v>
      </c>
      <c r="AT1" s="3" t="s">
        <v>168</v>
      </c>
      <c r="AU1" s="3" t="s">
        <v>169</v>
      </c>
      <c r="AV1" s="3" t="s">
        <v>170</v>
      </c>
      <c r="AW1" s="3" t="s">
        <v>2</v>
      </c>
      <c r="AX1" s="3" t="s">
        <v>171</v>
      </c>
      <c r="AY1" s="3" t="s">
        <v>49</v>
      </c>
      <c r="AZ1" s="3" t="s">
        <v>48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172</v>
      </c>
      <c r="BF1" s="3" t="s">
        <v>55</v>
      </c>
      <c r="BG1" s="3" t="s">
        <v>173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65</v>
      </c>
      <c r="BQ1" s="3" t="s">
        <v>64</v>
      </c>
      <c r="BR1" s="3" t="s">
        <v>66</v>
      </c>
      <c r="BS1" s="3" t="s">
        <v>67</v>
      </c>
      <c r="BT1" s="3" t="s">
        <v>69</v>
      </c>
    </row>
    <row r="2" ht="15.0" customHeight="1">
      <c r="A2" s="3" t="s">
        <v>174</v>
      </c>
      <c r="B2" s="5">
        <f>COUNTA(B7:B327)</f>
        <v>321</v>
      </c>
    </row>
    <row r="3" ht="15.0" customHeight="1">
      <c r="A3" s="3" t="s">
        <v>71</v>
      </c>
      <c r="B3" s="5">
        <f>COUNTA(B7:B312)</f>
        <v>306</v>
      </c>
    </row>
    <row r="4" ht="15.0" customHeight="1">
      <c r="A4" s="3" t="s">
        <v>72</v>
      </c>
      <c r="C4" s="5">
        <f t="shared" ref="C4:BT4" si="1">SUM(C7:C327)</f>
        <v>286</v>
      </c>
      <c r="D4" s="5">
        <f t="shared" si="1"/>
        <v>2</v>
      </c>
      <c r="E4" s="5">
        <f t="shared" si="1"/>
        <v>2</v>
      </c>
      <c r="F4" s="5">
        <f t="shared" si="1"/>
        <v>11</v>
      </c>
      <c r="G4" s="5">
        <f t="shared" si="1"/>
        <v>136</v>
      </c>
      <c r="H4" s="5">
        <f t="shared" si="1"/>
        <v>5</v>
      </c>
      <c r="I4" s="5">
        <f t="shared" si="1"/>
        <v>133</v>
      </c>
      <c r="J4" s="5">
        <f t="shared" si="1"/>
        <v>90</v>
      </c>
      <c r="K4" s="5">
        <f t="shared" si="1"/>
        <v>3</v>
      </c>
      <c r="L4" s="5">
        <f t="shared" si="1"/>
        <v>1</v>
      </c>
      <c r="M4" s="5">
        <f t="shared" si="1"/>
        <v>11</v>
      </c>
      <c r="N4" s="5">
        <f t="shared" si="1"/>
        <v>1</v>
      </c>
      <c r="O4" s="5">
        <f t="shared" si="1"/>
        <v>24</v>
      </c>
      <c r="P4" s="5">
        <f t="shared" si="1"/>
        <v>2</v>
      </c>
      <c r="Q4" s="5">
        <f t="shared" si="1"/>
        <v>7</v>
      </c>
      <c r="R4" s="5">
        <f t="shared" si="1"/>
        <v>60</v>
      </c>
      <c r="S4" s="5">
        <f t="shared" si="1"/>
        <v>3</v>
      </c>
      <c r="T4" s="5">
        <f t="shared" si="1"/>
        <v>1</v>
      </c>
      <c r="U4" s="5">
        <f t="shared" si="1"/>
        <v>10</v>
      </c>
      <c r="V4" s="5">
        <f t="shared" si="1"/>
        <v>1</v>
      </c>
      <c r="W4" s="5">
        <f t="shared" si="1"/>
        <v>1</v>
      </c>
      <c r="X4" s="5">
        <f t="shared" si="1"/>
        <v>2</v>
      </c>
      <c r="Y4" s="5">
        <f t="shared" si="1"/>
        <v>3</v>
      </c>
      <c r="Z4" s="5">
        <f t="shared" si="1"/>
        <v>27</v>
      </c>
      <c r="AA4" s="5">
        <f t="shared" si="1"/>
        <v>2</v>
      </c>
      <c r="AB4" s="5">
        <f t="shared" si="1"/>
        <v>3</v>
      </c>
      <c r="AC4" s="5">
        <f t="shared" si="1"/>
        <v>12</v>
      </c>
      <c r="AD4" s="5">
        <f t="shared" si="1"/>
        <v>88</v>
      </c>
      <c r="AE4" s="5">
        <f t="shared" si="1"/>
        <v>16</v>
      </c>
      <c r="AF4" s="5">
        <f t="shared" si="1"/>
        <v>107</v>
      </c>
      <c r="AG4" s="5">
        <f t="shared" si="1"/>
        <v>5</v>
      </c>
      <c r="AH4" s="5">
        <f t="shared" si="1"/>
        <v>2</v>
      </c>
      <c r="AI4" s="5">
        <f t="shared" si="1"/>
        <v>6</v>
      </c>
      <c r="AJ4" s="5">
        <f t="shared" si="1"/>
        <v>1</v>
      </c>
      <c r="AK4" s="5">
        <f t="shared" si="1"/>
        <v>2</v>
      </c>
      <c r="AL4" s="5">
        <f t="shared" si="1"/>
        <v>7</v>
      </c>
      <c r="AM4" s="5">
        <f t="shared" si="1"/>
        <v>6</v>
      </c>
      <c r="AN4" s="5">
        <f t="shared" si="1"/>
        <v>128</v>
      </c>
      <c r="AO4" s="5">
        <f t="shared" si="1"/>
        <v>41</v>
      </c>
      <c r="AP4" s="5">
        <f t="shared" si="1"/>
        <v>4</v>
      </c>
      <c r="AQ4" s="5">
        <f t="shared" si="1"/>
        <v>99</v>
      </c>
      <c r="AR4" s="5">
        <f t="shared" si="1"/>
        <v>6</v>
      </c>
      <c r="AS4" s="5">
        <f t="shared" si="1"/>
        <v>159</v>
      </c>
      <c r="AT4" s="5">
        <f t="shared" si="1"/>
        <v>6</v>
      </c>
      <c r="AU4" s="5">
        <f t="shared" si="1"/>
        <v>2</v>
      </c>
      <c r="AV4" s="5">
        <f t="shared" si="1"/>
        <v>4</v>
      </c>
      <c r="AW4" s="5">
        <f t="shared" si="1"/>
        <v>4</v>
      </c>
      <c r="AX4" s="5">
        <f t="shared" si="1"/>
        <v>94</v>
      </c>
      <c r="AY4" s="5">
        <f t="shared" si="1"/>
        <v>12</v>
      </c>
      <c r="AZ4" s="5">
        <f t="shared" si="1"/>
        <v>28</v>
      </c>
      <c r="BA4" s="5">
        <f t="shared" si="1"/>
        <v>27</v>
      </c>
      <c r="BB4" s="5">
        <f t="shared" si="1"/>
        <v>9</v>
      </c>
      <c r="BC4" s="5">
        <f t="shared" si="1"/>
        <v>13</v>
      </c>
      <c r="BD4" s="5">
        <f t="shared" si="1"/>
        <v>7</v>
      </c>
      <c r="BE4" s="5">
        <f t="shared" si="1"/>
        <v>2</v>
      </c>
      <c r="BF4" s="5">
        <f t="shared" si="1"/>
        <v>14</v>
      </c>
      <c r="BG4" s="5">
        <f t="shared" si="1"/>
        <v>24</v>
      </c>
      <c r="BH4" s="5">
        <f t="shared" si="1"/>
        <v>5</v>
      </c>
      <c r="BI4" s="5">
        <f t="shared" si="1"/>
        <v>231</v>
      </c>
      <c r="BJ4" s="5">
        <f t="shared" si="1"/>
        <v>14</v>
      </c>
      <c r="BK4" s="5">
        <f t="shared" si="1"/>
        <v>3</v>
      </c>
      <c r="BL4" s="5">
        <f t="shared" si="1"/>
        <v>152</v>
      </c>
      <c r="BM4" s="5">
        <f t="shared" si="1"/>
        <v>48</v>
      </c>
      <c r="BN4" s="5">
        <f t="shared" si="1"/>
        <v>18</v>
      </c>
      <c r="BO4" s="5">
        <f t="shared" si="1"/>
        <v>21</v>
      </c>
      <c r="BP4" s="5">
        <f t="shared" si="1"/>
        <v>16</v>
      </c>
      <c r="BQ4" s="5">
        <f t="shared" si="1"/>
        <v>2</v>
      </c>
      <c r="BR4" s="5">
        <f t="shared" si="1"/>
        <v>4</v>
      </c>
      <c r="BS4" s="5">
        <f t="shared" si="1"/>
        <v>81</v>
      </c>
      <c r="BT4" s="5">
        <f t="shared" si="1"/>
        <v>63</v>
      </c>
    </row>
    <row r="5" ht="15.0" customHeight="1">
      <c r="A5" s="3" t="s">
        <v>73</v>
      </c>
      <c r="C5" s="5">
        <f t="shared" ref="C5:BT5" si="2">SUM(C7:C312)</f>
        <v>286</v>
      </c>
      <c r="D5" s="5">
        <f t="shared" si="2"/>
        <v>2</v>
      </c>
      <c r="E5" s="5">
        <f t="shared" si="2"/>
        <v>2</v>
      </c>
      <c r="F5" s="5">
        <f t="shared" si="2"/>
        <v>11</v>
      </c>
      <c r="G5" s="5">
        <f t="shared" si="2"/>
        <v>136</v>
      </c>
      <c r="H5" s="5">
        <f t="shared" si="2"/>
        <v>5</v>
      </c>
      <c r="I5" s="5">
        <f t="shared" si="2"/>
        <v>133</v>
      </c>
      <c r="J5" s="5">
        <f t="shared" si="2"/>
        <v>89</v>
      </c>
      <c r="K5" s="5">
        <f t="shared" si="2"/>
        <v>3</v>
      </c>
      <c r="L5" s="5">
        <f t="shared" si="2"/>
        <v>1</v>
      </c>
      <c r="M5" s="5">
        <f t="shared" si="2"/>
        <v>11</v>
      </c>
      <c r="N5" s="5">
        <f t="shared" si="2"/>
        <v>0</v>
      </c>
      <c r="O5" s="5">
        <f t="shared" si="2"/>
        <v>24</v>
      </c>
      <c r="P5" s="5">
        <f t="shared" si="2"/>
        <v>2</v>
      </c>
      <c r="Q5" s="5">
        <f t="shared" si="2"/>
        <v>7</v>
      </c>
      <c r="R5" s="5">
        <f t="shared" si="2"/>
        <v>60</v>
      </c>
      <c r="S5" s="5">
        <f t="shared" si="2"/>
        <v>3</v>
      </c>
      <c r="T5" s="5">
        <f t="shared" si="2"/>
        <v>1</v>
      </c>
      <c r="U5" s="5">
        <f t="shared" si="2"/>
        <v>10</v>
      </c>
      <c r="V5" s="5">
        <f t="shared" si="2"/>
        <v>1</v>
      </c>
      <c r="W5" s="5">
        <f t="shared" si="2"/>
        <v>1</v>
      </c>
      <c r="X5" s="5">
        <f t="shared" si="2"/>
        <v>2</v>
      </c>
      <c r="Y5" s="5">
        <f t="shared" si="2"/>
        <v>3</v>
      </c>
      <c r="Z5" s="5">
        <f t="shared" si="2"/>
        <v>27</v>
      </c>
      <c r="AA5" s="5">
        <f t="shared" si="2"/>
        <v>2</v>
      </c>
      <c r="AB5" s="5">
        <f t="shared" si="2"/>
        <v>3</v>
      </c>
      <c r="AC5" s="5">
        <f t="shared" si="2"/>
        <v>12</v>
      </c>
      <c r="AD5" s="5">
        <f t="shared" si="2"/>
        <v>88</v>
      </c>
      <c r="AE5" s="5">
        <f t="shared" si="2"/>
        <v>16</v>
      </c>
      <c r="AF5" s="5">
        <f t="shared" si="2"/>
        <v>107</v>
      </c>
      <c r="AG5" s="5">
        <f t="shared" si="2"/>
        <v>5</v>
      </c>
      <c r="AH5" s="5">
        <f t="shared" si="2"/>
        <v>2</v>
      </c>
      <c r="AI5" s="5">
        <f t="shared" si="2"/>
        <v>4</v>
      </c>
      <c r="AJ5" s="5">
        <f t="shared" si="2"/>
        <v>1</v>
      </c>
      <c r="AK5" s="5">
        <f t="shared" si="2"/>
        <v>2</v>
      </c>
      <c r="AL5" s="5">
        <f t="shared" si="2"/>
        <v>7</v>
      </c>
      <c r="AM5" s="5">
        <f t="shared" si="2"/>
        <v>6</v>
      </c>
      <c r="AN5" s="5">
        <f t="shared" si="2"/>
        <v>128</v>
      </c>
      <c r="AO5" s="5">
        <f t="shared" si="2"/>
        <v>41</v>
      </c>
      <c r="AP5" s="5">
        <f t="shared" si="2"/>
        <v>4</v>
      </c>
      <c r="AQ5" s="5">
        <f t="shared" si="2"/>
        <v>99</v>
      </c>
      <c r="AR5" s="5">
        <f t="shared" si="2"/>
        <v>6</v>
      </c>
      <c r="AS5" s="5">
        <f t="shared" si="2"/>
        <v>156</v>
      </c>
      <c r="AT5" s="5">
        <f t="shared" si="2"/>
        <v>5</v>
      </c>
      <c r="AU5" s="5">
        <f t="shared" si="2"/>
        <v>2</v>
      </c>
      <c r="AV5" s="5">
        <f t="shared" si="2"/>
        <v>4</v>
      </c>
      <c r="AW5" s="5">
        <f t="shared" si="2"/>
        <v>4</v>
      </c>
      <c r="AX5" s="5">
        <f t="shared" si="2"/>
        <v>93</v>
      </c>
      <c r="AY5" s="5">
        <f t="shared" si="2"/>
        <v>12</v>
      </c>
      <c r="AZ5" s="5">
        <f t="shared" si="2"/>
        <v>28</v>
      </c>
      <c r="BA5" s="5">
        <f t="shared" si="2"/>
        <v>27</v>
      </c>
      <c r="BB5" s="5">
        <f t="shared" si="2"/>
        <v>9</v>
      </c>
      <c r="BC5" s="5">
        <f t="shared" si="2"/>
        <v>13</v>
      </c>
      <c r="BD5" s="5">
        <f t="shared" si="2"/>
        <v>6</v>
      </c>
      <c r="BE5" s="5">
        <f t="shared" si="2"/>
        <v>2</v>
      </c>
      <c r="BF5" s="5">
        <f t="shared" si="2"/>
        <v>14</v>
      </c>
      <c r="BG5" s="5">
        <f t="shared" si="2"/>
        <v>24</v>
      </c>
      <c r="BH5" s="5">
        <f t="shared" si="2"/>
        <v>5</v>
      </c>
      <c r="BI5" s="5">
        <f t="shared" si="2"/>
        <v>231</v>
      </c>
      <c r="BJ5" s="5">
        <f t="shared" si="2"/>
        <v>14</v>
      </c>
      <c r="BK5" s="5">
        <f t="shared" si="2"/>
        <v>3</v>
      </c>
      <c r="BL5" s="5">
        <f t="shared" si="2"/>
        <v>146</v>
      </c>
      <c r="BM5" s="5">
        <f t="shared" si="2"/>
        <v>47</v>
      </c>
      <c r="BN5" s="5">
        <f t="shared" si="2"/>
        <v>14</v>
      </c>
      <c r="BO5" s="5">
        <f t="shared" si="2"/>
        <v>21</v>
      </c>
      <c r="BP5" s="5">
        <f t="shared" si="2"/>
        <v>16</v>
      </c>
      <c r="BQ5" s="5">
        <f t="shared" si="2"/>
        <v>2</v>
      </c>
      <c r="BR5" s="5">
        <f t="shared" si="2"/>
        <v>4</v>
      </c>
      <c r="BS5" s="5">
        <f t="shared" si="2"/>
        <v>79</v>
      </c>
      <c r="BT5" s="5">
        <f t="shared" si="2"/>
        <v>63</v>
      </c>
    </row>
    <row r="6" ht="15.0" customHeight="1">
      <c r="A6" s="3" t="s">
        <v>74</v>
      </c>
      <c r="C6" s="5">
        <f t="shared" ref="C6:BT6" si="3">C5/306</f>
        <v>0.9346405229</v>
      </c>
      <c r="D6" s="5">
        <f t="shared" si="3"/>
        <v>0.006535947712</v>
      </c>
      <c r="E6" s="5">
        <f t="shared" si="3"/>
        <v>0.006535947712</v>
      </c>
      <c r="F6" s="5">
        <f t="shared" si="3"/>
        <v>0.03594771242</v>
      </c>
      <c r="G6" s="5">
        <f t="shared" si="3"/>
        <v>0.4444444444</v>
      </c>
      <c r="H6" s="5">
        <f t="shared" si="3"/>
        <v>0.01633986928</v>
      </c>
      <c r="I6" s="5">
        <f t="shared" si="3"/>
        <v>0.4346405229</v>
      </c>
      <c r="J6" s="5">
        <f t="shared" si="3"/>
        <v>0.2908496732</v>
      </c>
      <c r="K6" s="5">
        <f t="shared" si="3"/>
        <v>0.009803921569</v>
      </c>
      <c r="L6" s="5">
        <f t="shared" si="3"/>
        <v>0.003267973856</v>
      </c>
      <c r="M6" s="5">
        <f t="shared" si="3"/>
        <v>0.03594771242</v>
      </c>
      <c r="N6" s="5">
        <f t="shared" si="3"/>
        <v>0</v>
      </c>
      <c r="O6" s="5">
        <f t="shared" si="3"/>
        <v>0.07843137255</v>
      </c>
      <c r="P6" s="5">
        <f t="shared" si="3"/>
        <v>0.006535947712</v>
      </c>
      <c r="Q6" s="5">
        <f t="shared" si="3"/>
        <v>0.02287581699</v>
      </c>
      <c r="R6" s="5">
        <f t="shared" si="3"/>
        <v>0.1960784314</v>
      </c>
      <c r="S6" s="5">
        <f t="shared" si="3"/>
        <v>0.009803921569</v>
      </c>
      <c r="T6" s="5">
        <f t="shared" si="3"/>
        <v>0.003267973856</v>
      </c>
      <c r="U6" s="5">
        <f t="shared" si="3"/>
        <v>0.03267973856</v>
      </c>
      <c r="V6" s="5">
        <f t="shared" si="3"/>
        <v>0.003267973856</v>
      </c>
      <c r="W6" s="5">
        <f t="shared" si="3"/>
        <v>0.003267973856</v>
      </c>
      <c r="X6" s="5">
        <f t="shared" si="3"/>
        <v>0.006535947712</v>
      </c>
      <c r="Y6" s="5">
        <f t="shared" si="3"/>
        <v>0.009803921569</v>
      </c>
      <c r="Z6" s="5">
        <f t="shared" si="3"/>
        <v>0.08823529412</v>
      </c>
      <c r="AA6" s="5">
        <f t="shared" si="3"/>
        <v>0.006535947712</v>
      </c>
      <c r="AB6" s="5">
        <f t="shared" si="3"/>
        <v>0.009803921569</v>
      </c>
      <c r="AC6" s="5">
        <f t="shared" si="3"/>
        <v>0.03921568627</v>
      </c>
      <c r="AD6" s="5">
        <f t="shared" si="3"/>
        <v>0.2875816993</v>
      </c>
      <c r="AE6" s="5">
        <f t="shared" si="3"/>
        <v>0.0522875817</v>
      </c>
      <c r="AF6" s="5">
        <f t="shared" si="3"/>
        <v>0.3496732026</v>
      </c>
      <c r="AG6" s="5">
        <f t="shared" si="3"/>
        <v>0.01633986928</v>
      </c>
      <c r="AH6" s="5">
        <f t="shared" si="3"/>
        <v>0.006535947712</v>
      </c>
      <c r="AI6" s="5">
        <f t="shared" si="3"/>
        <v>0.01307189542</v>
      </c>
      <c r="AJ6" s="5">
        <f t="shared" si="3"/>
        <v>0.003267973856</v>
      </c>
      <c r="AK6" s="5">
        <f t="shared" si="3"/>
        <v>0.006535947712</v>
      </c>
      <c r="AL6" s="5">
        <f t="shared" si="3"/>
        <v>0.02287581699</v>
      </c>
      <c r="AM6" s="5">
        <f t="shared" si="3"/>
        <v>0.01960784314</v>
      </c>
      <c r="AN6" s="5">
        <f t="shared" si="3"/>
        <v>0.4183006536</v>
      </c>
      <c r="AO6" s="5">
        <f t="shared" si="3"/>
        <v>0.1339869281</v>
      </c>
      <c r="AP6" s="5">
        <f t="shared" si="3"/>
        <v>0.01307189542</v>
      </c>
      <c r="AQ6" s="5">
        <f t="shared" si="3"/>
        <v>0.3235294118</v>
      </c>
      <c r="AR6" s="5">
        <f t="shared" si="3"/>
        <v>0.01960784314</v>
      </c>
      <c r="AS6" s="5">
        <f t="shared" si="3"/>
        <v>0.5098039216</v>
      </c>
      <c r="AT6" s="5">
        <f t="shared" si="3"/>
        <v>0.01633986928</v>
      </c>
      <c r="AU6" s="5">
        <f t="shared" si="3"/>
        <v>0.006535947712</v>
      </c>
      <c r="AV6" s="5">
        <f t="shared" si="3"/>
        <v>0.01307189542</v>
      </c>
      <c r="AW6" s="5">
        <f t="shared" si="3"/>
        <v>0.01307189542</v>
      </c>
      <c r="AX6" s="5">
        <f t="shared" si="3"/>
        <v>0.3039215686</v>
      </c>
      <c r="AY6" s="5">
        <f t="shared" si="3"/>
        <v>0.03921568627</v>
      </c>
      <c r="AZ6" s="5">
        <f t="shared" si="3"/>
        <v>0.09150326797</v>
      </c>
      <c r="BA6" s="5">
        <f t="shared" si="3"/>
        <v>0.08823529412</v>
      </c>
      <c r="BB6" s="5">
        <f t="shared" si="3"/>
        <v>0.02941176471</v>
      </c>
      <c r="BC6" s="5">
        <f t="shared" si="3"/>
        <v>0.04248366013</v>
      </c>
      <c r="BD6" s="5">
        <f t="shared" si="3"/>
        <v>0.01960784314</v>
      </c>
      <c r="BE6" s="5">
        <f t="shared" si="3"/>
        <v>0.006535947712</v>
      </c>
      <c r="BF6" s="5">
        <f t="shared" si="3"/>
        <v>0.04575163399</v>
      </c>
      <c r="BG6" s="5">
        <f t="shared" si="3"/>
        <v>0.07843137255</v>
      </c>
      <c r="BH6" s="5">
        <f t="shared" si="3"/>
        <v>0.01633986928</v>
      </c>
      <c r="BI6" s="5">
        <f t="shared" si="3"/>
        <v>0.7549019608</v>
      </c>
      <c r="BJ6" s="5">
        <f t="shared" si="3"/>
        <v>0.04575163399</v>
      </c>
      <c r="BK6" s="5">
        <f t="shared" si="3"/>
        <v>0.009803921569</v>
      </c>
      <c r="BL6" s="5">
        <f t="shared" si="3"/>
        <v>0.477124183</v>
      </c>
      <c r="BM6" s="5">
        <f t="shared" si="3"/>
        <v>0.1535947712</v>
      </c>
      <c r="BN6" s="5">
        <f t="shared" si="3"/>
        <v>0.04575163399</v>
      </c>
      <c r="BO6" s="5">
        <f t="shared" si="3"/>
        <v>0.06862745098</v>
      </c>
      <c r="BP6" s="5">
        <f t="shared" si="3"/>
        <v>0.0522875817</v>
      </c>
      <c r="BQ6" s="5">
        <f t="shared" si="3"/>
        <v>0.006535947712</v>
      </c>
      <c r="BR6" s="5">
        <f t="shared" si="3"/>
        <v>0.01307189542</v>
      </c>
      <c r="BS6" s="5">
        <f t="shared" si="3"/>
        <v>0.2581699346</v>
      </c>
      <c r="BT6" s="5">
        <f t="shared" si="3"/>
        <v>0.2058823529</v>
      </c>
    </row>
    <row r="7" ht="15.0" customHeight="1">
      <c r="A7" s="8" t="s">
        <v>175</v>
      </c>
      <c r="B7" s="8">
        <v>484.0</v>
      </c>
      <c r="C7" s="8">
        <v>1.0</v>
      </c>
      <c r="AF7" s="8">
        <v>1.0</v>
      </c>
      <c r="AN7" s="8">
        <v>1.0</v>
      </c>
      <c r="BC7" s="8">
        <v>1.0</v>
      </c>
      <c r="BG7" s="8">
        <v>1.0</v>
      </c>
    </row>
    <row r="8" ht="15.0" customHeight="1">
      <c r="A8" s="8" t="s">
        <v>77</v>
      </c>
      <c r="B8" s="8">
        <v>490.0</v>
      </c>
      <c r="C8" s="8">
        <v>1.0</v>
      </c>
      <c r="G8" s="8">
        <v>1.0</v>
      </c>
      <c r="H8" s="8">
        <v>1.0</v>
      </c>
      <c r="I8" s="8">
        <v>1.0</v>
      </c>
      <c r="O8" s="8">
        <v>1.0</v>
      </c>
      <c r="AB8" s="8">
        <v>1.0</v>
      </c>
      <c r="AN8" s="8">
        <v>1.0</v>
      </c>
      <c r="AQ8" s="8">
        <v>1.0</v>
      </c>
      <c r="AS8" s="8">
        <v>1.0</v>
      </c>
      <c r="BI8" s="8">
        <v>1.0</v>
      </c>
    </row>
    <row r="9" ht="15.0" customHeight="1">
      <c r="A9" s="8" t="s">
        <v>77</v>
      </c>
      <c r="B9" s="8">
        <v>492.0</v>
      </c>
      <c r="C9" s="8">
        <v>1.0</v>
      </c>
      <c r="G9" s="8">
        <v>1.0</v>
      </c>
      <c r="H9" s="8">
        <v>1.0</v>
      </c>
      <c r="R9" s="8">
        <v>1.0</v>
      </c>
      <c r="AD9" s="8">
        <v>1.0</v>
      </c>
      <c r="AQ9" s="8">
        <v>1.0</v>
      </c>
      <c r="AS9" s="8">
        <v>1.0</v>
      </c>
      <c r="BC9" s="8">
        <v>1.0</v>
      </c>
      <c r="BI9" s="8">
        <v>1.0</v>
      </c>
      <c r="BT9" s="8">
        <v>1.0</v>
      </c>
    </row>
    <row r="10" ht="15.0" customHeight="1">
      <c r="A10" s="8" t="s">
        <v>77</v>
      </c>
      <c r="B10" s="8">
        <v>493.0</v>
      </c>
      <c r="C10" s="8">
        <v>1.0</v>
      </c>
      <c r="H10" s="8">
        <v>1.0</v>
      </c>
      <c r="R10" s="8">
        <v>1.0</v>
      </c>
      <c r="AD10" s="8">
        <v>1.0</v>
      </c>
      <c r="AS10" s="8">
        <v>1.0</v>
      </c>
      <c r="BA10" s="8">
        <v>1.0</v>
      </c>
      <c r="BC10" s="8">
        <v>1.0</v>
      </c>
      <c r="BI10" s="8">
        <v>1.0</v>
      </c>
      <c r="BT10" s="8">
        <v>1.0</v>
      </c>
    </row>
    <row r="11" ht="15.0" customHeight="1">
      <c r="A11" s="8" t="s">
        <v>80</v>
      </c>
      <c r="B11" s="8">
        <v>499.0</v>
      </c>
      <c r="C11" s="8">
        <v>1.0</v>
      </c>
      <c r="I11" s="8">
        <v>1.0</v>
      </c>
      <c r="AQ11" s="8">
        <v>1.0</v>
      </c>
      <c r="AS11" s="8">
        <v>1.0</v>
      </c>
      <c r="AX11" s="8">
        <v>1.0</v>
      </c>
      <c r="BC11" s="8">
        <v>1.0</v>
      </c>
      <c r="BL11" s="8">
        <v>1.0</v>
      </c>
    </row>
    <row r="12" ht="15.0" customHeight="1">
      <c r="A12" s="8" t="s">
        <v>176</v>
      </c>
      <c r="B12" s="8">
        <v>510.0</v>
      </c>
      <c r="C12" s="8">
        <v>1.0</v>
      </c>
      <c r="AT12" s="8">
        <v>1.0</v>
      </c>
      <c r="BL12" s="8">
        <v>1.0</v>
      </c>
    </row>
    <row r="13" ht="15.0" customHeight="1">
      <c r="A13" s="8" t="s">
        <v>84</v>
      </c>
      <c r="B13" s="8">
        <v>511.0</v>
      </c>
      <c r="C13" s="8">
        <v>1.0</v>
      </c>
      <c r="AD13" s="8">
        <v>1.0</v>
      </c>
      <c r="AF13" s="8">
        <v>1.0</v>
      </c>
      <c r="AQ13" s="8">
        <v>1.0</v>
      </c>
      <c r="AS13" s="8">
        <v>1.0</v>
      </c>
      <c r="AX13" s="8">
        <v>1.0</v>
      </c>
      <c r="BF13" s="8">
        <v>1.0</v>
      </c>
      <c r="BG13" s="8">
        <v>1.0</v>
      </c>
      <c r="BI13" s="8">
        <v>1.0</v>
      </c>
      <c r="BL13" s="8">
        <v>1.0</v>
      </c>
      <c r="BT13" s="8">
        <v>1.0</v>
      </c>
    </row>
    <row r="14" ht="15.0" customHeight="1">
      <c r="A14" s="8" t="s">
        <v>84</v>
      </c>
      <c r="B14" s="8">
        <v>512.0</v>
      </c>
      <c r="C14" s="8">
        <v>1.0</v>
      </c>
      <c r="O14" s="8">
        <v>1.0</v>
      </c>
      <c r="AD14" s="8">
        <v>1.0</v>
      </c>
      <c r="AM14" s="8">
        <v>1.0</v>
      </c>
      <c r="AS14" s="8">
        <v>1.0</v>
      </c>
      <c r="BI14" s="8">
        <v>1.0</v>
      </c>
      <c r="BL14" s="8">
        <v>1.0</v>
      </c>
      <c r="BT14" s="8">
        <v>1.0</v>
      </c>
    </row>
    <row r="15" ht="15.0" customHeight="1">
      <c r="A15" s="8" t="s">
        <v>85</v>
      </c>
      <c r="B15" s="8">
        <v>515.0</v>
      </c>
      <c r="C15" s="8">
        <v>1.0</v>
      </c>
      <c r="G15" s="8">
        <v>1.0</v>
      </c>
      <c r="I15" s="8">
        <v>1.0</v>
      </c>
      <c r="AD15" s="8">
        <v>1.0</v>
      </c>
      <c r="AS15" s="8">
        <v>1.0</v>
      </c>
      <c r="AX15" s="8">
        <v>1.0</v>
      </c>
      <c r="BI15" s="8">
        <v>1.0</v>
      </c>
      <c r="BL15" s="8">
        <v>1.0</v>
      </c>
    </row>
    <row r="16" ht="15.0" customHeight="1">
      <c r="A16" s="8" t="s">
        <v>177</v>
      </c>
      <c r="B16" s="8">
        <v>516.0</v>
      </c>
      <c r="C16" s="8">
        <v>1.0</v>
      </c>
      <c r="G16" s="8">
        <v>1.0</v>
      </c>
      <c r="J16" s="8">
        <v>1.0</v>
      </c>
      <c r="AS16" s="8">
        <v>1.0</v>
      </c>
      <c r="BI16" s="8">
        <v>1.0</v>
      </c>
      <c r="BL16" s="8">
        <v>1.0</v>
      </c>
      <c r="BO16" s="8">
        <v>1.0</v>
      </c>
    </row>
    <row r="17" ht="15.0" customHeight="1">
      <c r="A17" s="8" t="s">
        <v>86</v>
      </c>
      <c r="B17" s="8">
        <v>518.0</v>
      </c>
      <c r="C17" s="8">
        <v>1.0</v>
      </c>
      <c r="I17" s="8">
        <v>1.0</v>
      </c>
      <c r="J17" s="8">
        <v>1.0</v>
      </c>
      <c r="AF17" s="8">
        <v>1.0</v>
      </c>
      <c r="AQ17" s="8">
        <v>1.0</v>
      </c>
      <c r="AS17" s="8">
        <v>1.0</v>
      </c>
      <c r="BI17" s="8">
        <v>1.0</v>
      </c>
      <c r="BL17" s="8">
        <v>1.0</v>
      </c>
      <c r="BN17" s="8">
        <v>1.0</v>
      </c>
    </row>
    <row r="18" ht="15.0" customHeight="1">
      <c r="A18" s="8" t="s">
        <v>86</v>
      </c>
      <c r="B18" s="8">
        <v>519.0</v>
      </c>
      <c r="C18" s="8">
        <v>1.0</v>
      </c>
      <c r="I18" s="8">
        <v>1.0</v>
      </c>
      <c r="J18" s="8">
        <v>1.0</v>
      </c>
      <c r="AF18" s="8">
        <v>1.0</v>
      </c>
      <c r="AQ18" s="8">
        <v>1.0</v>
      </c>
      <c r="AS18" s="8">
        <v>1.0</v>
      </c>
      <c r="BI18" s="8">
        <v>1.0</v>
      </c>
      <c r="BL18" s="8">
        <v>1.0</v>
      </c>
      <c r="BT18" s="8">
        <v>1.0</v>
      </c>
    </row>
    <row r="19" ht="15.0" customHeight="1">
      <c r="A19" s="8" t="s">
        <v>88</v>
      </c>
      <c r="B19" s="8">
        <v>530.0</v>
      </c>
      <c r="C19" s="8">
        <v>1.0</v>
      </c>
      <c r="G19" s="8">
        <v>1.0</v>
      </c>
      <c r="I19" s="8">
        <v>1.0</v>
      </c>
      <c r="J19" s="8">
        <v>1.0</v>
      </c>
      <c r="X19" s="8">
        <v>1.0</v>
      </c>
      <c r="AQ19" s="8">
        <v>1.0</v>
      </c>
      <c r="AS19" s="8">
        <v>1.0</v>
      </c>
      <c r="BI19" s="8">
        <v>1.0</v>
      </c>
      <c r="BL19" s="8">
        <v>1.0</v>
      </c>
      <c r="BS19" s="8">
        <v>1.0</v>
      </c>
    </row>
    <row r="20" ht="15.0" customHeight="1">
      <c r="A20" s="8" t="s">
        <v>88</v>
      </c>
      <c r="B20" s="8">
        <v>531.0</v>
      </c>
      <c r="C20" s="8">
        <v>1.0</v>
      </c>
      <c r="G20" s="8">
        <v>1.0</v>
      </c>
      <c r="I20" s="8">
        <v>1.0</v>
      </c>
      <c r="AQ20" s="8">
        <v>1.0</v>
      </c>
      <c r="AS20" s="8">
        <v>1.0</v>
      </c>
      <c r="AV20" s="8">
        <v>1.0</v>
      </c>
      <c r="BI20" s="8">
        <v>1.0</v>
      </c>
    </row>
    <row r="21" ht="15.0" customHeight="1">
      <c r="A21" s="8" t="s">
        <v>178</v>
      </c>
      <c r="B21" s="8">
        <v>539.0</v>
      </c>
      <c r="C21" s="8">
        <v>1.0</v>
      </c>
      <c r="G21" s="8">
        <v>1.0</v>
      </c>
      <c r="I21" s="8">
        <v>1.0</v>
      </c>
      <c r="Q21" s="8">
        <v>1.0</v>
      </c>
      <c r="AF21" s="8">
        <v>1.0</v>
      </c>
      <c r="AN21" s="8">
        <v>1.0</v>
      </c>
      <c r="AQ21" s="8">
        <v>1.0</v>
      </c>
      <c r="AX21" s="8">
        <v>1.0</v>
      </c>
      <c r="BI21" s="8">
        <v>1.0</v>
      </c>
    </row>
    <row r="22" ht="15.0" customHeight="1">
      <c r="A22" s="8" t="s">
        <v>178</v>
      </c>
      <c r="B22" s="8">
        <v>541.0</v>
      </c>
      <c r="C22" s="8">
        <v>1.0</v>
      </c>
      <c r="G22" s="8">
        <v>1.0</v>
      </c>
      <c r="I22" s="8">
        <v>1.0</v>
      </c>
      <c r="M22" s="8">
        <v>1.0</v>
      </c>
      <c r="Q22" s="8">
        <v>1.0</v>
      </c>
      <c r="AF22" s="8">
        <v>1.0</v>
      </c>
      <c r="AN22" s="8">
        <v>1.0</v>
      </c>
      <c r="AQ22" s="8">
        <v>1.0</v>
      </c>
      <c r="AS22" s="8">
        <v>1.0</v>
      </c>
      <c r="AX22" s="8">
        <v>1.0</v>
      </c>
      <c r="BI22" s="8">
        <v>1.0</v>
      </c>
    </row>
    <row r="23" ht="15.0" customHeight="1">
      <c r="A23" s="8" t="s">
        <v>179</v>
      </c>
      <c r="B23" s="8">
        <v>597.0</v>
      </c>
      <c r="C23" s="8">
        <v>1.0</v>
      </c>
      <c r="I23" s="8">
        <v>1.0</v>
      </c>
      <c r="J23" s="8">
        <v>1.0</v>
      </c>
      <c r="O23" s="8">
        <v>1.0</v>
      </c>
      <c r="R23" s="8">
        <v>1.0</v>
      </c>
      <c r="AD23" s="8">
        <v>1.0</v>
      </c>
      <c r="AF23" s="8">
        <v>1.0</v>
      </c>
      <c r="AN23" s="8">
        <v>1.0</v>
      </c>
      <c r="AO23" s="8">
        <v>1.0</v>
      </c>
      <c r="AQ23" s="8">
        <v>1.0</v>
      </c>
      <c r="AS23" s="8">
        <v>1.0</v>
      </c>
      <c r="AX23" s="8">
        <v>1.0</v>
      </c>
      <c r="AZ23" s="8">
        <v>1.0</v>
      </c>
      <c r="BA23" s="8">
        <v>1.0</v>
      </c>
      <c r="BB23" s="8">
        <v>1.0</v>
      </c>
      <c r="BF23" s="8">
        <v>1.0</v>
      </c>
      <c r="BI23" s="8">
        <v>1.0</v>
      </c>
      <c r="BL23" s="8">
        <v>1.0</v>
      </c>
      <c r="BM23" s="8">
        <v>1.0</v>
      </c>
      <c r="BN23" s="8">
        <v>1.0</v>
      </c>
      <c r="BP23" s="8">
        <v>1.0</v>
      </c>
      <c r="BS23" s="8">
        <v>1.0</v>
      </c>
      <c r="BT23" s="8">
        <v>1.0</v>
      </c>
    </row>
    <row r="24" ht="15.0" customHeight="1">
      <c r="A24" s="8" t="s">
        <v>179</v>
      </c>
      <c r="B24" s="8">
        <v>598.0</v>
      </c>
      <c r="C24" s="8">
        <v>1.0</v>
      </c>
      <c r="G24" s="8">
        <v>1.0</v>
      </c>
      <c r="I24" s="8">
        <v>1.0</v>
      </c>
      <c r="J24" s="8">
        <v>1.0</v>
      </c>
      <c r="O24" s="8">
        <v>1.0</v>
      </c>
      <c r="AD24" s="8">
        <v>1.0</v>
      </c>
      <c r="AF24" s="8">
        <v>1.0</v>
      </c>
      <c r="AN24" s="8">
        <v>1.0</v>
      </c>
      <c r="AO24" s="8">
        <v>1.0</v>
      </c>
      <c r="AQ24" s="8">
        <v>1.0</v>
      </c>
      <c r="AS24" s="8">
        <v>1.0</v>
      </c>
      <c r="AX24" s="8">
        <v>1.0</v>
      </c>
      <c r="AZ24" s="8">
        <v>1.0</v>
      </c>
      <c r="BA24" s="8">
        <v>1.0</v>
      </c>
      <c r="BB24" s="8">
        <v>1.0</v>
      </c>
      <c r="BF24" s="8">
        <v>1.0</v>
      </c>
      <c r="BI24" s="8">
        <v>1.0</v>
      </c>
      <c r="BL24" s="8">
        <v>1.0</v>
      </c>
      <c r="BM24" s="8">
        <v>1.0</v>
      </c>
      <c r="BN24" s="8">
        <v>1.0</v>
      </c>
      <c r="BP24" s="8">
        <v>1.0</v>
      </c>
      <c r="BS24" s="8">
        <v>1.0</v>
      </c>
      <c r="BT24" s="8">
        <v>1.0</v>
      </c>
    </row>
    <row r="25" ht="15.0" customHeight="1">
      <c r="A25" s="8" t="s">
        <v>179</v>
      </c>
      <c r="B25" s="8">
        <v>599.0</v>
      </c>
      <c r="C25" s="8">
        <v>1.0</v>
      </c>
      <c r="G25" s="8">
        <v>1.0</v>
      </c>
      <c r="I25" s="8">
        <v>1.0</v>
      </c>
      <c r="J25" s="8">
        <v>1.0</v>
      </c>
      <c r="M25" s="8">
        <v>1.0</v>
      </c>
      <c r="O25" s="8">
        <v>1.0</v>
      </c>
      <c r="R25" s="8">
        <v>1.0</v>
      </c>
      <c r="AD25" s="8">
        <v>1.0</v>
      </c>
      <c r="AF25" s="8">
        <v>1.0</v>
      </c>
      <c r="AN25" s="8">
        <v>1.0</v>
      </c>
      <c r="AO25" s="8">
        <v>1.0</v>
      </c>
      <c r="AQ25" s="8">
        <v>1.0</v>
      </c>
      <c r="AS25" s="8">
        <v>1.0</v>
      </c>
      <c r="AX25" s="8">
        <v>1.0</v>
      </c>
      <c r="AZ25" s="8">
        <v>1.0</v>
      </c>
      <c r="BA25" s="8">
        <v>1.0</v>
      </c>
      <c r="BB25" s="8">
        <v>1.0</v>
      </c>
      <c r="BF25" s="8">
        <v>1.0</v>
      </c>
      <c r="BI25" s="8">
        <v>1.0</v>
      </c>
      <c r="BL25" s="8">
        <v>1.0</v>
      </c>
      <c r="BM25" s="8">
        <v>1.0</v>
      </c>
      <c r="BN25" s="8">
        <v>1.0</v>
      </c>
      <c r="BP25" s="8">
        <v>1.0</v>
      </c>
      <c r="BS25" s="8">
        <v>1.0</v>
      </c>
      <c r="BT25" s="8">
        <v>1.0</v>
      </c>
    </row>
    <row r="26" ht="15.0" customHeight="1">
      <c r="A26" s="8" t="s">
        <v>179</v>
      </c>
      <c r="B26" s="8">
        <v>601.0</v>
      </c>
      <c r="C26" s="8">
        <v>1.0</v>
      </c>
      <c r="G26" s="8">
        <v>1.0</v>
      </c>
      <c r="I26" s="8">
        <v>1.0</v>
      </c>
      <c r="J26" s="8">
        <v>1.0</v>
      </c>
      <c r="O26" s="8">
        <v>1.0</v>
      </c>
      <c r="R26" s="8">
        <v>1.0</v>
      </c>
      <c r="AD26" s="8">
        <v>1.0</v>
      </c>
      <c r="AF26" s="8">
        <v>1.0</v>
      </c>
      <c r="AN26" s="8">
        <v>1.0</v>
      </c>
      <c r="AO26" s="8">
        <v>1.0</v>
      </c>
      <c r="AQ26" s="8">
        <v>1.0</v>
      </c>
      <c r="AS26" s="8">
        <v>1.0</v>
      </c>
      <c r="AX26" s="8">
        <v>1.0</v>
      </c>
      <c r="AZ26" s="8">
        <v>1.0</v>
      </c>
      <c r="BA26" s="8">
        <v>1.0</v>
      </c>
      <c r="BB26" s="8">
        <v>1.0</v>
      </c>
      <c r="BF26" s="8">
        <v>1.0</v>
      </c>
      <c r="BI26" s="8">
        <v>1.0</v>
      </c>
      <c r="BL26" s="8">
        <v>1.0</v>
      </c>
      <c r="BM26" s="8">
        <v>1.0</v>
      </c>
      <c r="BN26" s="8">
        <v>1.0</v>
      </c>
      <c r="BP26" s="8">
        <v>1.0</v>
      </c>
      <c r="BS26" s="8">
        <v>1.0</v>
      </c>
      <c r="BT26" s="8">
        <v>1.0</v>
      </c>
    </row>
    <row r="27" ht="15.0" customHeight="1">
      <c r="A27" s="8" t="s">
        <v>179</v>
      </c>
      <c r="B27" s="8">
        <v>602.0</v>
      </c>
      <c r="C27" s="8">
        <v>1.0</v>
      </c>
      <c r="G27" s="8">
        <v>1.0</v>
      </c>
      <c r="I27" s="8">
        <v>1.0</v>
      </c>
      <c r="J27" s="8">
        <v>1.0</v>
      </c>
      <c r="O27" s="8">
        <v>1.0</v>
      </c>
      <c r="R27" s="8">
        <v>1.0</v>
      </c>
      <c r="AD27" s="8">
        <v>1.0</v>
      </c>
      <c r="AF27" s="8">
        <v>1.0</v>
      </c>
      <c r="AN27" s="8">
        <v>1.0</v>
      </c>
      <c r="AO27" s="8">
        <v>1.0</v>
      </c>
      <c r="AQ27" s="8">
        <v>1.0</v>
      </c>
      <c r="AS27" s="8">
        <v>1.0</v>
      </c>
      <c r="AX27" s="8">
        <v>1.0</v>
      </c>
      <c r="AZ27" s="8">
        <v>1.0</v>
      </c>
      <c r="BA27" s="8">
        <v>1.0</v>
      </c>
      <c r="BB27" s="8">
        <v>1.0</v>
      </c>
      <c r="BF27" s="8">
        <v>1.0</v>
      </c>
      <c r="BI27" s="8">
        <v>1.0</v>
      </c>
      <c r="BL27" s="8">
        <v>1.0</v>
      </c>
      <c r="BM27" s="8">
        <v>1.0</v>
      </c>
      <c r="BN27" s="8">
        <v>1.0</v>
      </c>
      <c r="BP27" s="8">
        <v>1.0</v>
      </c>
      <c r="BS27" s="8">
        <v>1.0</v>
      </c>
      <c r="BT27" s="8">
        <v>1.0</v>
      </c>
    </row>
    <row r="28" ht="15.0" customHeight="1">
      <c r="A28" s="8" t="s">
        <v>179</v>
      </c>
      <c r="B28" s="8">
        <v>605.0</v>
      </c>
      <c r="C28" s="8">
        <v>1.0</v>
      </c>
      <c r="G28" s="8">
        <v>1.0</v>
      </c>
      <c r="I28" s="8">
        <v>1.0</v>
      </c>
      <c r="J28" s="8">
        <v>1.0</v>
      </c>
      <c r="O28" s="8">
        <v>1.0</v>
      </c>
      <c r="R28" s="8">
        <v>1.0</v>
      </c>
      <c r="AD28" s="8">
        <v>1.0</v>
      </c>
      <c r="AF28" s="8">
        <v>1.0</v>
      </c>
      <c r="AN28" s="8">
        <v>1.0</v>
      </c>
      <c r="AO28" s="8">
        <v>1.0</v>
      </c>
      <c r="AQ28" s="8">
        <v>1.0</v>
      </c>
      <c r="AS28" s="8">
        <v>1.0</v>
      </c>
      <c r="AX28" s="8">
        <v>1.0</v>
      </c>
      <c r="AZ28" s="8">
        <v>1.0</v>
      </c>
      <c r="BA28" s="8">
        <v>1.0</v>
      </c>
      <c r="BB28" s="8">
        <v>1.0</v>
      </c>
      <c r="BF28" s="8">
        <v>1.0</v>
      </c>
      <c r="BI28" s="8">
        <v>1.0</v>
      </c>
      <c r="BL28" s="8">
        <v>1.0</v>
      </c>
      <c r="BM28" s="8">
        <v>1.0</v>
      </c>
      <c r="BN28" s="8">
        <v>1.0</v>
      </c>
      <c r="BP28" s="8">
        <v>1.0</v>
      </c>
      <c r="BS28" s="8">
        <v>1.0</v>
      </c>
      <c r="BT28" s="8">
        <v>1.0</v>
      </c>
    </row>
    <row r="29" ht="15.0" customHeight="1">
      <c r="A29" s="8" t="s">
        <v>179</v>
      </c>
      <c r="B29" s="8">
        <v>606.0</v>
      </c>
      <c r="C29" s="8">
        <v>1.0</v>
      </c>
      <c r="G29" s="8">
        <v>1.0</v>
      </c>
      <c r="I29" s="8">
        <v>1.0</v>
      </c>
      <c r="J29" s="8">
        <v>1.0</v>
      </c>
      <c r="O29" s="8">
        <v>1.0</v>
      </c>
      <c r="R29" s="8">
        <v>1.0</v>
      </c>
      <c r="AD29" s="8">
        <v>1.0</v>
      </c>
      <c r="AF29" s="8">
        <v>1.0</v>
      </c>
      <c r="AN29" s="8">
        <v>1.0</v>
      </c>
      <c r="AO29" s="8">
        <v>1.0</v>
      </c>
      <c r="AQ29" s="8">
        <v>1.0</v>
      </c>
      <c r="AS29" s="8">
        <v>1.0</v>
      </c>
      <c r="AX29" s="8">
        <v>1.0</v>
      </c>
      <c r="AZ29" s="8">
        <v>1.0</v>
      </c>
      <c r="BA29" s="8">
        <v>1.0</v>
      </c>
      <c r="BB29" s="8">
        <v>1.0</v>
      </c>
      <c r="BF29" s="8">
        <v>1.0</v>
      </c>
      <c r="BI29" s="8">
        <v>1.0</v>
      </c>
      <c r="BL29" s="8">
        <v>1.0</v>
      </c>
      <c r="BM29" s="8">
        <v>1.0</v>
      </c>
      <c r="BN29" s="8">
        <v>1.0</v>
      </c>
      <c r="BP29" s="8">
        <v>1.0</v>
      </c>
      <c r="BS29" s="8">
        <v>1.0</v>
      </c>
      <c r="BT29" s="8">
        <v>1.0</v>
      </c>
    </row>
    <row r="30" ht="15.0" customHeight="1">
      <c r="A30" s="8" t="s">
        <v>179</v>
      </c>
      <c r="B30" s="8">
        <v>607.0</v>
      </c>
      <c r="C30" s="8">
        <v>1.0</v>
      </c>
      <c r="G30" s="8">
        <v>1.0</v>
      </c>
      <c r="I30" s="8">
        <v>1.0</v>
      </c>
      <c r="J30" s="8">
        <v>1.0</v>
      </c>
      <c r="O30" s="8">
        <v>1.0</v>
      </c>
      <c r="R30" s="8">
        <v>1.0</v>
      </c>
      <c r="AD30" s="8">
        <v>1.0</v>
      </c>
      <c r="AF30" s="8">
        <v>1.0</v>
      </c>
      <c r="AN30" s="8">
        <v>1.0</v>
      </c>
      <c r="AO30" s="8">
        <v>1.0</v>
      </c>
      <c r="AQ30" s="8">
        <v>1.0</v>
      </c>
      <c r="AS30" s="8">
        <v>1.0</v>
      </c>
      <c r="AX30" s="8">
        <v>1.0</v>
      </c>
      <c r="AZ30" s="8">
        <v>1.0</v>
      </c>
      <c r="BA30" s="8">
        <v>1.0</v>
      </c>
      <c r="BB30" s="8">
        <v>1.0</v>
      </c>
      <c r="BF30" s="8">
        <v>1.0</v>
      </c>
      <c r="BI30" s="8">
        <v>1.0</v>
      </c>
      <c r="BL30" s="8">
        <v>1.0</v>
      </c>
      <c r="BM30" s="8">
        <v>1.0</v>
      </c>
      <c r="BN30" s="8">
        <v>1.0</v>
      </c>
      <c r="BP30" s="8">
        <v>1.0</v>
      </c>
      <c r="BS30" s="8">
        <v>1.0</v>
      </c>
      <c r="BT30" s="8">
        <v>1.0</v>
      </c>
    </row>
    <row r="31" ht="15.0" customHeight="1">
      <c r="A31" s="8" t="s">
        <v>180</v>
      </c>
      <c r="B31" s="8">
        <v>640.0</v>
      </c>
      <c r="C31" s="8">
        <v>1.0</v>
      </c>
      <c r="G31" s="8">
        <v>1.0</v>
      </c>
      <c r="AF31" s="8">
        <v>1.0</v>
      </c>
      <c r="AQ31" s="8">
        <v>1.0</v>
      </c>
      <c r="AS31" s="8">
        <v>1.0</v>
      </c>
      <c r="BL31" s="8">
        <v>1.0</v>
      </c>
    </row>
    <row r="32" ht="15.0" customHeight="1">
      <c r="A32" s="8" t="s">
        <v>180</v>
      </c>
      <c r="B32" s="8">
        <v>641.0</v>
      </c>
      <c r="C32" s="8">
        <v>1.0</v>
      </c>
      <c r="G32" s="8">
        <v>1.0</v>
      </c>
      <c r="I32" s="8">
        <v>1.0</v>
      </c>
      <c r="J32" s="8">
        <v>1.0</v>
      </c>
      <c r="AF32" s="8">
        <v>1.0</v>
      </c>
      <c r="AQ32" s="8">
        <v>1.0</v>
      </c>
      <c r="BI32" s="8">
        <v>1.0</v>
      </c>
      <c r="BS32" s="8">
        <v>1.0</v>
      </c>
    </row>
    <row r="33" ht="15.0" customHeight="1">
      <c r="A33" s="8" t="s">
        <v>146</v>
      </c>
      <c r="B33" s="8">
        <v>642.0</v>
      </c>
      <c r="C33" s="8">
        <v>1.0</v>
      </c>
      <c r="G33" s="8">
        <v>1.0</v>
      </c>
      <c r="I33" s="8">
        <v>1.0</v>
      </c>
      <c r="M33" s="8">
        <v>1.0</v>
      </c>
      <c r="AF33" s="8">
        <v>1.0</v>
      </c>
      <c r="AH33" s="8">
        <v>1.0</v>
      </c>
      <c r="AN33" s="8">
        <v>1.0</v>
      </c>
      <c r="AO33" s="8">
        <v>1.0</v>
      </c>
      <c r="AQ33" s="8">
        <v>1.0</v>
      </c>
      <c r="AS33" s="8">
        <v>1.0</v>
      </c>
      <c r="AX33" s="8">
        <v>1.0</v>
      </c>
      <c r="BI33" s="8">
        <v>1.0</v>
      </c>
      <c r="BL33" s="8">
        <v>1.0</v>
      </c>
      <c r="BS33" s="8">
        <v>1.0</v>
      </c>
    </row>
    <row r="34" ht="15.0" customHeight="1">
      <c r="A34" s="8" t="s">
        <v>146</v>
      </c>
      <c r="B34" s="8">
        <v>643.0</v>
      </c>
      <c r="C34" s="8">
        <v>1.0</v>
      </c>
      <c r="G34" s="8">
        <v>1.0</v>
      </c>
      <c r="I34" s="8">
        <v>1.0</v>
      </c>
      <c r="AF34" s="8">
        <v>1.0</v>
      </c>
      <c r="AQ34" s="8">
        <v>1.0</v>
      </c>
      <c r="BI34" s="8">
        <v>1.0</v>
      </c>
      <c r="BL34" s="8">
        <v>1.0</v>
      </c>
      <c r="BS34" s="8">
        <v>1.0</v>
      </c>
    </row>
    <row r="35" ht="15.0" customHeight="1">
      <c r="A35" s="8" t="s">
        <v>146</v>
      </c>
      <c r="B35" s="8">
        <v>644.0</v>
      </c>
      <c r="C35" s="8">
        <v>1.0</v>
      </c>
      <c r="G35" s="8">
        <v>1.0</v>
      </c>
      <c r="I35" s="8">
        <v>1.0</v>
      </c>
      <c r="S35" s="8">
        <v>1.0</v>
      </c>
      <c r="AN35" s="8">
        <v>1.0</v>
      </c>
      <c r="AO35" s="8">
        <v>1.0</v>
      </c>
      <c r="AS35" s="8">
        <v>1.0</v>
      </c>
      <c r="BI35" s="8">
        <v>1.0</v>
      </c>
      <c r="BL35" s="8">
        <v>1.0</v>
      </c>
      <c r="BS35" s="8">
        <v>1.0</v>
      </c>
    </row>
    <row r="36" ht="15.0" customHeight="1">
      <c r="A36" s="8" t="s">
        <v>146</v>
      </c>
      <c r="B36" s="8">
        <v>645.0</v>
      </c>
      <c r="C36" s="8">
        <v>1.0</v>
      </c>
      <c r="J36" s="8">
        <v>1.0</v>
      </c>
    </row>
    <row r="37" ht="15.0" customHeight="1">
      <c r="A37" s="8" t="s">
        <v>181</v>
      </c>
      <c r="B37" s="8">
        <v>652.0</v>
      </c>
      <c r="C37" s="8">
        <v>1.0</v>
      </c>
      <c r="G37" s="8">
        <v>1.0</v>
      </c>
      <c r="I37" s="8">
        <v>1.0</v>
      </c>
      <c r="AN37" s="8">
        <v>1.0</v>
      </c>
      <c r="BL37" s="8">
        <v>1.0</v>
      </c>
    </row>
    <row r="38" ht="15.0" customHeight="1">
      <c r="A38" s="8" t="s">
        <v>106</v>
      </c>
      <c r="B38" s="8">
        <v>660.0</v>
      </c>
      <c r="C38" s="8">
        <v>1.0</v>
      </c>
      <c r="G38" s="8">
        <v>1.0</v>
      </c>
      <c r="AD38" s="8">
        <v>1.0</v>
      </c>
      <c r="AN38" s="8">
        <v>1.0</v>
      </c>
      <c r="AS38" s="8">
        <v>1.0</v>
      </c>
      <c r="AY38" s="8">
        <v>1.0</v>
      </c>
      <c r="BI38" s="8">
        <v>1.0</v>
      </c>
      <c r="BO38" s="8">
        <v>1.0</v>
      </c>
    </row>
    <row r="39" ht="15.0" customHeight="1">
      <c r="A39" s="8" t="s">
        <v>108</v>
      </c>
      <c r="B39" s="8">
        <v>666.0</v>
      </c>
      <c r="C39" s="8">
        <v>1.0</v>
      </c>
      <c r="I39" s="8">
        <v>1.0</v>
      </c>
      <c r="AN39" s="8">
        <v>1.0</v>
      </c>
      <c r="AQ39" s="8">
        <v>1.0</v>
      </c>
      <c r="AS39" s="8">
        <v>1.0</v>
      </c>
      <c r="AX39" s="8">
        <v>1.0</v>
      </c>
      <c r="BI39" s="8">
        <v>1.0</v>
      </c>
      <c r="BL39" s="8">
        <v>1.0</v>
      </c>
    </row>
    <row r="40" ht="15.0" customHeight="1">
      <c r="A40" s="8" t="s">
        <v>111</v>
      </c>
      <c r="B40" s="8">
        <v>673.0</v>
      </c>
      <c r="C40" s="8">
        <v>1.0</v>
      </c>
      <c r="G40" s="8">
        <v>1.0</v>
      </c>
      <c r="I40" s="8">
        <v>1.0</v>
      </c>
      <c r="AC40" s="8">
        <v>1.0</v>
      </c>
      <c r="AD40" s="8">
        <v>1.0</v>
      </c>
      <c r="AG40" s="8">
        <v>1.0</v>
      </c>
      <c r="AQ40" s="8">
        <v>1.0</v>
      </c>
      <c r="AS40" s="8">
        <v>1.0</v>
      </c>
      <c r="AX40" s="8">
        <v>1.0</v>
      </c>
      <c r="BA40" s="8">
        <v>1.0</v>
      </c>
      <c r="BI40" s="8">
        <v>1.0</v>
      </c>
      <c r="BL40" s="8">
        <v>1.0</v>
      </c>
    </row>
    <row r="41" ht="15.0" customHeight="1">
      <c r="A41" s="8" t="s">
        <v>121</v>
      </c>
      <c r="B41" s="8">
        <v>717.0</v>
      </c>
      <c r="C41" s="8">
        <v>1.0</v>
      </c>
      <c r="G41" s="8">
        <v>1.0</v>
      </c>
      <c r="I41" s="8">
        <v>1.0</v>
      </c>
      <c r="J41" s="8">
        <v>1.0</v>
      </c>
      <c r="R41" s="8">
        <v>1.0</v>
      </c>
      <c r="AC41" s="8">
        <v>1.0</v>
      </c>
      <c r="AF41" s="8">
        <v>1.0</v>
      </c>
      <c r="AK41" s="8">
        <v>1.0</v>
      </c>
      <c r="AL41" s="8">
        <v>1.0</v>
      </c>
      <c r="AN41" s="8">
        <v>1.0</v>
      </c>
      <c r="AO41" s="8">
        <v>1.0</v>
      </c>
      <c r="AP41" s="8">
        <v>1.0</v>
      </c>
      <c r="AQ41" s="8">
        <v>1.0</v>
      </c>
      <c r="AS41" s="8">
        <v>1.0</v>
      </c>
      <c r="AZ41" s="8">
        <v>1.0</v>
      </c>
      <c r="BI41" s="8">
        <v>1.0</v>
      </c>
      <c r="BL41" s="8">
        <v>1.0</v>
      </c>
      <c r="BM41" s="8">
        <v>1.0</v>
      </c>
      <c r="BN41" s="8">
        <v>1.0</v>
      </c>
      <c r="BO41" s="8">
        <v>1.0</v>
      </c>
      <c r="BT41" s="8">
        <v>1.0</v>
      </c>
    </row>
    <row r="42" ht="15.0" customHeight="1">
      <c r="A42" s="8" t="s">
        <v>124</v>
      </c>
      <c r="B42" s="8">
        <v>725.0</v>
      </c>
      <c r="C42" s="8">
        <v>1.0</v>
      </c>
      <c r="U42" s="8">
        <v>1.0</v>
      </c>
      <c r="AF42" s="8">
        <v>1.0</v>
      </c>
      <c r="BI42" s="8">
        <v>1.0</v>
      </c>
    </row>
    <row r="43" ht="15.0" customHeight="1">
      <c r="A43" s="8" t="s">
        <v>125</v>
      </c>
      <c r="B43" s="8">
        <v>731.0</v>
      </c>
      <c r="C43" s="8">
        <v>1.0</v>
      </c>
      <c r="U43" s="8">
        <v>1.0</v>
      </c>
      <c r="Y43" s="8">
        <v>1.0</v>
      </c>
      <c r="AO43" s="8">
        <v>1.0</v>
      </c>
      <c r="AX43" s="8">
        <v>1.0</v>
      </c>
      <c r="BL43" s="8">
        <v>1.0</v>
      </c>
    </row>
    <row r="44" ht="15.0" customHeight="1">
      <c r="A44" s="8" t="s">
        <v>137</v>
      </c>
      <c r="B44" s="8">
        <v>821.0</v>
      </c>
      <c r="C44" s="8">
        <v>1.0</v>
      </c>
      <c r="G44" s="8">
        <v>1.0</v>
      </c>
      <c r="J44" s="8">
        <v>1.0</v>
      </c>
      <c r="R44" s="8">
        <v>1.0</v>
      </c>
      <c r="AN44" s="8">
        <v>1.0</v>
      </c>
      <c r="BI44" s="8">
        <v>1.0</v>
      </c>
    </row>
    <row r="45" ht="15.0" customHeight="1">
      <c r="A45" s="8" t="s">
        <v>82</v>
      </c>
      <c r="B45" s="8" t="s">
        <v>182</v>
      </c>
      <c r="C45" s="8">
        <v>1.0</v>
      </c>
      <c r="G45" s="8">
        <v>1.0</v>
      </c>
      <c r="I45" s="8">
        <v>1.0</v>
      </c>
      <c r="AS45" s="8">
        <v>1.0</v>
      </c>
      <c r="AZ45" s="8">
        <v>1.0</v>
      </c>
      <c r="BC45" s="8">
        <v>1.0</v>
      </c>
      <c r="BF45" s="8">
        <v>1.0</v>
      </c>
      <c r="BI45" s="8">
        <v>1.0</v>
      </c>
    </row>
    <row r="46" ht="15.0" customHeight="1">
      <c r="A46" s="8" t="s">
        <v>91</v>
      </c>
      <c r="B46" s="8" t="s">
        <v>182</v>
      </c>
      <c r="C46" s="8">
        <v>1.0</v>
      </c>
      <c r="I46" s="8">
        <v>1.0</v>
      </c>
      <c r="J46" s="8">
        <v>1.0</v>
      </c>
      <c r="AF46" s="8">
        <v>1.0</v>
      </c>
      <c r="AS46" s="8">
        <v>1.0</v>
      </c>
      <c r="BI46" s="8">
        <v>1.0</v>
      </c>
      <c r="BL46" s="8">
        <v>1.0</v>
      </c>
    </row>
    <row r="47" ht="15.0" customHeight="1">
      <c r="A47" s="8" t="s">
        <v>91</v>
      </c>
      <c r="B47" s="8" t="s">
        <v>182</v>
      </c>
      <c r="C47" s="8">
        <v>1.0</v>
      </c>
      <c r="I47" s="8">
        <v>1.0</v>
      </c>
      <c r="J47" s="8">
        <v>1.0</v>
      </c>
      <c r="AC47" s="8">
        <v>1.0</v>
      </c>
      <c r="AL47" s="8">
        <v>1.0</v>
      </c>
      <c r="AS47" s="8">
        <v>1.0</v>
      </c>
      <c r="BI47" s="8">
        <v>1.0</v>
      </c>
      <c r="BL47" s="8">
        <v>1.0</v>
      </c>
    </row>
    <row r="48" ht="15.0" customHeight="1">
      <c r="A48" s="8" t="s">
        <v>106</v>
      </c>
      <c r="B48" s="8" t="s">
        <v>182</v>
      </c>
      <c r="C48" s="8">
        <v>1.0</v>
      </c>
      <c r="AN48" s="8">
        <v>1.0</v>
      </c>
      <c r="AS48" s="8">
        <v>1.0</v>
      </c>
      <c r="BI48" s="8">
        <v>1.0</v>
      </c>
    </row>
    <row r="49" ht="15.0" customHeight="1">
      <c r="A49" s="8" t="s">
        <v>115</v>
      </c>
      <c r="B49" s="8" t="s">
        <v>182</v>
      </c>
      <c r="C49" s="8">
        <v>1.0</v>
      </c>
      <c r="I49" s="8">
        <v>1.0</v>
      </c>
      <c r="AS49" s="8">
        <v>1.0</v>
      </c>
      <c r="AX49" s="8">
        <v>1.0</v>
      </c>
      <c r="BL49" s="8">
        <v>1.0</v>
      </c>
    </row>
    <row r="50" ht="15.0" customHeight="1">
      <c r="A50" s="8" t="s">
        <v>115</v>
      </c>
      <c r="B50" s="8" t="s">
        <v>182</v>
      </c>
      <c r="C50" s="8">
        <v>1.0</v>
      </c>
      <c r="I50" s="8">
        <v>1.0</v>
      </c>
      <c r="AN50" s="8">
        <v>1.0</v>
      </c>
      <c r="AS50" s="8">
        <v>1.0</v>
      </c>
      <c r="AX50" s="8">
        <v>1.0</v>
      </c>
      <c r="BI50" s="8">
        <v>1.0</v>
      </c>
      <c r="BL50" s="8">
        <v>1.0</v>
      </c>
    </row>
    <row r="51" ht="15.0" customHeight="1">
      <c r="A51" s="8" t="s">
        <v>183</v>
      </c>
      <c r="B51" s="8" t="s">
        <v>182</v>
      </c>
      <c r="C51" s="8">
        <v>1.0</v>
      </c>
      <c r="G51" s="8">
        <v>1.0</v>
      </c>
      <c r="AN51" s="8">
        <v>1.0</v>
      </c>
      <c r="BI51" s="8">
        <v>1.0</v>
      </c>
      <c r="BM51" s="8">
        <v>1.0</v>
      </c>
    </row>
    <row r="52" ht="15.0" customHeight="1">
      <c r="A52" s="8" t="s">
        <v>183</v>
      </c>
      <c r="B52" s="8" t="s">
        <v>182</v>
      </c>
      <c r="C52" s="8">
        <v>1.0</v>
      </c>
      <c r="G52" s="8">
        <v>1.0</v>
      </c>
      <c r="AD52" s="8">
        <v>1.0</v>
      </c>
      <c r="AE52" s="8">
        <v>1.0</v>
      </c>
      <c r="AF52" s="8">
        <v>1.0</v>
      </c>
      <c r="AN52" s="8">
        <v>1.0</v>
      </c>
      <c r="AZ52" s="8">
        <v>1.0</v>
      </c>
      <c r="BD52" s="8">
        <v>1.0</v>
      </c>
      <c r="BG52" s="8">
        <v>1.0</v>
      </c>
      <c r="BH52" s="8">
        <v>1.0</v>
      </c>
      <c r="BI52" s="8">
        <v>1.0</v>
      </c>
      <c r="BM52" s="8">
        <v>1.0</v>
      </c>
    </row>
    <row r="53" ht="15.0" customHeight="1">
      <c r="A53" s="8" t="s">
        <v>184</v>
      </c>
      <c r="B53" s="8" t="s">
        <v>182</v>
      </c>
      <c r="G53" s="8">
        <v>1.0</v>
      </c>
      <c r="R53" s="8">
        <v>1.0</v>
      </c>
      <c r="AN53" s="8">
        <v>1.0</v>
      </c>
      <c r="BO53" s="8">
        <v>1.0</v>
      </c>
    </row>
    <row r="54" ht="15.0" customHeight="1">
      <c r="A54" s="8" t="s">
        <v>185</v>
      </c>
      <c r="B54" s="8" t="s">
        <v>182</v>
      </c>
      <c r="C54" s="8">
        <v>1.0</v>
      </c>
      <c r="G54" s="8">
        <v>1.0</v>
      </c>
      <c r="J54" s="8">
        <v>1.0</v>
      </c>
      <c r="R54" s="8">
        <v>1.0</v>
      </c>
      <c r="AS54" s="8">
        <v>1.0</v>
      </c>
      <c r="BI54" s="8">
        <v>1.0</v>
      </c>
    </row>
    <row r="55" ht="15.0" customHeight="1">
      <c r="A55" s="8" t="s">
        <v>185</v>
      </c>
      <c r="B55" s="8" t="s">
        <v>182</v>
      </c>
      <c r="C55" s="8">
        <v>1.0</v>
      </c>
      <c r="G55" s="8">
        <v>1.0</v>
      </c>
      <c r="J55" s="8">
        <v>1.0</v>
      </c>
      <c r="R55" s="8">
        <v>1.0</v>
      </c>
      <c r="AS55" s="8">
        <v>1.0</v>
      </c>
      <c r="BI55" s="8">
        <v>1.0</v>
      </c>
    </row>
    <row r="56" ht="15.0" customHeight="1">
      <c r="A56" s="8" t="s">
        <v>185</v>
      </c>
      <c r="B56" s="8" t="s">
        <v>182</v>
      </c>
      <c r="C56" s="8">
        <v>1.0</v>
      </c>
      <c r="G56" s="8">
        <v>1.0</v>
      </c>
      <c r="J56" s="8">
        <v>1.0</v>
      </c>
      <c r="R56" s="8">
        <v>1.0</v>
      </c>
      <c r="AS56" s="8">
        <v>1.0</v>
      </c>
      <c r="BI56" s="8">
        <v>1.0</v>
      </c>
    </row>
    <row r="57" ht="15.0" customHeight="1">
      <c r="A57" s="8" t="s">
        <v>185</v>
      </c>
      <c r="B57" s="8" t="s">
        <v>182</v>
      </c>
      <c r="C57" s="8">
        <v>1.0</v>
      </c>
      <c r="G57" s="8">
        <v>1.0</v>
      </c>
      <c r="R57" s="8">
        <v>1.0</v>
      </c>
      <c r="AS57" s="8">
        <v>1.0</v>
      </c>
      <c r="BI57" s="8">
        <v>1.0</v>
      </c>
    </row>
    <row r="58" ht="15.0" customHeight="1">
      <c r="A58" s="8" t="s">
        <v>75</v>
      </c>
      <c r="B58" s="8" t="s">
        <v>182</v>
      </c>
      <c r="C58" s="8">
        <v>1.0</v>
      </c>
      <c r="U58" s="8">
        <v>1.0</v>
      </c>
      <c r="AN58" s="8">
        <v>1.0</v>
      </c>
      <c r="AQ58" s="8">
        <v>1.0</v>
      </c>
      <c r="BI58" s="8">
        <v>1.0</v>
      </c>
    </row>
    <row r="59" ht="15.0" customHeight="1">
      <c r="A59" s="8" t="s">
        <v>75</v>
      </c>
      <c r="B59" s="8" t="s">
        <v>182</v>
      </c>
      <c r="C59" s="8">
        <v>1.0</v>
      </c>
      <c r="G59" s="8">
        <v>1.0</v>
      </c>
      <c r="H59" s="8">
        <v>1.0</v>
      </c>
      <c r="I59" s="8">
        <v>1.0</v>
      </c>
      <c r="U59" s="8">
        <v>1.0</v>
      </c>
      <c r="AD59" s="8">
        <v>1.0</v>
      </c>
      <c r="AF59" s="8">
        <v>1.0</v>
      </c>
      <c r="AI59" s="8">
        <v>1.0</v>
      </c>
      <c r="AN59" s="8">
        <v>1.0</v>
      </c>
      <c r="AQ59" s="8">
        <v>1.0</v>
      </c>
      <c r="AR59" s="8">
        <v>1.0</v>
      </c>
      <c r="AS59" s="8">
        <v>1.0</v>
      </c>
      <c r="AU59" s="8">
        <v>1.0</v>
      </c>
      <c r="AY59" s="8">
        <v>1.0</v>
      </c>
      <c r="AZ59" s="8">
        <v>1.0</v>
      </c>
      <c r="BG59" s="8">
        <v>1.0</v>
      </c>
      <c r="BI59" s="8">
        <v>1.0</v>
      </c>
      <c r="BJ59" s="8">
        <v>1.0</v>
      </c>
      <c r="BM59" s="8">
        <v>1.0</v>
      </c>
      <c r="BO59" s="8">
        <v>1.0</v>
      </c>
      <c r="BR59" s="8">
        <v>1.0</v>
      </c>
    </row>
    <row r="60" ht="15.0" customHeight="1">
      <c r="A60" s="8" t="s">
        <v>186</v>
      </c>
      <c r="B60" s="8" t="s">
        <v>182</v>
      </c>
      <c r="C60" s="8">
        <v>1.0</v>
      </c>
      <c r="G60" s="8">
        <v>1.0</v>
      </c>
      <c r="R60" s="8">
        <v>1.0</v>
      </c>
      <c r="AN60" s="8">
        <v>1.0</v>
      </c>
      <c r="BL60" s="8">
        <v>1.0</v>
      </c>
    </row>
    <row r="61" ht="15.0" customHeight="1">
      <c r="A61" s="8" t="s">
        <v>186</v>
      </c>
      <c r="B61" s="8" t="s">
        <v>182</v>
      </c>
      <c r="C61" s="8">
        <v>1.0</v>
      </c>
      <c r="G61" s="8">
        <v>1.0</v>
      </c>
      <c r="AD61" s="8">
        <v>1.0</v>
      </c>
      <c r="AF61" s="8">
        <v>1.0</v>
      </c>
      <c r="AP61" s="8">
        <v>1.0</v>
      </c>
      <c r="BI61" s="8">
        <v>1.0</v>
      </c>
      <c r="BL61" s="8">
        <v>1.0</v>
      </c>
    </row>
    <row r="62" ht="15.0" customHeight="1">
      <c r="A62" s="8" t="s">
        <v>186</v>
      </c>
      <c r="B62" s="8" t="s">
        <v>182</v>
      </c>
      <c r="C62" s="8">
        <v>1.0</v>
      </c>
      <c r="G62" s="8">
        <v>1.0</v>
      </c>
      <c r="AF62" s="8">
        <v>1.0</v>
      </c>
      <c r="BI62" s="8">
        <v>1.0</v>
      </c>
      <c r="BL62" s="8">
        <v>1.0</v>
      </c>
    </row>
    <row r="63" ht="15.0" customHeight="1">
      <c r="A63" s="8" t="s">
        <v>136</v>
      </c>
      <c r="B63" s="8" t="s">
        <v>182</v>
      </c>
      <c r="C63" s="8">
        <v>1.0</v>
      </c>
      <c r="AS63" s="8">
        <v>1.0</v>
      </c>
    </row>
    <row r="64" ht="15.0" customHeight="1">
      <c r="A64" s="8" t="s">
        <v>136</v>
      </c>
      <c r="B64" s="8" t="s">
        <v>182</v>
      </c>
      <c r="C64" s="8">
        <v>1.0</v>
      </c>
      <c r="M64" s="8">
        <v>1.0</v>
      </c>
      <c r="AS64" s="8">
        <v>1.0</v>
      </c>
      <c r="BL64" s="8">
        <v>1.0</v>
      </c>
      <c r="BS64" s="8">
        <v>1.0</v>
      </c>
    </row>
    <row r="65" ht="15.0" customHeight="1">
      <c r="A65" s="8" t="s">
        <v>136</v>
      </c>
      <c r="B65" s="8" t="s">
        <v>182</v>
      </c>
      <c r="C65" s="8">
        <v>1.0</v>
      </c>
      <c r="Z65" s="8">
        <v>1.0</v>
      </c>
      <c r="AX65" s="8">
        <v>1.0</v>
      </c>
      <c r="BI65" s="8">
        <v>1.0</v>
      </c>
      <c r="BM65" s="8">
        <v>1.0</v>
      </c>
      <c r="BS65" s="8">
        <v>1.0</v>
      </c>
    </row>
    <row r="66" ht="15.0" customHeight="1">
      <c r="A66" s="8" t="s">
        <v>136</v>
      </c>
      <c r="B66" s="8" t="s">
        <v>182</v>
      </c>
      <c r="C66" s="8">
        <v>1.0</v>
      </c>
      <c r="AX66" s="8">
        <v>1.0</v>
      </c>
      <c r="BI66" s="8">
        <v>1.0</v>
      </c>
      <c r="BL66" s="8">
        <v>1.0</v>
      </c>
      <c r="BS66" s="8">
        <v>1.0</v>
      </c>
    </row>
    <row r="67" ht="15.0" customHeight="1">
      <c r="A67" s="8" t="s">
        <v>136</v>
      </c>
      <c r="B67" s="8" t="s">
        <v>182</v>
      </c>
      <c r="C67" s="8">
        <v>1.0</v>
      </c>
      <c r="F67" s="8">
        <v>1.0</v>
      </c>
      <c r="AF67" s="8">
        <v>1.0</v>
      </c>
      <c r="AQ67" s="8">
        <v>1.0</v>
      </c>
      <c r="BI67" s="8">
        <v>1.0</v>
      </c>
      <c r="BL67" s="8">
        <v>1.0</v>
      </c>
      <c r="BS67" s="8">
        <v>1.0</v>
      </c>
    </row>
    <row r="68" ht="15.0" customHeight="1">
      <c r="A68" s="8" t="s">
        <v>187</v>
      </c>
      <c r="B68" s="8" t="s">
        <v>182</v>
      </c>
      <c r="C68" s="8">
        <v>1.0</v>
      </c>
      <c r="G68" s="8">
        <v>1.0</v>
      </c>
      <c r="I68" s="8">
        <v>1.0</v>
      </c>
      <c r="AC68" s="8">
        <v>1.0</v>
      </c>
      <c r="AD68" s="8">
        <v>1.0</v>
      </c>
      <c r="AI68" s="8">
        <v>1.0</v>
      </c>
      <c r="AX68" s="8">
        <v>1.0</v>
      </c>
      <c r="BA68" s="8">
        <v>1.0</v>
      </c>
      <c r="BL68" s="8">
        <v>1.0</v>
      </c>
      <c r="BS68" s="8">
        <v>1.0</v>
      </c>
    </row>
    <row r="69" ht="15.0" customHeight="1">
      <c r="A69" s="8" t="s">
        <v>188</v>
      </c>
      <c r="B69" s="8" t="s">
        <v>182</v>
      </c>
      <c r="C69" s="8">
        <v>1.0</v>
      </c>
      <c r="H69" s="8">
        <v>1.0</v>
      </c>
      <c r="I69" s="8">
        <v>1.0</v>
      </c>
      <c r="M69" s="8">
        <v>1.0</v>
      </c>
      <c r="P69" s="8">
        <v>1.0</v>
      </c>
      <c r="AB69" s="8">
        <v>1.0</v>
      </c>
      <c r="AN69" s="8">
        <v>1.0</v>
      </c>
      <c r="AQ69" s="8">
        <v>1.0</v>
      </c>
      <c r="AS69" s="8">
        <v>1.0</v>
      </c>
      <c r="BA69" s="8">
        <v>1.0</v>
      </c>
      <c r="BC69" s="8">
        <v>1.0</v>
      </c>
      <c r="BI69" s="8">
        <v>1.0</v>
      </c>
    </row>
    <row r="70" ht="15.0" customHeight="1">
      <c r="A70" s="8" t="s">
        <v>188</v>
      </c>
      <c r="B70" s="8" t="s">
        <v>182</v>
      </c>
      <c r="C70" s="8">
        <v>1.0</v>
      </c>
      <c r="G70" s="8">
        <v>1.0</v>
      </c>
      <c r="I70" s="8">
        <v>1.0</v>
      </c>
      <c r="R70" s="8">
        <v>1.0</v>
      </c>
      <c r="U70" s="8">
        <v>1.0</v>
      </c>
      <c r="AD70" s="8">
        <v>1.0</v>
      </c>
      <c r="AF70" s="8">
        <v>1.0</v>
      </c>
      <c r="AI70" s="8">
        <v>1.0</v>
      </c>
      <c r="AN70" s="8">
        <v>1.0</v>
      </c>
      <c r="AO70" s="8">
        <v>1.0</v>
      </c>
      <c r="AQ70" s="8">
        <v>1.0</v>
      </c>
      <c r="AS70" s="8">
        <v>1.0</v>
      </c>
      <c r="BC70" s="8">
        <v>1.0</v>
      </c>
      <c r="BH70" s="8">
        <v>1.0</v>
      </c>
      <c r="BI70" s="8">
        <v>1.0</v>
      </c>
      <c r="BM70" s="8">
        <v>1.0</v>
      </c>
    </row>
    <row r="71" ht="15.0" customHeight="1">
      <c r="A71" s="8" t="s">
        <v>189</v>
      </c>
      <c r="B71" s="8" t="s">
        <v>182</v>
      </c>
      <c r="C71" s="8">
        <v>1.0</v>
      </c>
      <c r="AN71" s="8">
        <v>1.0</v>
      </c>
      <c r="AS71" s="8">
        <v>1.0</v>
      </c>
      <c r="BI71" s="8">
        <v>1.0</v>
      </c>
      <c r="BL71" s="8">
        <v>1.0</v>
      </c>
    </row>
    <row r="72" ht="15.0" customHeight="1">
      <c r="A72" s="8" t="s">
        <v>189</v>
      </c>
      <c r="B72" s="8" t="s">
        <v>182</v>
      </c>
      <c r="C72" s="8">
        <v>1.0</v>
      </c>
      <c r="AN72" s="8">
        <v>1.0</v>
      </c>
      <c r="AS72" s="8">
        <v>1.0</v>
      </c>
      <c r="BI72" s="8">
        <v>1.0</v>
      </c>
      <c r="BL72" s="8">
        <v>1.0</v>
      </c>
    </row>
    <row r="73" ht="15.0" customHeight="1">
      <c r="A73" s="8" t="s">
        <v>189</v>
      </c>
      <c r="B73" s="8" t="s">
        <v>182</v>
      </c>
      <c r="C73" s="8">
        <v>1.0</v>
      </c>
      <c r="AN73" s="8">
        <v>1.0</v>
      </c>
      <c r="AS73" s="8">
        <v>1.0</v>
      </c>
      <c r="BI73" s="8">
        <v>1.0</v>
      </c>
    </row>
    <row r="74" ht="15.0" customHeight="1">
      <c r="A74" s="8" t="s">
        <v>189</v>
      </c>
      <c r="B74" s="8" t="s">
        <v>182</v>
      </c>
      <c r="C74" s="8">
        <v>1.0</v>
      </c>
      <c r="AN74" s="8">
        <v>1.0</v>
      </c>
      <c r="AS74" s="8">
        <v>1.0</v>
      </c>
      <c r="BI74" s="8">
        <v>1.0</v>
      </c>
    </row>
    <row r="75" ht="15.0" customHeight="1">
      <c r="A75" s="8" t="s">
        <v>190</v>
      </c>
      <c r="B75" s="8" t="s">
        <v>182</v>
      </c>
      <c r="C75" s="8">
        <v>1.0</v>
      </c>
      <c r="BI75" s="8">
        <v>1.0</v>
      </c>
      <c r="BL75" s="8">
        <v>1.0</v>
      </c>
    </row>
    <row r="76" ht="15.0" customHeight="1">
      <c r="A76" s="8" t="s">
        <v>190</v>
      </c>
      <c r="B76" s="8" t="s">
        <v>182</v>
      </c>
      <c r="C76" s="8">
        <v>1.0</v>
      </c>
      <c r="AD76" s="8">
        <v>1.0</v>
      </c>
      <c r="BI76" s="8">
        <v>1.0</v>
      </c>
    </row>
    <row r="77" ht="15.0" customHeight="1">
      <c r="A77" s="8" t="s">
        <v>190</v>
      </c>
      <c r="B77" s="8" t="s">
        <v>182</v>
      </c>
      <c r="C77" s="8">
        <v>1.0</v>
      </c>
      <c r="AD77" s="8">
        <v>1.0</v>
      </c>
      <c r="AF77" s="8">
        <v>1.0</v>
      </c>
      <c r="BH77" s="8">
        <v>1.0</v>
      </c>
      <c r="BI77" s="8">
        <v>1.0</v>
      </c>
    </row>
    <row r="78" ht="15.0" customHeight="1">
      <c r="A78" s="8" t="s">
        <v>175</v>
      </c>
      <c r="B78" s="8" t="s">
        <v>182</v>
      </c>
      <c r="C78" s="8">
        <v>1.0</v>
      </c>
      <c r="I78" s="8">
        <v>1.0</v>
      </c>
      <c r="R78" s="8">
        <v>1.0</v>
      </c>
      <c r="AD78" s="8">
        <v>1.0</v>
      </c>
      <c r="AF78" s="8">
        <v>1.0</v>
      </c>
      <c r="AN78" s="8">
        <v>1.0</v>
      </c>
      <c r="AQ78" s="8">
        <v>1.0</v>
      </c>
      <c r="AZ78" s="8">
        <v>1.0</v>
      </c>
      <c r="BC78" s="8">
        <v>1.0</v>
      </c>
      <c r="BG78" s="8">
        <v>1.0</v>
      </c>
      <c r="BM78" s="8">
        <v>1.0</v>
      </c>
      <c r="BT78" s="8">
        <v>1.0</v>
      </c>
    </row>
    <row r="79" ht="15.0" customHeight="1">
      <c r="A79" s="8" t="s">
        <v>175</v>
      </c>
      <c r="B79" s="8" t="s">
        <v>182</v>
      </c>
      <c r="C79" s="8">
        <v>1.0</v>
      </c>
      <c r="I79" s="8">
        <v>1.0</v>
      </c>
      <c r="R79" s="8">
        <v>1.0</v>
      </c>
      <c r="AF79" s="8">
        <v>1.0</v>
      </c>
      <c r="AN79" s="8">
        <v>1.0</v>
      </c>
      <c r="AQ79" s="8">
        <v>1.0</v>
      </c>
      <c r="AS79" s="8">
        <v>1.0</v>
      </c>
      <c r="BC79" s="8">
        <v>1.0</v>
      </c>
      <c r="BG79" s="8">
        <v>1.0</v>
      </c>
      <c r="BM79" s="8">
        <v>1.0</v>
      </c>
      <c r="BT79" s="8">
        <v>1.0</v>
      </c>
    </row>
    <row r="80" ht="15.0" customHeight="1">
      <c r="A80" s="8" t="s">
        <v>94</v>
      </c>
      <c r="B80" s="8" t="s">
        <v>182</v>
      </c>
      <c r="I80" s="8">
        <v>1.0</v>
      </c>
      <c r="BI80" s="8">
        <v>1.0</v>
      </c>
      <c r="BL80" s="8">
        <v>1.0</v>
      </c>
    </row>
    <row r="81" ht="15.0" customHeight="1">
      <c r="A81" s="8" t="s">
        <v>94</v>
      </c>
      <c r="B81" s="8" t="s">
        <v>182</v>
      </c>
      <c r="I81" s="8">
        <v>1.0</v>
      </c>
      <c r="BI81" s="8">
        <v>1.0</v>
      </c>
      <c r="BL81" s="8">
        <v>1.0</v>
      </c>
    </row>
    <row r="82" ht="15.0" customHeight="1">
      <c r="A82" s="8" t="s">
        <v>94</v>
      </c>
      <c r="B82" s="8" t="s">
        <v>182</v>
      </c>
      <c r="I82" s="8">
        <v>1.0</v>
      </c>
      <c r="J82" s="8">
        <v>1.0</v>
      </c>
      <c r="AF82" s="8">
        <v>1.0</v>
      </c>
      <c r="BG82" s="8">
        <v>1.0</v>
      </c>
      <c r="BI82" s="8">
        <v>1.0</v>
      </c>
      <c r="BL82" s="8">
        <v>1.0</v>
      </c>
      <c r="BT82" s="8">
        <v>1.0</v>
      </c>
    </row>
    <row r="83" ht="15.0" customHeight="1">
      <c r="A83" s="8" t="s">
        <v>94</v>
      </c>
      <c r="B83" s="8" t="s">
        <v>182</v>
      </c>
      <c r="C83" s="8">
        <v>1.0</v>
      </c>
      <c r="AN83" s="8">
        <v>1.0</v>
      </c>
      <c r="AS83" s="8">
        <v>1.0</v>
      </c>
      <c r="BI83" s="8">
        <v>1.0</v>
      </c>
      <c r="BL83" s="8">
        <v>1.0</v>
      </c>
    </row>
    <row r="84" ht="15.0" customHeight="1">
      <c r="A84" s="8" t="s">
        <v>191</v>
      </c>
      <c r="B84" s="8" t="s">
        <v>182</v>
      </c>
      <c r="C84" s="8">
        <v>1.0</v>
      </c>
      <c r="I84" s="8">
        <v>1.0</v>
      </c>
      <c r="BI84" s="8">
        <v>1.0</v>
      </c>
    </row>
    <row r="85" ht="15.0" customHeight="1">
      <c r="A85" s="8" t="s">
        <v>192</v>
      </c>
      <c r="B85" s="8" t="s">
        <v>182</v>
      </c>
      <c r="C85" s="8">
        <v>1.0</v>
      </c>
      <c r="G85" s="8">
        <v>1.0</v>
      </c>
      <c r="I85" s="8">
        <v>1.0</v>
      </c>
      <c r="R85" s="8">
        <v>1.0</v>
      </c>
      <c r="AN85" s="8">
        <v>1.0</v>
      </c>
      <c r="AO85" s="8">
        <v>1.0</v>
      </c>
      <c r="AX85" s="8">
        <v>1.0</v>
      </c>
      <c r="BI85" s="8">
        <v>1.0</v>
      </c>
      <c r="BJ85" s="8">
        <v>1.0</v>
      </c>
      <c r="BM85" s="8">
        <v>1.0</v>
      </c>
      <c r="BO85" s="8">
        <v>1.0</v>
      </c>
    </row>
    <row r="86" ht="15.0" customHeight="1">
      <c r="A86" s="8" t="s">
        <v>125</v>
      </c>
      <c r="B86" s="8" t="s">
        <v>182</v>
      </c>
      <c r="C86" s="8">
        <v>1.0</v>
      </c>
      <c r="R86" s="8">
        <v>1.0</v>
      </c>
      <c r="U86" s="8">
        <v>1.0</v>
      </c>
      <c r="Y86" s="8">
        <v>1.0</v>
      </c>
      <c r="AO86" s="8">
        <v>1.0</v>
      </c>
      <c r="AX86" s="8">
        <v>1.0</v>
      </c>
      <c r="BA86" s="8">
        <v>1.0</v>
      </c>
      <c r="BL86" s="8">
        <v>1.0</v>
      </c>
    </row>
    <row r="87" ht="15.0" customHeight="1">
      <c r="A87" s="8" t="s">
        <v>132</v>
      </c>
      <c r="B87" s="8" t="s">
        <v>182</v>
      </c>
      <c r="BS87" s="8">
        <v>1.0</v>
      </c>
    </row>
    <row r="88" ht="15.0" customHeight="1">
      <c r="A88" s="8" t="s">
        <v>132</v>
      </c>
      <c r="B88" s="8" t="s">
        <v>182</v>
      </c>
      <c r="C88" s="8">
        <v>1.0</v>
      </c>
      <c r="AS88" s="8">
        <v>1.0</v>
      </c>
      <c r="BS88" s="8">
        <v>1.0</v>
      </c>
    </row>
    <row r="89" ht="15.0" customHeight="1">
      <c r="A89" s="8" t="s">
        <v>132</v>
      </c>
      <c r="B89" s="8" t="s">
        <v>182</v>
      </c>
      <c r="C89" s="8">
        <v>1.0</v>
      </c>
      <c r="Z89" s="8">
        <v>1.0</v>
      </c>
      <c r="AE89" s="8">
        <v>1.0</v>
      </c>
      <c r="AF89" s="8">
        <v>1.0</v>
      </c>
      <c r="AN89" s="8">
        <v>1.0</v>
      </c>
      <c r="BI89" s="8">
        <v>1.0</v>
      </c>
      <c r="BT89" s="8">
        <v>1.0</v>
      </c>
    </row>
    <row r="90" ht="15.0" customHeight="1">
      <c r="A90" s="8" t="s">
        <v>132</v>
      </c>
      <c r="B90" s="8" t="s">
        <v>182</v>
      </c>
      <c r="C90" s="8">
        <v>1.0</v>
      </c>
      <c r="AE90" s="8">
        <v>1.0</v>
      </c>
      <c r="AF90" s="8">
        <v>1.0</v>
      </c>
      <c r="AN90" s="8">
        <v>1.0</v>
      </c>
      <c r="AZ90" s="8">
        <v>1.0</v>
      </c>
      <c r="BI90" s="8">
        <v>1.0</v>
      </c>
      <c r="BT90" s="8">
        <v>1.0</v>
      </c>
    </row>
    <row r="91" ht="15.0" customHeight="1">
      <c r="A91" s="8" t="s">
        <v>132</v>
      </c>
      <c r="B91" s="8" t="s">
        <v>182</v>
      </c>
      <c r="C91" s="8">
        <v>1.0</v>
      </c>
      <c r="AE91" s="8">
        <v>1.0</v>
      </c>
      <c r="AF91" s="8">
        <v>1.0</v>
      </c>
      <c r="AK91" s="8">
        <v>1.0</v>
      </c>
      <c r="AN91" s="8">
        <v>1.0</v>
      </c>
      <c r="AZ91" s="8">
        <v>1.0</v>
      </c>
      <c r="BD91" s="8">
        <v>1.0</v>
      </c>
      <c r="BI91" s="8">
        <v>1.0</v>
      </c>
      <c r="BT91" s="8">
        <v>1.0</v>
      </c>
    </row>
    <row r="92" ht="15.0" customHeight="1">
      <c r="A92" s="8" t="s">
        <v>193</v>
      </c>
      <c r="B92" s="8" t="s">
        <v>182</v>
      </c>
      <c r="C92" s="8">
        <v>1.0</v>
      </c>
      <c r="Z92" s="8">
        <v>1.0</v>
      </c>
      <c r="AO92" s="8">
        <v>1.0</v>
      </c>
      <c r="BI92" s="8">
        <v>1.0</v>
      </c>
    </row>
    <row r="93" ht="15.0" customHeight="1">
      <c r="A93" s="8" t="s">
        <v>193</v>
      </c>
      <c r="B93" s="8" t="s">
        <v>182</v>
      </c>
      <c r="C93" s="8">
        <v>1.0</v>
      </c>
      <c r="Z93" s="8">
        <v>1.0</v>
      </c>
      <c r="AF93" s="8">
        <v>1.0</v>
      </c>
      <c r="AO93" s="8">
        <v>1.0</v>
      </c>
      <c r="BI93" s="8">
        <v>1.0</v>
      </c>
      <c r="BS93" s="8">
        <v>1.0</v>
      </c>
    </row>
    <row r="94" ht="15.0" customHeight="1">
      <c r="A94" s="8" t="s">
        <v>177</v>
      </c>
      <c r="B94" s="8" t="s">
        <v>182</v>
      </c>
      <c r="C94" s="8">
        <v>1.0</v>
      </c>
      <c r="G94" s="8">
        <v>1.0</v>
      </c>
      <c r="J94" s="8">
        <v>1.0</v>
      </c>
      <c r="AS94" s="8">
        <v>1.0</v>
      </c>
      <c r="BI94" s="8">
        <v>1.0</v>
      </c>
      <c r="BL94" s="8">
        <v>1.0</v>
      </c>
      <c r="BO94" s="8">
        <v>1.0</v>
      </c>
    </row>
    <row r="95" ht="15.0" customHeight="1">
      <c r="A95" s="8" t="s">
        <v>95</v>
      </c>
      <c r="B95" s="8" t="s">
        <v>182</v>
      </c>
      <c r="C95" s="8">
        <v>1.0</v>
      </c>
      <c r="I95" s="8">
        <v>1.0</v>
      </c>
      <c r="J95" s="8">
        <v>1.0</v>
      </c>
      <c r="R95" s="8">
        <v>1.0</v>
      </c>
      <c r="AF95" s="8">
        <v>1.0</v>
      </c>
      <c r="AS95" s="8">
        <v>1.0</v>
      </c>
    </row>
    <row r="96" ht="15.0" customHeight="1">
      <c r="A96" s="8" t="s">
        <v>95</v>
      </c>
      <c r="B96" s="8" t="s">
        <v>182</v>
      </c>
      <c r="C96" s="8">
        <v>1.0</v>
      </c>
      <c r="I96" s="8">
        <v>1.0</v>
      </c>
      <c r="R96" s="8">
        <v>1.0</v>
      </c>
      <c r="AF96" s="8">
        <v>1.0</v>
      </c>
      <c r="AS96" s="8">
        <v>1.0</v>
      </c>
      <c r="BS96" s="8">
        <v>1.0</v>
      </c>
    </row>
    <row r="97" ht="15.0" customHeight="1">
      <c r="A97" s="8" t="s">
        <v>95</v>
      </c>
      <c r="B97" s="8" t="s">
        <v>182</v>
      </c>
      <c r="C97" s="8">
        <v>1.0</v>
      </c>
      <c r="F97" s="8">
        <v>1.0</v>
      </c>
      <c r="I97" s="8">
        <v>1.0</v>
      </c>
      <c r="P97" s="8">
        <v>1.0</v>
      </c>
      <c r="AD97" s="8">
        <v>1.0</v>
      </c>
      <c r="AG97" s="8">
        <v>1.0</v>
      </c>
      <c r="AQ97" s="8">
        <v>1.0</v>
      </c>
      <c r="AY97" s="8">
        <v>1.0</v>
      </c>
      <c r="BS97" s="8">
        <v>1.0</v>
      </c>
    </row>
    <row r="98" ht="15.0" customHeight="1">
      <c r="A98" s="8" t="s">
        <v>95</v>
      </c>
      <c r="B98" s="8" t="s">
        <v>182</v>
      </c>
      <c r="C98" s="8">
        <v>1.0</v>
      </c>
      <c r="G98" s="8">
        <v>1.0</v>
      </c>
      <c r="I98" s="8">
        <v>1.0</v>
      </c>
      <c r="AD98" s="8">
        <v>1.0</v>
      </c>
      <c r="AQ98" s="8">
        <v>1.0</v>
      </c>
      <c r="BS98" s="8">
        <v>1.0</v>
      </c>
    </row>
    <row r="99" ht="15.0" customHeight="1">
      <c r="A99" s="8" t="s">
        <v>110</v>
      </c>
      <c r="B99" s="8" t="s">
        <v>182</v>
      </c>
      <c r="C99" s="8">
        <v>1.0</v>
      </c>
      <c r="G99" s="8">
        <v>1.0</v>
      </c>
      <c r="I99" s="8">
        <v>1.0</v>
      </c>
      <c r="AD99" s="8">
        <v>1.0</v>
      </c>
      <c r="AF99" s="8">
        <v>1.0</v>
      </c>
      <c r="AN99" s="8">
        <v>1.0</v>
      </c>
      <c r="AO99" s="8">
        <v>1.0</v>
      </c>
      <c r="AQ99" s="8">
        <v>1.0</v>
      </c>
      <c r="AS99" s="8">
        <v>1.0</v>
      </c>
      <c r="AX99" s="8">
        <v>1.0</v>
      </c>
      <c r="BI99" s="8">
        <v>1.0</v>
      </c>
      <c r="BS99" s="8">
        <v>1.0</v>
      </c>
      <c r="BT99" s="8">
        <v>1.0</v>
      </c>
    </row>
    <row r="100" ht="15.0" customHeight="1">
      <c r="A100" s="8" t="s">
        <v>118</v>
      </c>
      <c r="B100" s="8" t="s">
        <v>182</v>
      </c>
      <c r="C100" s="8">
        <v>1.0</v>
      </c>
      <c r="I100" s="8">
        <v>1.0</v>
      </c>
      <c r="AN100" s="8">
        <v>1.0</v>
      </c>
      <c r="AQ100" s="8">
        <v>1.0</v>
      </c>
      <c r="BO100" s="8">
        <v>1.0</v>
      </c>
    </row>
    <row r="101" ht="15.0" customHeight="1">
      <c r="A101" s="8" t="s">
        <v>118</v>
      </c>
      <c r="B101" s="8" t="s">
        <v>182</v>
      </c>
      <c r="C101" s="8">
        <v>1.0</v>
      </c>
      <c r="G101" s="8">
        <v>1.0</v>
      </c>
      <c r="I101" s="8">
        <v>1.0</v>
      </c>
      <c r="J101" s="8">
        <v>1.0</v>
      </c>
      <c r="R101" s="8">
        <v>1.0</v>
      </c>
      <c r="AD101" s="8">
        <v>1.0</v>
      </c>
      <c r="AF101" s="8">
        <v>1.0</v>
      </c>
      <c r="AN101" s="8">
        <v>1.0</v>
      </c>
      <c r="AQ101" s="8">
        <v>1.0</v>
      </c>
      <c r="AS101" s="8">
        <v>1.0</v>
      </c>
      <c r="AX101" s="8">
        <v>1.0</v>
      </c>
      <c r="BI101" s="8">
        <v>1.0</v>
      </c>
      <c r="BL101" s="8">
        <v>1.0</v>
      </c>
      <c r="BM101" s="8">
        <v>1.0</v>
      </c>
      <c r="BO101" s="8">
        <v>1.0</v>
      </c>
      <c r="BS101" s="8">
        <v>1.0</v>
      </c>
    </row>
    <row r="102" ht="15.0" customHeight="1">
      <c r="A102" s="8" t="s">
        <v>194</v>
      </c>
      <c r="B102" s="8" t="s">
        <v>182</v>
      </c>
      <c r="C102" s="8">
        <v>1.0</v>
      </c>
      <c r="AD102" s="8">
        <v>1.0</v>
      </c>
      <c r="AE102" s="8">
        <v>1.0</v>
      </c>
      <c r="AF102" s="8">
        <v>1.0</v>
      </c>
      <c r="AG102" s="8">
        <v>1.0</v>
      </c>
      <c r="AN102" s="8">
        <v>1.0</v>
      </c>
      <c r="AS102" s="8">
        <v>1.0</v>
      </c>
      <c r="BG102" s="8">
        <v>1.0</v>
      </c>
      <c r="BI102" s="8">
        <v>1.0</v>
      </c>
      <c r="BN102" s="8">
        <v>1.0</v>
      </c>
    </row>
    <row r="103" ht="15.0" customHeight="1">
      <c r="A103" s="8" t="s">
        <v>194</v>
      </c>
      <c r="B103" s="8" t="s">
        <v>182</v>
      </c>
      <c r="C103" s="8">
        <v>1.0</v>
      </c>
      <c r="AD103" s="8">
        <v>1.0</v>
      </c>
      <c r="AE103" s="8">
        <v>1.0</v>
      </c>
      <c r="AF103" s="8">
        <v>1.0</v>
      </c>
      <c r="AN103" s="8">
        <v>1.0</v>
      </c>
      <c r="BI103" s="8">
        <v>1.0</v>
      </c>
    </row>
    <row r="104" ht="15.0" customHeight="1">
      <c r="A104" s="8" t="s">
        <v>194</v>
      </c>
      <c r="B104" s="8" t="s">
        <v>182</v>
      </c>
      <c r="C104" s="8">
        <v>1.0</v>
      </c>
      <c r="AD104" s="8">
        <v>1.0</v>
      </c>
      <c r="AE104" s="8">
        <v>1.0</v>
      </c>
      <c r="AN104" s="8">
        <v>1.0</v>
      </c>
      <c r="BI104" s="8">
        <v>1.0</v>
      </c>
    </row>
    <row r="105" ht="15.0" customHeight="1">
      <c r="A105" s="8" t="s">
        <v>86</v>
      </c>
      <c r="B105" s="8" t="s">
        <v>182</v>
      </c>
      <c r="C105" s="8">
        <v>1.0</v>
      </c>
      <c r="G105" s="8">
        <v>1.0</v>
      </c>
      <c r="I105" s="8">
        <v>1.0</v>
      </c>
      <c r="J105" s="8">
        <v>1.0</v>
      </c>
      <c r="AQ105" s="8">
        <v>1.0</v>
      </c>
      <c r="AS105" s="8">
        <v>1.0</v>
      </c>
      <c r="AT105" s="8">
        <v>1.0</v>
      </c>
      <c r="BI105" s="8">
        <v>1.0</v>
      </c>
      <c r="BK105" s="8">
        <v>1.0</v>
      </c>
      <c r="BL105" s="8">
        <v>1.0</v>
      </c>
      <c r="BM105" s="8">
        <v>1.0</v>
      </c>
      <c r="BT105" s="8">
        <v>1.0</v>
      </c>
    </row>
    <row r="106" ht="15.0" customHeight="1">
      <c r="A106" s="8" t="s">
        <v>195</v>
      </c>
      <c r="B106" s="8" t="s">
        <v>182</v>
      </c>
      <c r="C106" s="8">
        <v>1.0</v>
      </c>
      <c r="I106" s="8">
        <v>1.0</v>
      </c>
      <c r="BI106" s="8">
        <v>1.0</v>
      </c>
      <c r="BJ106" s="8">
        <v>1.0</v>
      </c>
    </row>
    <row r="107" ht="15.0" customHeight="1">
      <c r="A107" s="8" t="s">
        <v>195</v>
      </c>
      <c r="B107" s="8" t="s">
        <v>182</v>
      </c>
      <c r="C107" s="8">
        <v>1.0</v>
      </c>
      <c r="G107" s="8">
        <v>1.0</v>
      </c>
      <c r="I107" s="8">
        <v>1.0</v>
      </c>
      <c r="T107" s="8">
        <v>1.0</v>
      </c>
      <c r="AD107" s="8">
        <v>1.0</v>
      </c>
      <c r="AF107" s="8">
        <v>1.0</v>
      </c>
      <c r="AN107" s="8">
        <v>1.0</v>
      </c>
      <c r="AQ107" s="8">
        <v>1.0</v>
      </c>
      <c r="AS107" s="8">
        <v>1.0</v>
      </c>
      <c r="AX107" s="8">
        <v>1.0</v>
      </c>
      <c r="BI107" s="8">
        <v>1.0</v>
      </c>
      <c r="BJ107" s="8">
        <v>1.0</v>
      </c>
      <c r="BL107" s="8">
        <v>1.0</v>
      </c>
      <c r="BS107" s="8">
        <v>1.0</v>
      </c>
    </row>
    <row r="108" ht="15.0" customHeight="1">
      <c r="A108" s="8" t="s">
        <v>111</v>
      </c>
      <c r="B108" s="8" t="s">
        <v>182</v>
      </c>
      <c r="C108" s="8">
        <v>1.0</v>
      </c>
      <c r="G108" s="8">
        <v>1.0</v>
      </c>
      <c r="AF108" s="8">
        <v>1.0</v>
      </c>
      <c r="AS108" s="8">
        <v>1.0</v>
      </c>
      <c r="BA108" s="8">
        <v>1.0</v>
      </c>
    </row>
    <row r="109" ht="15.0" customHeight="1">
      <c r="A109" s="8" t="s">
        <v>111</v>
      </c>
      <c r="B109" s="8" t="s">
        <v>182</v>
      </c>
      <c r="C109" s="8">
        <v>1.0</v>
      </c>
      <c r="G109" s="8">
        <v>1.0</v>
      </c>
      <c r="AF109" s="8">
        <v>1.0</v>
      </c>
      <c r="AQ109" s="8">
        <v>1.0</v>
      </c>
      <c r="AS109" s="8">
        <v>1.0</v>
      </c>
      <c r="BA109" s="8">
        <v>1.0</v>
      </c>
      <c r="BI109" s="8">
        <v>1.0</v>
      </c>
    </row>
    <row r="110" ht="15.0" customHeight="1">
      <c r="A110" s="8" t="s">
        <v>119</v>
      </c>
      <c r="B110" s="8" t="s">
        <v>182</v>
      </c>
      <c r="C110" s="8">
        <v>1.0</v>
      </c>
      <c r="G110" s="8">
        <v>1.0</v>
      </c>
      <c r="I110" s="8">
        <v>1.0</v>
      </c>
      <c r="J110" s="8">
        <v>1.0</v>
      </c>
      <c r="R110" s="8">
        <v>1.0</v>
      </c>
      <c r="AD110" s="8">
        <v>1.0</v>
      </c>
      <c r="AQ110" s="8">
        <v>1.0</v>
      </c>
      <c r="AX110" s="8">
        <v>1.0</v>
      </c>
      <c r="BI110" s="8">
        <v>1.0</v>
      </c>
      <c r="BL110" s="8">
        <v>1.0</v>
      </c>
    </row>
    <row r="111" ht="15.0" customHeight="1">
      <c r="A111" s="8" t="s">
        <v>119</v>
      </c>
      <c r="B111" s="8" t="s">
        <v>182</v>
      </c>
      <c r="C111" s="8">
        <v>1.0</v>
      </c>
      <c r="AX111" s="8">
        <v>1.0</v>
      </c>
      <c r="BL111" s="8">
        <v>1.0</v>
      </c>
    </row>
    <row r="112" ht="15.0" customHeight="1">
      <c r="A112" s="8" t="s">
        <v>119</v>
      </c>
      <c r="B112" s="8" t="s">
        <v>182</v>
      </c>
      <c r="C112" s="8">
        <v>1.0</v>
      </c>
      <c r="G112" s="8">
        <v>1.0</v>
      </c>
      <c r="I112" s="8">
        <v>1.0</v>
      </c>
      <c r="J112" s="8">
        <v>1.0</v>
      </c>
      <c r="R112" s="8">
        <v>1.0</v>
      </c>
      <c r="AD112" s="8">
        <v>1.0</v>
      </c>
      <c r="AL112" s="8">
        <v>1.0</v>
      </c>
      <c r="AO112" s="8">
        <v>1.0</v>
      </c>
      <c r="AQ112" s="8">
        <v>1.0</v>
      </c>
      <c r="AR112" s="8">
        <v>1.0</v>
      </c>
      <c r="AS112" s="8">
        <v>1.0</v>
      </c>
      <c r="AX112" s="8">
        <v>1.0</v>
      </c>
      <c r="BF112" s="8">
        <v>1.0</v>
      </c>
      <c r="BI112" s="8">
        <v>1.0</v>
      </c>
      <c r="BL112" s="8">
        <v>1.0</v>
      </c>
      <c r="BM112" s="8">
        <v>1.0</v>
      </c>
      <c r="BO112" s="8">
        <v>1.0</v>
      </c>
    </row>
    <row r="113" ht="15.0" customHeight="1">
      <c r="A113" s="8" t="s">
        <v>133</v>
      </c>
      <c r="B113" s="8" t="s">
        <v>182</v>
      </c>
      <c r="C113" s="8">
        <v>1.0</v>
      </c>
      <c r="AD113" s="8">
        <v>1.0</v>
      </c>
      <c r="AF113" s="8">
        <v>1.0</v>
      </c>
      <c r="AS113" s="8">
        <v>1.0</v>
      </c>
      <c r="BI113" s="8">
        <v>1.0</v>
      </c>
    </row>
    <row r="114" ht="15.0" customHeight="1">
      <c r="A114" s="8" t="s">
        <v>133</v>
      </c>
      <c r="B114" s="8" t="s">
        <v>182</v>
      </c>
      <c r="C114" s="8">
        <v>1.0</v>
      </c>
      <c r="BI114" s="8">
        <v>1.0</v>
      </c>
    </row>
    <row r="115" ht="15.0" customHeight="1">
      <c r="A115" s="8" t="s">
        <v>133</v>
      </c>
      <c r="B115" s="8" t="s">
        <v>182</v>
      </c>
      <c r="C115" s="8">
        <v>1.0</v>
      </c>
      <c r="BI115" s="8">
        <v>1.0</v>
      </c>
    </row>
    <row r="116" ht="15.0" customHeight="1">
      <c r="A116" s="8" t="s">
        <v>87</v>
      </c>
      <c r="B116" s="8" t="s">
        <v>182</v>
      </c>
      <c r="AQ116" s="8">
        <v>1.0</v>
      </c>
      <c r="BI116" s="8">
        <v>1.0</v>
      </c>
    </row>
    <row r="117" ht="15.0" customHeight="1">
      <c r="A117" s="8" t="s">
        <v>87</v>
      </c>
      <c r="B117" s="8" t="s">
        <v>182</v>
      </c>
      <c r="C117" s="8">
        <v>1.0</v>
      </c>
      <c r="AQ117" s="8">
        <v>1.0</v>
      </c>
      <c r="AS117" s="8">
        <v>1.0</v>
      </c>
      <c r="BI117" s="8">
        <v>1.0</v>
      </c>
      <c r="BP117" s="8">
        <v>1.0</v>
      </c>
    </row>
    <row r="118" ht="15.0" customHeight="1">
      <c r="A118" s="8" t="s">
        <v>87</v>
      </c>
      <c r="B118" s="8" t="s">
        <v>182</v>
      </c>
      <c r="C118" s="8">
        <v>1.0</v>
      </c>
      <c r="AS118" s="8">
        <v>1.0</v>
      </c>
      <c r="BI118" s="8">
        <v>1.0</v>
      </c>
    </row>
    <row r="119" ht="15.0" customHeight="1">
      <c r="A119" s="8" t="s">
        <v>87</v>
      </c>
      <c r="B119" s="8" t="s">
        <v>182</v>
      </c>
      <c r="C119" s="8">
        <v>1.0</v>
      </c>
      <c r="G119" s="8">
        <v>1.0</v>
      </c>
      <c r="I119" s="8">
        <v>1.0</v>
      </c>
      <c r="J119" s="8">
        <v>1.0</v>
      </c>
      <c r="U119" s="8">
        <v>1.0</v>
      </c>
      <c r="AM119" s="8">
        <v>1.0</v>
      </c>
      <c r="AQ119" s="8">
        <v>1.0</v>
      </c>
      <c r="BC119" s="8">
        <v>1.0</v>
      </c>
      <c r="BG119" s="8">
        <v>1.0</v>
      </c>
      <c r="BJ119" s="8">
        <v>1.0</v>
      </c>
      <c r="BP119" s="8">
        <v>1.0</v>
      </c>
      <c r="BT119" s="8">
        <v>1.0</v>
      </c>
    </row>
    <row r="120" ht="15.0" customHeight="1">
      <c r="A120" s="8" t="s">
        <v>87</v>
      </c>
      <c r="B120" s="8" t="s">
        <v>182</v>
      </c>
      <c r="C120" s="8">
        <v>1.0</v>
      </c>
      <c r="G120" s="8">
        <v>1.0</v>
      </c>
      <c r="AF120" s="8">
        <v>1.0</v>
      </c>
      <c r="AQ120" s="8">
        <v>1.0</v>
      </c>
      <c r="AS120" s="8">
        <v>1.0</v>
      </c>
      <c r="BI120" s="8">
        <v>1.0</v>
      </c>
      <c r="BL120" s="8">
        <v>1.0</v>
      </c>
      <c r="BS120" s="8">
        <v>1.0</v>
      </c>
    </row>
    <row r="121" ht="15.0" customHeight="1">
      <c r="A121" s="8" t="s">
        <v>196</v>
      </c>
      <c r="B121" s="8" t="s">
        <v>182</v>
      </c>
      <c r="C121" s="8">
        <v>1.0</v>
      </c>
      <c r="J121" s="8">
        <v>1.0</v>
      </c>
      <c r="AD121" s="8">
        <v>1.0</v>
      </c>
      <c r="AN121" s="8">
        <v>1.0</v>
      </c>
      <c r="AX121" s="8">
        <v>1.0</v>
      </c>
    </row>
    <row r="122" ht="15.0" customHeight="1">
      <c r="A122" s="8" t="s">
        <v>196</v>
      </c>
      <c r="B122" s="8" t="s">
        <v>182</v>
      </c>
      <c r="C122" s="8">
        <v>1.0</v>
      </c>
      <c r="I122" s="8">
        <v>1.0</v>
      </c>
      <c r="J122" s="8">
        <v>1.0</v>
      </c>
      <c r="AD122" s="8">
        <v>1.0</v>
      </c>
      <c r="AN122" s="8">
        <v>1.0</v>
      </c>
      <c r="AS122" s="8">
        <v>1.0</v>
      </c>
      <c r="AX122" s="8">
        <v>1.0</v>
      </c>
      <c r="BS122" s="8">
        <v>1.0</v>
      </c>
    </row>
    <row r="123" ht="15.0" customHeight="1">
      <c r="A123" s="8" t="s">
        <v>196</v>
      </c>
      <c r="B123" s="8" t="s">
        <v>182</v>
      </c>
      <c r="C123" s="8">
        <v>1.0</v>
      </c>
      <c r="I123" s="8">
        <v>1.0</v>
      </c>
      <c r="J123" s="8">
        <v>1.0</v>
      </c>
      <c r="AN123" s="8">
        <v>1.0</v>
      </c>
      <c r="AX123" s="8">
        <v>1.0</v>
      </c>
    </row>
    <row r="124" ht="15.0" customHeight="1">
      <c r="A124" s="8" t="s">
        <v>196</v>
      </c>
      <c r="B124" s="8" t="s">
        <v>182</v>
      </c>
      <c r="C124" s="8">
        <v>1.0</v>
      </c>
      <c r="J124" s="8">
        <v>1.0</v>
      </c>
      <c r="AN124" s="8">
        <v>1.0</v>
      </c>
      <c r="AX124" s="8">
        <v>1.0</v>
      </c>
    </row>
    <row r="125" ht="15.0" customHeight="1">
      <c r="A125" s="8" t="s">
        <v>197</v>
      </c>
      <c r="B125" s="8" t="s">
        <v>182</v>
      </c>
      <c r="C125" s="8">
        <v>1.0</v>
      </c>
      <c r="G125" s="8">
        <v>1.0</v>
      </c>
      <c r="I125" s="8">
        <v>1.0</v>
      </c>
      <c r="J125" s="8">
        <v>1.0</v>
      </c>
      <c r="R125" s="8">
        <v>1.0</v>
      </c>
      <c r="AD125" s="8">
        <v>1.0</v>
      </c>
      <c r="AL125" s="8">
        <v>1.0</v>
      </c>
      <c r="AN125" s="8">
        <v>1.0</v>
      </c>
      <c r="AO125" s="8">
        <v>1.0</v>
      </c>
      <c r="AQ125" s="8">
        <v>1.0</v>
      </c>
      <c r="AR125" s="8">
        <v>1.0</v>
      </c>
      <c r="AS125" s="8">
        <v>1.0</v>
      </c>
      <c r="AX125" s="8">
        <v>1.0</v>
      </c>
      <c r="BF125" s="8">
        <v>1.0</v>
      </c>
      <c r="BI125" s="8">
        <v>1.0</v>
      </c>
      <c r="BL125" s="8">
        <v>1.0</v>
      </c>
      <c r="BM125" s="8">
        <v>1.0</v>
      </c>
      <c r="BO125" s="8">
        <v>1.0</v>
      </c>
    </row>
    <row r="126" ht="15.0" customHeight="1">
      <c r="A126" s="8" t="s">
        <v>197</v>
      </c>
      <c r="B126" s="8" t="s">
        <v>182</v>
      </c>
      <c r="C126" s="8">
        <v>1.0</v>
      </c>
      <c r="G126" s="8">
        <v>1.0</v>
      </c>
      <c r="I126" s="8">
        <v>1.0</v>
      </c>
      <c r="J126" s="8">
        <v>1.0</v>
      </c>
      <c r="R126" s="8">
        <v>1.0</v>
      </c>
      <c r="AD126" s="8">
        <v>1.0</v>
      </c>
      <c r="AL126" s="8">
        <v>1.0</v>
      </c>
      <c r="AN126" s="8">
        <v>1.0</v>
      </c>
      <c r="AO126" s="8">
        <v>1.0</v>
      </c>
      <c r="AQ126" s="8">
        <v>1.0</v>
      </c>
      <c r="AR126" s="8">
        <v>1.0</v>
      </c>
      <c r="AS126" s="8">
        <v>1.0</v>
      </c>
      <c r="AX126" s="8">
        <v>1.0</v>
      </c>
      <c r="BF126" s="8">
        <v>1.0</v>
      </c>
      <c r="BI126" s="8">
        <v>1.0</v>
      </c>
      <c r="BL126" s="8">
        <v>1.0</v>
      </c>
      <c r="BM126" s="8">
        <v>1.0</v>
      </c>
      <c r="BO126" s="8">
        <v>1.0</v>
      </c>
    </row>
    <row r="127" ht="15.0" customHeight="1">
      <c r="A127" s="8" t="s">
        <v>127</v>
      </c>
      <c r="B127" s="8" t="s">
        <v>182</v>
      </c>
      <c r="C127" s="8">
        <v>1.0</v>
      </c>
      <c r="G127" s="8">
        <v>1.0</v>
      </c>
      <c r="R127" s="8">
        <v>1.0</v>
      </c>
      <c r="Z127" s="8">
        <v>1.0</v>
      </c>
      <c r="AE127" s="8">
        <v>1.0</v>
      </c>
      <c r="AN127" s="8">
        <v>1.0</v>
      </c>
      <c r="AS127" s="8">
        <v>1.0</v>
      </c>
      <c r="BI127" s="8">
        <v>1.0</v>
      </c>
      <c r="BL127" s="8">
        <v>1.0</v>
      </c>
      <c r="BM127" s="8">
        <v>1.0</v>
      </c>
      <c r="BS127" s="8">
        <v>1.0</v>
      </c>
      <c r="BT127" s="8">
        <v>1.0</v>
      </c>
    </row>
    <row r="128" ht="15.0" customHeight="1">
      <c r="A128" s="8" t="s">
        <v>127</v>
      </c>
      <c r="B128" s="8" t="s">
        <v>182</v>
      </c>
      <c r="C128" s="8">
        <v>1.0</v>
      </c>
      <c r="G128" s="8">
        <v>1.0</v>
      </c>
      <c r="O128" s="8">
        <v>1.0</v>
      </c>
      <c r="R128" s="8">
        <v>1.0</v>
      </c>
      <c r="Z128" s="8">
        <v>1.0</v>
      </c>
      <c r="AD128" s="8">
        <v>1.0</v>
      </c>
      <c r="AF128" s="8">
        <v>1.0</v>
      </c>
      <c r="AM128" s="8">
        <v>1.0</v>
      </c>
      <c r="AN128" s="8">
        <v>1.0</v>
      </c>
      <c r="AS128" s="8">
        <v>1.0</v>
      </c>
      <c r="AX128" s="8">
        <v>1.0</v>
      </c>
      <c r="AZ128" s="8">
        <v>1.0</v>
      </c>
      <c r="BA128" s="8">
        <v>1.0</v>
      </c>
      <c r="BD128" s="8">
        <v>1.0</v>
      </c>
      <c r="BI128" s="8">
        <v>1.0</v>
      </c>
      <c r="BL128" s="8">
        <v>1.0</v>
      </c>
      <c r="BM128" s="8">
        <v>1.0</v>
      </c>
      <c r="BR128" s="8">
        <v>1.0</v>
      </c>
      <c r="BS128" s="8">
        <v>1.0</v>
      </c>
      <c r="BT128" s="8">
        <v>1.0</v>
      </c>
    </row>
    <row r="129" ht="15.0" customHeight="1">
      <c r="A129" s="8" t="s">
        <v>198</v>
      </c>
      <c r="B129" s="8" t="s">
        <v>182</v>
      </c>
      <c r="C129" s="8">
        <v>1.0</v>
      </c>
      <c r="F129" s="8">
        <v>1.0</v>
      </c>
      <c r="I129" s="8">
        <v>1.0</v>
      </c>
      <c r="AF129" s="8">
        <v>1.0</v>
      </c>
      <c r="AS129" s="8">
        <v>1.0</v>
      </c>
      <c r="BI129" s="8">
        <v>1.0</v>
      </c>
      <c r="BL129" s="8">
        <v>1.0</v>
      </c>
      <c r="BS129" s="8">
        <v>1.0</v>
      </c>
    </row>
    <row r="130" ht="15.0" customHeight="1">
      <c r="A130" s="8" t="s">
        <v>198</v>
      </c>
      <c r="B130" s="8" t="s">
        <v>182</v>
      </c>
      <c r="C130" s="8">
        <v>1.0</v>
      </c>
      <c r="F130" s="8">
        <v>1.0</v>
      </c>
      <c r="G130" s="8">
        <v>1.0</v>
      </c>
      <c r="I130" s="8">
        <v>1.0</v>
      </c>
      <c r="J130" s="8">
        <v>1.0</v>
      </c>
      <c r="O130" s="8">
        <v>1.0</v>
      </c>
      <c r="AQ130" s="8">
        <v>1.0</v>
      </c>
      <c r="AS130" s="8">
        <v>1.0</v>
      </c>
      <c r="BI130" s="8">
        <v>1.0</v>
      </c>
      <c r="BL130" s="8">
        <v>1.0</v>
      </c>
      <c r="BS130" s="8">
        <v>1.0</v>
      </c>
    </row>
    <row r="131" ht="15.0" customHeight="1">
      <c r="A131" s="8" t="s">
        <v>128</v>
      </c>
      <c r="B131" s="8" t="s">
        <v>182</v>
      </c>
      <c r="C131" s="8">
        <v>1.0</v>
      </c>
      <c r="Z131" s="8">
        <v>1.0</v>
      </c>
      <c r="AF131" s="8">
        <v>1.0</v>
      </c>
      <c r="BI131" s="8">
        <v>1.0</v>
      </c>
    </row>
    <row r="132" ht="15.0" customHeight="1">
      <c r="A132" s="8" t="s">
        <v>128</v>
      </c>
      <c r="B132" s="8" t="s">
        <v>182</v>
      </c>
      <c r="BI132" s="8">
        <v>1.0</v>
      </c>
    </row>
    <row r="133" ht="15.0" customHeight="1">
      <c r="A133" s="8" t="s">
        <v>128</v>
      </c>
      <c r="B133" s="8" t="s">
        <v>182</v>
      </c>
      <c r="AS133" s="8">
        <v>1.0</v>
      </c>
      <c r="BI133" s="8">
        <v>1.0</v>
      </c>
    </row>
    <row r="134" ht="15.0" customHeight="1">
      <c r="A134" s="8" t="s">
        <v>128</v>
      </c>
      <c r="B134" s="8" t="s">
        <v>182</v>
      </c>
      <c r="AN134" s="8">
        <v>1.0</v>
      </c>
      <c r="AS134" s="8">
        <v>1.0</v>
      </c>
      <c r="BI134" s="8">
        <v>1.0</v>
      </c>
      <c r="BL134" s="8">
        <v>1.0</v>
      </c>
      <c r="BT134" s="8">
        <v>1.0</v>
      </c>
    </row>
    <row r="135" ht="15.0" customHeight="1">
      <c r="A135" s="8" t="s">
        <v>128</v>
      </c>
      <c r="B135" s="8" t="s">
        <v>182</v>
      </c>
      <c r="Z135" s="8">
        <v>1.0</v>
      </c>
      <c r="AF135" s="8">
        <v>1.0</v>
      </c>
      <c r="AN135" s="8">
        <v>1.0</v>
      </c>
      <c r="AO135" s="8">
        <v>1.0</v>
      </c>
      <c r="AS135" s="8">
        <v>1.0</v>
      </c>
      <c r="AX135" s="8">
        <v>1.0</v>
      </c>
      <c r="BI135" s="8">
        <v>1.0</v>
      </c>
      <c r="BL135" s="8">
        <v>1.0</v>
      </c>
      <c r="BS135" s="8">
        <v>1.0</v>
      </c>
      <c r="BT135" s="8">
        <v>1.0</v>
      </c>
    </row>
    <row r="136" ht="15.0" customHeight="1">
      <c r="A136" s="8" t="s">
        <v>104</v>
      </c>
      <c r="B136" s="8" t="s">
        <v>182</v>
      </c>
      <c r="C136" s="8">
        <v>1.0</v>
      </c>
      <c r="AX136" s="8">
        <v>1.0</v>
      </c>
      <c r="BI136" s="8">
        <v>1.0</v>
      </c>
    </row>
    <row r="137" ht="15.0" customHeight="1">
      <c r="A137" s="8" t="s">
        <v>104</v>
      </c>
      <c r="B137" s="8" t="s">
        <v>182</v>
      </c>
      <c r="C137" s="8">
        <v>1.0</v>
      </c>
      <c r="I137" s="8">
        <v>1.0</v>
      </c>
      <c r="AD137" s="8">
        <v>1.0</v>
      </c>
      <c r="AN137" s="8">
        <v>1.0</v>
      </c>
      <c r="AS137" s="8">
        <v>1.0</v>
      </c>
      <c r="BI137" s="8">
        <v>1.0</v>
      </c>
      <c r="BP137" s="8">
        <v>1.0</v>
      </c>
    </row>
    <row r="138" ht="15.0" customHeight="1">
      <c r="A138" s="8" t="s">
        <v>104</v>
      </c>
      <c r="B138" s="8" t="s">
        <v>182</v>
      </c>
      <c r="C138" s="8">
        <v>1.0</v>
      </c>
      <c r="I138" s="8">
        <v>1.0</v>
      </c>
      <c r="AD138" s="8">
        <v>1.0</v>
      </c>
      <c r="AN138" s="8">
        <v>1.0</v>
      </c>
      <c r="AS138" s="8">
        <v>1.0</v>
      </c>
      <c r="BI138" s="8">
        <v>1.0</v>
      </c>
    </row>
    <row r="139" ht="15.0" customHeight="1">
      <c r="A139" s="8" t="s">
        <v>76</v>
      </c>
      <c r="B139" s="8" t="s">
        <v>182</v>
      </c>
      <c r="C139" s="8">
        <v>1.0</v>
      </c>
      <c r="I139" s="8">
        <v>1.0</v>
      </c>
      <c r="AN139" s="8">
        <v>1.0</v>
      </c>
      <c r="AQ139" s="8">
        <v>1.0</v>
      </c>
      <c r="AW139" s="8">
        <v>1.0</v>
      </c>
      <c r="BG139" s="8">
        <v>1.0</v>
      </c>
      <c r="BI139" s="8">
        <v>1.0</v>
      </c>
      <c r="BL139" s="8">
        <v>1.0</v>
      </c>
      <c r="BT139" s="8">
        <v>1.0</v>
      </c>
    </row>
    <row r="140" ht="15.0" customHeight="1">
      <c r="A140" s="8" t="s">
        <v>76</v>
      </c>
      <c r="B140" s="8" t="s">
        <v>182</v>
      </c>
      <c r="C140" s="8">
        <v>1.0</v>
      </c>
      <c r="G140" s="8">
        <v>1.0</v>
      </c>
      <c r="I140" s="8">
        <v>1.0</v>
      </c>
      <c r="AD140" s="8">
        <v>1.0</v>
      </c>
      <c r="AF140" s="8">
        <v>1.0</v>
      </c>
      <c r="AN140" s="8">
        <v>1.0</v>
      </c>
      <c r="AQ140" s="8">
        <v>1.0</v>
      </c>
      <c r="AS140" s="8">
        <v>1.0</v>
      </c>
      <c r="AX140" s="8">
        <v>1.0</v>
      </c>
      <c r="BG140" s="8">
        <v>1.0</v>
      </c>
      <c r="BI140" s="8">
        <v>1.0</v>
      </c>
      <c r="BL140" s="8">
        <v>1.0</v>
      </c>
      <c r="BM140" s="8">
        <v>1.0</v>
      </c>
      <c r="BT140" s="8">
        <v>1.0</v>
      </c>
    </row>
    <row r="141" ht="15.0" customHeight="1">
      <c r="A141" s="8" t="s">
        <v>76</v>
      </c>
      <c r="B141" s="8" t="s">
        <v>182</v>
      </c>
      <c r="C141" s="8">
        <v>1.0</v>
      </c>
      <c r="G141" s="8">
        <v>1.0</v>
      </c>
      <c r="I141" s="8">
        <v>1.0</v>
      </c>
      <c r="AD141" s="8">
        <v>1.0</v>
      </c>
      <c r="AF141" s="8">
        <v>1.0</v>
      </c>
      <c r="AN141" s="8">
        <v>1.0</v>
      </c>
      <c r="AQ141" s="8">
        <v>1.0</v>
      </c>
      <c r="AS141" s="8">
        <v>1.0</v>
      </c>
      <c r="AX141" s="8">
        <v>1.0</v>
      </c>
      <c r="BG141" s="8">
        <v>1.0</v>
      </c>
      <c r="BI141" s="8">
        <v>1.0</v>
      </c>
      <c r="BL141" s="8">
        <v>1.0</v>
      </c>
      <c r="BM141" s="8">
        <v>1.0</v>
      </c>
      <c r="BT141" s="8">
        <v>1.0</v>
      </c>
    </row>
    <row r="142" ht="15.0" customHeight="1">
      <c r="A142" s="8" t="s">
        <v>199</v>
      </c>
      <c r="B142" s="8" t="s">
        <v>182</v>
      </c>
      <c r="C142" s="8">
        <v>1.0</v>
      </c>
      <c r="M142" s="8">
        <v>1.0</v>
      </c>
      <c r="AS142" s="8">
        <v>1.0</v>
      </c>
      <c r="BI142" s="8">
        <v>1.0</v>
      </c>
      <c r="BL142" s="8">
        <v>1.0</v>
      </c>
    </row>
    <row r="143" ht="15.0" customHeight="1">
      <c r="A143" s="8" t="s">
        <v>199</v>
      </c>
      <c r="B143" s="8" t="s">
        <v>182</v>
      </c>
      <c r="C143" s="8">
        <v>1.0</v>
      </c>
      <c r="I143" s="8">
        <v>1.0</v>
      </c>
      <c r="Q143" s="8">
        <v>1.0</v>
      </c>
      <c r="AQ143" s="8">
        <v>1.0</v>
      </c>
      <c r="AS143" s="8">
        <v>1.0</v>
      </c>
      <c r="BI143" s="8">
        <v>1.0</v>
      </c>
      <c r="BL143" s="8">
        <v>1.0</v>
      </c>
      <c r="BT143" s="8">
        <v>1.0</v>
      </c>
    </row>
    <row r="144" ht="15.0" customHeight="1">
      <c r="A144" s="8" t="s">
        <v>200</v>
      </c>
      <c r="B144" s="8" t="s">
        <v>182</v>
      </c>
      <c r="C144" s="8">
        <v>1.0</v>
      </c>
      <c r="O144" s="8">
        <v>1.0</v>
      </c>
      <c r="Z144" s="8">
        <v>1.0</v>
      </c>
      <c r="AN144" s="8">
        <v>1.0</v>
      </c>
      <c r="AO144" s="8">
        <v>1.0</v>
      </c>
      <c r="BI144" s="8">
        <v>1.0</v>
      </c>
      <c r="BT144" s="8">
        <v>1.0</v>
      </c>
    </row>
    <row r="145" ht="15.0" customHeight="1">
      <c r="A145" s="8" t="s">
        <v>200</v>
      </c>
      <c r="B145" s="8" t="s">
        <v>182</v>
      </c>
      <c r="C145" s="8">
        <v>1.0</v>
      </c>
      <c r="Z145" s="8">
        <v>1.0</v>
      </c>
      <c r="AN145" s="8">
        <v>1.0</v>
      </c>
      <c r="AO145" s="8">
        <v>1.0</v>
      </c>
      <c r="BI145" s="8">
        <v>1.0</v>
      </c>
      <c r="BT145" s="8">
        <v>1.0</v>
      </c>
    </row>
    <row r="146" ht="15.0" customHeight="1">
      <c r="A146" s="8" t="s">
        <v>137</v>
      </c>
      <c r="B146" s="8" t="s">
        <v>182</v>
      </c>
      <c r="C146" s="8">
        <v>1.0</v>
      </c>
      <c r="G146" s="8">
        <v>1.0</v>
      </c>
      <c r="J146" s="8">
        <v>1.0</v>
      </c>
      <c r="AN146" s="8">
        <v>1.0</v>
      </c>
      <c r="BM146" s="8">
        <v>1.0</v>
      </c>
      <c r="BS146" s="8">
        <v>1.0</v>
      </c>
      <c r="BT146" s="8">
        <v>1.0</v>
      </c>
    </row>
    <row r="147" ht="15.0" customHeight="1">
      <c r="A147" s="8" t="s">
        <v>137</v>
      </c>
      <c r="B147" s="8" t="s">
        <v>182</v>
      </c>
      <c r="C147" s="8">
        <v>1.0</v>
      </c>
      <c r="F147" s="8">
        <v>1.0</v>
      </c>
      <c r="G147" s="8">
        <v>1.0</v>
      </c>
      <c r="AN147" s="8">
        <v>1.0</v>
      </c>
      <c r="BS147" s="8">
        <v>1.0</v>
      </c>
      <c r="BT147" s="8">
        <v>1.0</v>
      </c>
    </row>
    <row r="148" ht="15.0" customHeight="1">
      <c r="A148" s="8" t="s">
        <v>137</v>
      </c>
      <c r="B148" s="8" t="s">
        <v>182</v>
      </c>
      <c r="C148" s="8">
        <v>1.0</v>
      </c>
      <c r="G148" s="8">
        <v>1.0</v>
      </c>
      <c r="AD148" s="8">
        <v>1.0</v>
      </c>
      <c r="AN148" s="8">
        <v>1.0</v>
      </c>
      <c r="BS148" s="8">
        <v>1.0</v>
      </c>
    </row>
    <row r="149" ht="15.0" customHeight="1">
      <c r="A149" s="8" t="s">
        <v>201</v>
      </c>
      <c r="B149" s="8" t="s">
        <v>182</v>
      </c>
      <c r="AS149" s="8">
        <v>1.0</v>
      </c>
      <c r="BI149" s="8">
        <v>1.0</v>
      </c>
    </row>
    <row r="150" ht="15.0" customHeight="1">
      <c r="A150" s="8" t="s">
        <v>77</v>
      </c>
      <c r="B150" s="8" t="s">
        <v>182</v>
      </c>
      <c r="C150" s="8">
        <v>1.0</v>
      </c>
      <c r="G150" s="8">
        <v>1.0</v>
      </c>
      <c r="I150" s="8">
        <v>1.0</v>
      </c>
      <c r="AQ150" s="8">
        <v>1.0</v>
      </c>
      <c r="BC150" s="8">
        <v>1.0</v>
      </c>
      <c r="BI150" s="8">
        <v>1.0</v>
      </c>
      <c r="BT150" s="8">
        <v>1.0</v>
      </c>
    </row>
    <row r="151" ht="15.0" customHeight="1">
      <c r="A151" s="8" t="s">
        <v>83</v>
      </c>
      <c r="B151" s="8" t="s">
        <v>182</v>
      </c>
      <c r="C151" s="8">
        <v>1.0</v>
      </c>
      <c r="G151" s="8">
        <v>1.0</v>
      </c>
      <c r="AF151" s="8">
        <v>1.0</v>
      </c>
      <c r="AS151" s="8">
        <v>1.0</v>
      </c>
      <c r="BL151" s="8">
        <v>1.0</v>
      </c>
    </row>
    <row r="152" ht="15.0" customHeight="1">
      <c r="A152" s="8" t="s">
        <v>83</v>
      </c>
      <c r="B152" s="8" t="s">
        <v>182</v>
      </c>
      <c r="C152" s="8">
        <v>1.0</v>
      </c>
      <c r="AF152" s="8">
        <v>1.0</v>
      </c>
      <c r="AS152" s="8">
        <v>1.0</v>
      </c>
      <c r="BL152" s="8">
        <v>1.0</v>
      </c>
    </row>
    <row r="153" ht="15.0" customHeight="1">
      <c r="A153" s="8" t="s">
        <v>83</v>
      </c>
      <c r="B153" s="8" t="s">
        <v>182</v>
      </c>
      <c r="C153" s="8">
        <v>1.0</v>
      </c>
      <c r="AS153" s="8">
        <v>1.0</v>
      </c>
      <c r="BF153" s="8">
        <v>1.0</v>
      </c>
      <c r="BG153" s="8">
        <v>1.0</v>
      </c>
      <c r="BI153" s="8">
        <v>1.0</v>
      </c>
      <c r="BO153" s="8">
        <v>1.0</v>
      </c>
    </row>
    <row r="154" ht="15.0" customHeight="1">
      <c r="A154" s="8" t="s">
        <v>202</v>
      </c>
      <c r="B154" s="8" t="s">
        <v>182</v>
      </c>
      <c r="C154" s="8">
        <v>1.0</v>
      </c>
      <c r="M154" s="8">
        <v>1.0</v>
      </c>
      <c r="AN154" s="8">
        <v>1.0</v>
      </c>
      <c r="AS154" s="8">
        <v>1.0</v>
      </c>
      <c r="AT154" s="8">
        <v>1.0</v>
      </c>
      <c r="AX154" s="8">
        <v>1.0</v>
      </c>
      <c r="BI154" s="8">
        <v>1.0</v>
      </c>
      <c r="BL154" s="8">
        <v>1.0</v>
      </c>
      <c r="BO154" s="8">
        <v>1.0</v>
      </c>
      <c r="BT154" s="8">
        <v>1.0</v>
      </c>
    </row>
    <row r="155" ht="15.0" customHeight="1">
      <c r="A155" s="8" t="s">
        <v>202</v>
      </c>
      <c r="B155" s="8" t="s">
        <v>182</v>
      </c>
      <c r="C155" s="8">
        <v>1.0</v>
      </c>
      <c r="M155" s="8">
        <v>1.0</v>
      </c>
      <c r="AN155" s="8">
        <v>1.0</v>
      </c>
      <c r="AS155" s="8">
        <v>1.0</v>
      </c>
      <c r="AT155" s="8">
        <v>1.0</v>
      </c>
      <c r="AX155" s="8">
        <v>1.0</v>
      </c>
      <c r="BI155" s="8">
        <v>1.0</v>
      </c>
      <c r="BL155" s="8">
        <v>1.0</v>
      </c>
      <c r="BO155" s="8">
        <v>1.0</v>
      </c>
      <c r="BT155" s="8">
        <v>1.0</v>
      </c>
    </row>
    <row r="156" ht="15.0" customHeight="1">
      <c r="A156" s="8" t="s">
        <v>202</v>
      </c>
      <c r="B156" s="8" t="s">
        <v>182</v>
      </c>
      <c r="C156" s="8">
        <v>1.0</v>
      </c>
      <c r="M156" s="8">
        <v>1.0</v>
      </c>
      <c r="AN156" s="8">
        <v>1.0</v>
      </c>
      <c r="AQ156" s="8">
        <v>1.0</v>
      </c>
      <c r="AS156" s="8">
        <v>1.0</v>
      </c>
      <c r="AT156" s="8">
        <v>1.0</v>
      </c>
      <c r="AX156" s="8">
        <v>1.0</v>
      </c>
      <c r="BI156" s="8">
        <v>1.0</v>
      </c>
      <c r="BL156" s="8">
        <v>1.0</v>
      </c>
      <c r="BO156" s="8">
        <v>1.0</v>
      </c>
      <c r="BT156" s="8">
        <v>1.0</v>
      </c>
    </row>
    <row r="157" ht="15.0" customHeight="1">
      <c r="A157" s="8" t="s">
        <v>107</v>
      </c>
      <c r="B157" s="8" t="s">
        <v>182</v>
      </c>
      <c r="C157" s="8">
        <v>1.0</v>
      </c>
      <c r="G157" s="8">
        <v>1.0</v>
      </c>
      <c r="I157" s="8">
        <v>1.0</v>
      </c>
      <c r="J157" s="8">
        <v>1.0</v>
      </c>
      <c r="R157" s="8">
        <v>1.0</v>
      </c>
      <c r="AS157" s="8">
        <v>1.0</v>
      </c>
      <c r="AY157" s="8">
        <v>1.0</v>
      </c>
      <c r="BD157" s="8">
        <v>1.0</v>
      </c>
      <c r="BI157" s="8">
        <v>1.0</v>
      </c>
      <c r="BL157" s="8">
        <v>1.0</v>
      </c>
    </row>
    <row r="158" ht="15.0" customHeight="1">
      <c r="A158" s="8" t="s">
        <v>203</v>
      </c>
      <c r="B158" s="8" t="s">
        <v>182</v>
      </c>
      <c r="C158" s="8">
        <v>1.0</v>
      </c>
      <c r="G158" s="8">
        <v>1.0</v>
      </c>
      <c r="I158" s="8">
        <v>1.0</v>
      </c>
      <c r="J158" s="8">
        <v>1.0</v>
      </c>
      <c r="AN158" s="8">
        <v>1.0</v>
      </c>
      <c r="AQ158" s="8">
        <v>1.0</v>
      </c>
      <c r="AS158" s="8">
        <v>1.0</v>
      </c>
    </row>
    <row r="159" ht="15.0" customHeight="1">
      <c r="A159" s="8" t="s">
        <v>203</v>
      </c>
      <c r="B159" s="8" t="s">
        <v>182</v>
      </c>
      <c r="C159" s="8">
        <v>1.0</v>
      </c>
      <c r="G159" s="8">
        <v>1.0</v>
      </c>
      <c r="I159" s="8">
        <v>1.0</v>
      </c>
      <c r="J159" s="8">
        <v>1.0</v>
      </c>
      <c r="K159" s="8">
        <v>1.0</v>
      </c>
      <c r="R159" s="8">
        <v>1.0</v>
      </c>
      <c r="AN159" s="8">
        <v>1.0</v>
      </c>
      <c r="AQ159" s="8">
        <v>1.0</v>
      </c>
      <c r="AS159" s="8">
        <v>1.0</v>
      </c>
      <c r="BI159" s="8">
        <v>1.0</v>
      </c>
      <c r="BL159" s="8">
        <v>1.0</v>
      </c>
      <c r="BS159" s="8">
        <v>1.0</v>
      </c>
    </row>
    <row r="160" ht="15.0" customHeight="1">
      <c r="A160" s="8" t="s">
        <v>203</v>
      </c>
      <c r="B160" s="8" t="s">
        <v>182</v>
      </c>
      <c r="C160" s="8">
        <v>1.0</v>
      </c>
      <c r="G160" s="8">
        <v>1.0</v>
      </c>
      <c r="I160" s="8">
        <v>1.0</v>
      </c>
      <c r="J160" s="8">
        <v>1.0</v>
      </c>
      <c r="K160" s="8">
        <v>1.0</v>
      </c>
      <c r="R160" s="8">
        <v>1.0</v>
      </c>
      <c r="AN160" s="8">
        <v>1.0</v>
      </c>
      <c r="AQ160" s="8">
        <v>1.0</v>
      </c>
      <c r="AS160" s="8">
        <v>1.0</v>
      </c>
      <c r="BI160" s="8">
        <v>1.0</v>
      </c>
      <c r="BL160" s="8">
        <v>1.0</v>
      </c>
      <c r="BS160" s="8">
        <v>1.0</v>
      </c>
    </row>
    <row r="161" ht="15.0" customHeight="1">
      <c r="A161" s="8" t="s">
        <v>204</v>
      </c>
      <c r="B161" s="8" t="s">
        <v>182</v>
      </c>
      <c r="C161" s="8">
        <v>1.0</v>
      </c>
      <c r="G161" s="8">
        <v>1.0</v>
      </c>
      <c r="AD161" s="8">
        <v>1.0</v>
      </c>
      <c r="AN161" s="8">
        <v>1.0</v>
      </c>
      <c r="AX161" s="8">
        <v>1.0</v>
      </c>
      <c r="BL161" s="8">
        <v>1.0</v>
      </c>
    </row>
    <row r="162" ht="15.0" customHeight="1">
      <c r="A162" s="8" t="s">
        <v>78</v>
      </c>
      <c r="B162" s="8" t="s">
        <v>182</v>
      </c>
      <c r="C162" s="8">
        <v>1.0</v>
      </c>
      <c r="G162" s="8">
        <v>1.0</v>
      </c>
      <c r="I162" s="8">
        <v>1.0</v>
      </c>
      <c r="AD162" s="8">
        <v>1.0</v>
      </c>
      <c r="AQ162" s="8">
        <v>1.0</v>
      </c>
      <c r="AS162" s="8">
        <v>1.0</v>
      </c>
      <c r="AX162" s="8">
        <v>1.0</v>
      </c>
      <c r="BI162" s="8">
        <v>1.0</v>
      </c>
      <c r="BL162" s="8">
        <v>1.0</v>
      </c>
      <c r="BT162" s="8">
        <v>1.0</v>
      </c>
    </row>
    <row r="163" ht="15.0" customHeight="1">
      <c r="A163" s="8" t="s">
        <v>96</v>
      </c>
      <c r="B163" s="8" t="s">
        <v>182</v>
      </c>
      <c r="C163" s="8">
        <v>1.0</v>
      </c>
      <c r="I163" s="8">
        <v>1.0</v>
      </c>
      <c r="J163" s="8">
        <v>1.0</v>
      </c>
    </row>
    <row r="164" ht="15.0" customHeight="1">
      <c r="A164" s="8" t="s">
        <v>96</v>
      </c>
      <c r="B164" s="8" t="s">
        <v>182</v>
      </c>
      <c r="C164" s="8">
        <v>1.0</v>
      </c>
      <c r="I164" s="8">
        <v>1.0</v>
      </c>
    </row>
    <row r="165" ht="15.0" customHeight="1">
      <c r="A165" s="8" t="s">
        <v>96</v>
      </c>
      <c r="B165" s="8" t="s">
        <v>182</v>
      </c>
      <c r="C165" s="8">
        <v>1.0</v>
      </c>
      <c r="I165" s="8">
        <v>1.0</v>
      </c>
      <c r="J165" s="8">
        <v>1.0</v>
      </c>
    </row>
    <row r="166" ht="15.0" customHeight="1">
      <c r="A166" s="8" t="s">
        <v>96</v>
      </c>
      <c r="B166" s="8" t="s">
        <v>182</v>
      </c>
      <c r="C166" s="8">
        <v>1.0</v>
      </c>
      <c r="I166" s="8">
        <v>1.0</v>
      </c>
      <c r="J166" s="8">
        <v>1.0</v>
      </c>
    </row>
    <row r="167" ht="15.0" customHeight="1">
      <c r="A167" s="8" t="s">
        <v>96</v>
      </c>
      <c r="B167" s="8" t="s">
        <v>182</v>
      </c>
      <c r="C167" s="8">
        <v>1.0</v>
      </c>
      <c r="I167" s="8">
        <v>1.0</v>
      </c>
      <c r="AN167" s="8">
        <v>1.0</v>
      </c>
      <c r="AQ167" s="8">
        <v>1.0</v>
      </c>
      <c r="AS167" s="8">
        <v>1.0</v>
      </c>
      <c r="BI167" s="8">
        <v>1.0</v>
      </c>
      <c r="BL167" s="8">
        <v>1.0</v>
      </c>
      <c r="BM167" s="8">
        <v>1.0</v>
      </c>
      <c r="BT167" s="8">
        <v>1.0</v>
      </c>
    </row>
    <row r="168" ht="15.0" customHeight="1">
      <c r="A168" s="8" t="s">
        <v>96</v>
      </c>
      <c r="B168" s="8" t="s">
        <v>182</v>
      </c>
      <c r="C168" s="8">
        <v>1.0</v>
      </c>
      <c r="G168" s="8">
        <v>1.0</v>
      </c>
      <c r="I168" s="8">
        <v>1.0</v>
      </c>
      <c r="J168" s="8">
        <v>1.0</v>
      </c>
      <c r="AD168" s="8">
        <v>1.0</v>
      </c>
      <c r="AF168" s="8">
        <v>1.0</v>
      </c>
      <c r="AN168" s="8">
        <v>1.0</v>
      </c>
      <c r="AQ168" s="8">
        <v>1.0</v>
      </c>
      <c r="AS168" s="8">
        <v>1.0</v>
      </c>
      <c r="BI168" s="8">
        <v>1.0</v>
      </c>
      <c r="BJ168" s="8">
        <v>1.0</v>
      </c>
      <c r="BL168" s="8">
        <v>1.0</v>
      </c>
      <c r="BM168" s="8">
        <v>1.0</v>
      </c>
      <c r="BS168" s="8">
        <v>1.0</v>
      </c>
      <c r="BT168" s="8">
        <v>1.0</v>
      </c>
    </row>
    <row r="169" ht="15.0" customHeight="1">
      <c r="A169" s="8" t="s">
        <v>96</v>
      </c>
      <c r="B169" s="8" t="s">
        <v>182</v>
      </c>
      <c r="C169" s="8">
        <v>1.0</v>
      </c>
      <c r="G169" s="8">
        <v>1.0</v>
      </c>
      <c r="I169" s="8">
        <v>1.0</v>
      </c>
      <c r="AF169" s="8">
        <v>1.0</v>
      </c>
      <c r="AN169" s="8">
        <v>1.0</v>
      </c>
      <c r="AQ169" s="8">
        <v>1.0</v>
      </c>
      <c r="AS169" s="8">
        <v>1.0</v>
      </c>
      <c r="BI169" s="8">
        <v>1.0</v>
      </c>
      <c r="BL169" s="8">
        <v>1.0</v>
      </c>
      <c r="BM169" s="8">
        <v>1.0</v>
      </c>
      <c r="BS169" s="8">
        <v>1.0</v>
      </c>
      <c r="BT169" s="8">
        <v>1.0</v>
      </c>
    </row>
    <row r="170" ht="15.0" customHeight="1">
      <c r="A170" s="8" t="s">
        <v>96</v>
      </c>
      <c r="B170" s="8" t="s">
        <v>182</v>
      </c>
      <c r="C170" s="8">
        <v>1.0</v>
      </c>
      <c r="G170" s="8">
        <v>1.0</v>
      </c>
      <c r="AF170" s="8">
        <v>1.0</v>
      </c>
      <c r="AN170" s="8">
        <v>1.0</v>
      </c>
      <c r="AQ170" s="8">
        <v>1.0</v>
      </c>
      <c r="AS170" s="8">
        <v>1.0</v>
      </c>
      <c r="BI170" s="8">
        <v>1.0</v>
      </c>
      <c r="BL170" s="8">
        <v>1.0</v>
      </c>
    </row>
    <row r="171" ht="15.0" customHeight="1">
      <c r="A171" s="8" t="s">
        <v>154</v>
      </c>
      <c r="B171" s="8" t="s">
        <v>182</v>
      </c>
      <c r="C171" s="8">
        <v>1.0</v>
      </c>
      <c r="G171" s="8">
        <v>1.0</v>
      </c>
      <c r="BL171" s="8">
        <v>1.0</v>
      </c>
    </row>
    <row r="172" ht="15.0" customHeight="1">
      <c r="A172" s="8" t="s">
        <v>154</v>
      </c>
      <c r="B172" s="8" t="s">
        <v>182</v>
      </c>
      <c r="C172" s="8">
        <v>1.0</v>
      </c>
      <c r="BI172" s="8">
        <v>1.0</v>
      </c>
    </row>
    <row r="173" ht="15.0" customHeight="1">
      <c r="A173" s="8" t="s">
        <v>112</v>
      </c>
      <c r="B173" s="8" t="s">
        <v>182</v>
      </c>
      <c r="C173" s="8">
        <v>1.0</v>
      </c>
      <c r="I173" s="8">
        <v>1.0</v>
      </c>
      <c r="J173" s="8">
        <v>1.0</v>
      </c>
      <c r="AX173" s="8">
        <v>1.0</v>
      </c>
    </row>
    <row r="174" ht="15.0" customHeight="1">
      <c r="A174" s="8" t="s">
        <v>112</v>
      </c>
      <c r="B174" s="8" t="s">
        <v>182</v>
      </c>
      <c r="C174" s="8">
        <v>1.0</v>
      </c>
      <c r="J174" s="8">
        <v>1.0</v>
      </c>
      <c r="Y174" s="8">
        <v>1.0</v>
      </c>
    </row>
    <row r="175" ht="15.0" customHeight="1">
      <c r="A175" s="8" t="s">
        <v>112</v>
      </c>
      <c r="B175" s="8" t="s">
        <v>182</v>
      </c>
      <c r="C175" s="8">
        <v>1.0</v>
      </c>
      <c r="F175" s="8">
        <v>1.0</v>
      </c>
      <c r="G175" s="8">
        <v>1.0</v>
      </c>
      <c r="I175" s="8">
        <v>1.0</v>
      </c>
      <c r="J175" s="8">
        <v>1.0</v>
      </c>
      <c r="AF175" s="8">
        <v>1.0</v>
      </c>
      <c r="AN175" s="8">
        <v>1.0</v>
      </c>
      <c r="AS175" s="8">
        <v>1.0</v>
      </c>
      <c r="AX175" s="8">
        <v>1.0</v>
      </c>
      <c r="BA175" s="8">
        <v>1.0</v>
      </c>
      <c r="BI175" s="8">
        <v>1.0</v>
      </c>
      <c r="BL175" s="8">
        <v>1.0</v>
      </c>
      <c r="BS175" s="8">
        <v>1.0</v>
      </c>
    </row>
    <row r="176" ht="15.0" customHeight="1">
      <c r="A176" s="8" t="s">
        <v>205</v>
      </c>
      <c r="B176" s="8" t="s">
        <v>182</v>
      </c>
      <c r="C176" s="8">
        <v>1.0</v>
      </c>
      <c r="Z176" s="8">
        <v>1.0</v>
      </c>
      <c r="AC176" s="8">
        <v>1.0</v>
      </c>
      <c r="AD176" s="8">
        <v>1.0</v>
      </c>
      <c r="AL176" s="8">
        <v>1.0</v>
      </c>
      <c r="AX176" s="8">
        <v>1.0</v>
      </c>
      <c r="BI176" s="8">
        <v>1.0</v>
      </c>
      <c r="BS176" s="8">
        <v>1.0</v>
      </c>
    </row>
    <row r="177" ht="15.0" customHeight="1">
      <c r="A177" s="8" t="s">
        <v>205</v>
      </c>
      <c r="B177" s="8" t="s">
        <v>182</v>
      </c>
      <c r="C177" s="8">
        <v>1.0</v>
      </c>
      <c r="AD177" s="8">
        <v>1.0</v>
      </c>
      <c r="BI177" s="8">
        <v>1.0</v>
      </c>
    </row>
    <row r="178" ht="15.0" customHeight="1">
      <c r="A178" s="8" t="s">
        <v>205</v>
      </c>
      <c r="B178" s="8" t="s">
        <v>182</v>
      </c>
      <c r="C178" s="8">
        <v>1.0</v>
      </c>
      <c r="AD178" s="8">
        <v>1.0</v>
      </c>
      <c r="AF178" s="8">
        <v>1.0</v>
      </c>
      <c r="AO178" s="8">
        <v>1.0</v>
      </c>
      <c r="AX178" s="8">
        <v>1.0</v>
      </c>
      <c r="BI178" s="8">
        <v>1.0</v>
      </c>
      <c r="BL178" s="8">
        <v>1.0</v>
      </c>
    </row>
    <row r="179" ht="15.0" customHeight="1">
      <c r="A179" s="8" t="s">
        <v>88</v>
      </c>
      <c r="B179" s="8" t="s">
        <v>182</v>
      </c>
      <c r="C179" s="8">
        <v>1.0</v>
      </c>
      <c r="I179" s="8">
        <v>1.0</v>
      </c>
      <c r="J179" s="8">
        <v>1.0</v>
      </c>
      <c r="AH179" s="8">
        <v>1.0</v>
      </c>
      <c r="AN179" s="8">
        <v>1.0</v>
      </c>
      <c r="AQ179" s="8">
        <v>1.0</v>
      </c>
      <c r="AS179" s="8">
        <v>1.0</v>
      </c>
      <c r="AZ179" s="8">
        <v>1.0</v>
      </c>
      <c r="BT179" s="8">
        <v>1.0</v>
      </c>
    </row>
    <row r="180" ht="15.0" customHeight="1">
      <c r="A180" s="8" t="s">
        <v>97</v>
      </c>
      <c r="B180" s="8" t="s">
        <v>182</v>
      </c>
      <c r="C180" s="8">
        <v>1.0</v>
      </c>
      <c r="G180" s="8">
        <v>1.0</v>
      </c>
      <c r="I180" s="8">
        <v>1.0</v>
      </c>
      <c r="J180" s="8">
        <v>1.0</v>
      </c>
      <c r="O180" s="8">
        <v>1.0</v>
      </c>
      <c r="R180" s="8">
        <v>1.0</v>
      </c>
      <c r="V180" s="8">
        <v>1.0</v>
      </c>
      <c r="AD180" s="8">
        <v>1.0</v>
      </c>
      <c r="AF180" s="8">
        <v>1.0</v>
      </c>
      <c r="AM180" s="8">
        <v>1.0</v>
      </c>
      <c r="AS180" s="8">
        <v>1.0</v>
      </c>
      <c r="AX180" s="8">
        <v>1.0</v>
      </c>
      <c r="BA180" s="8">
        <v>1.0</v>
      </c>
      <c r="BI180" s="8">
        <v>1.0</v>
      </c>
      <c r="BL180" s="8">
        <v>1.0</v>
      </c>
      <c r="BM180" s="8">
        <v>1.0</v>
      </c>
      <c r="BN180" s="8">
        <v>1.0</v>
      </c>
      <c r="BP180" s="8">
        <v>1.0</v>
      </c>
      <c r="BT180" s="8">
        <v>1.0</v>
      </c>
    </row>
    <row r="181" ht="15.0" customHeight="1">
      <c r="A181" s="8" t="s">
        <v>97</v>
      </c>
      <c r="B181" s="8" t="s">
        <v>182</v>
      </c>
      <c r="C181" s="8">
        <v>1.0</v>
      </c>
      <c r="I181" s="8">
        <v>1.0</v>
      </c>
      <c r="J181" s="8">
        <v>1.0</v>
      </c>
      <c r="AD181" s="8">
        <v>1.0</v>
      </c>
      <c r="AF181" s="8">
        <v>1.0</v>
      </c>
      <c r="BI181" s="8">
        <v>1.0</v>
      </c>
    </row>
    <row r="182" ht="15.0" customHeight="1">
      <c r="A182" s="8" t="s">
        <v>97</v>
      </c>
      <c r="B182" s="8" t="s">
        <v>182</v>
      </c>
      <c r="C182" s="8">
        <v>1.0</v>
      </c>
      <c r="I182" s="8">
        <v>1.0</v>
      </c>
      <c r="J182" s="8">
        <v>1.0</v>
      </c>
      <c r="AD182" s="8">
        <v>1.0</v>
      </c>
      <c r="AX182" s="8">
        <v>1.0</v>
      </c>
      <c r="BL182" s="8">
        <v>1.0</v>
      </c>
    </row>
    <row r="183" ht="15.0" customHeight="1">
      <c r="A183" s="8" t="s">
        <v>97</v>
      </c>
      <c r="B183" s="8" t="s">
        <v>182</v>
      </c>
      <c r="C183" s="8">
        <v>1.0</v>
      </c>
      <c r="I183" s="8">
        <v>1.0</v>
      </c>
      <c r="J183" s="8">
        <v>1.0</v>
      </c>
      <c r="AD183" s="8">
        <v>1.0</v>
      </c>
      <c r="AX183" s="8">
        <v>1.0</v>
      </c>
      <c r="BL183" s="8">
        <v>1.0</v>
      </c>
    </row>
    <row r="184" ht="15.0" customHeight="1">
      <c r="A184" s="8" t="s">
        <v>97</v>
      </c>
      <c r="B184" s="8" t="s">
        <v>182</v>
      </c>
      <c r="C184" s="8">
        <v>1.0</v>
      </c>
      <c r="G184" s="8">
        <v>1.0</v>
      </c>
      <c r="I184" s="8">
        <v>1.0</v>
      </c>
      <c r="J184" s="8">
        <v>1.0</v>
      </c>
      <c r="AC184" s="8">
        <v>1.0</v>
      </c>
      <c r="AD184" s="8">
        <v>1.0</v>
      </c>
      <c r="AF184" s="8">
        <v>1.0</v>
      </c>
      <c r="AN184" s="8">
        <v>1.0</v>
      </c>
      <c r="AO184" s="8">
        <v>1.0</v>
      </c>
      <c r="AS184" s="8">
        <v>1.0</v>
      </c>
      <c r="AX184" s="8">
        <v>1.0</v>
      </c>
      <c r="AY184" s="8">
        <v>1.0</v>
      </c>
      <c r="BI184" s="8">
        <v>1.0</v>
      </c>
      <c r="BJ184" s="8">
        <v>1.0</v>
      </c>
      <c r="BL184" s="8">
        <v>1.0</v>
      </c>
      <c r="BM184" s="8">
        <v>1.0</v>
      </c>
      <c r="BO184" s="8">
        <v>1.0</v>
      </c>
    </row>
    <row r="185" ht="15.0" customHeight="1">
      <c r="A185" s="8" t="s">
        <v>113</v>
      </c>
      <c r="B185" s="8" t="s">
        <v>182</v>
      </c>
      <c r="C185" s="8">
        <v>1.0</v>
      </c>
      <c r="F185" s="8">
        <v>1.0</v>
      </c>
      <c r="G185" s="8">
        <v>1.0</v>
      </c>
      <c r="R185" s="8">
        <v>1.0</v>
      </c>
      <c r="AD185" s="8">
        <v>1.0</v>
      </c>
      <c r="AG185" s="8">
        <v>1.0</v>
      </c>
      <c r="AR185" s="8">
        <v>1.0</v>
      </c>
      <c r="AX185" s="8">
        <v>1.0</v>
      </c>
      <c r="BI185" s="8">
        <v>1.0</v>
      </c>
      <c r="BL185" s="8">
        <v>1.0</v>
      </c>
      <c r="BO185" s="8">
        <v>1.0</v>
      </c>
    </row>
    <row r="186" ht="15.0" customHeight="1">
      <c r="A186" s="8" t="s">
        <v>113</v>
      </c>
      <c r="B186" s="8" t="s">
        <v>182</v>
      </c>
      <c r="C186" s="8">
        <v>1.0</v>
      </c>
      <c r="G186" s="8">
        <v>1.0</v>
      </c>
      <c r="I186" s="8">
        <v>1.0</v>
      </c>
      <c r="AD186" s="8">
        <v>1.0</v>
      </c>
      <c r="AS186" s="8">
        <v>1.0</v>
      </c>
      <c r="AX186" s="8">
        <v>1.0</v>
      </c>
      <c r="BI186" s="8">
        <v>1.0</v>
      </c>
      <c r="BL186" s="8">
        <v>1.0</v>
      </c>
    </row>
    <row r="187" ht="15.0" customHeight="1">
      <c r="A187" s="8" t="s">
        <v>120</v>
      </c>
      <c r="B187" s="8" t="s">
        <v>182</v>
      </c>
      <c r="C187" s="8">
        <v>1.0</v>
      </c>
      <c r="G187" s="8">
        <v>1.0</v>
      </c>
      <c r="AF187" s="8">
        <v>1.0</v>
      </c>
      <c r="AO187" s="8">
        <v>1.0</v>
      </c>
      <c r="AS187" s="8">
        <v>1.0</v>
      </c>
      <c r="BI187" s="8">
        <v>1.0</v>
      </c>
      <c r="BL187" s="8">
        <v>1.0</v>
      </c>
      <c r="BS187" s="8">
        <v>1.0</v>
      </c>
    </row>
    <row r="188" ht="15.0" customHeight="1">
      <c r="A188" s="8" t="s">
        <v>120</v>
      </c>
      <c r="B188" s="8" t="s">
        <v>182</v>
      </c>
      <c r="C188" s="8">
        <v>1.0</v>
      </c>
      <c r="AS188" s="8">
        <v>1.0</v>
      </c>
    </row>
    <row r="189" ht="15.0" customHeight="1">
      <c r="A189" s="8" t="s">
        <v>120</v>
      </c>
      <c r="B189" s="8" t="s">
        <v>182</v>
      </c>
      <c r="C189" s="8">
        <v>1.0</v>
      </c>
      <c r="G189" s="8">
        <v>1.0</v>
      </c>
      <c r="I189" s="8">
        <v>1.0</v>
      </c>
      <c r="AD189" s="8">
        <v>1.0</v>
      </c>
      <c r="AF189" s="8">
        <v>1.0</v>
      </c>
      <c r="AN189" s="8">
        <v>1.0</v>
      </c>
      <c r="AS189" s="8">
        <v>1.0</v>
      </c>
      <c r="BJ189" s="8">
        <v>1.0</v>
      </c>
      <c r="BL189" s="8">
        <v>1.0</v>
      </c>
      <c r="BM189" s="8">
        <v>1.0</v>
      </c>
      <c r="BS189" s="8">
        <v>1.0</v>
      </c>
    </row>
    <row r="190" ht="15.0" customHeight="1">
      <c r="A190" s="8" t="s">
        <v>120</v>
      </c>
      <c r="B190" s="8" t="s">
        <v>182</v>
      </c>
      <c r="C190" s="8">
        <v>1.0</v>
      </c>
      <c r="F190" s="8">
        <v>1.0</v>
      </c>
      <c r="R190" s="8">
        <v>1.0</v>
      </c>
      <c r="AF190" s="8">
        <v>1.0</v>
      </c>
      <c r="AS190" s="8">
        <v>1.0</v>
      </c>
      <c r="BI190" s="8">
        <v>1.0</v>
      </c>
      <c r="BN190" s="8">
        <v>1.0</v>
      </c>
    </row>
    <row r="191" ht="15.0" customHeight="1">
      <c r="A191" s="8" t="s">
        <v>134</v>
      </c>
      <c r="B191" s="8" t="s">
        <v>182</v>
      </c>
      <c r="C191" s="8">
        <v>1.0</v>
      </c>
      <c r="G191" s="8">
        <v>1.0</v>
      </c>
      <c r="O191" s="8">
        <v>1.0</v>
      </c>
      <c r="R191" s="8">
        <v>1.0</v>
      </c>
      <c r="BA191" s="8">
        <v>1.0</v>
      </c>
      <c r="BI191" s="8">
        <v>1.0</v>
      </c>
      <c r="BS191" s="8">
        <v>1.0</v>
      </c>
    </row>
    <row r="192" ht="15.0" customHeight="1">
      <c r="A192" s="8" t="s">
        <v>134</v>
      </c>
      <c r="B192" s="8" t="s">
        <v>182</v>
      </c>
      <c r="C192" s="8">
        <v>1.0</v>
      </c>
      <c r="BI192" s="8">
        <v>1.0</v>
      </c>
      <c r="BS192" s="8">
        <v>1.0</v>
      </c>
    </row>
    <row r="193" ht="15.0" customHeight="1">
      <c r="A193" s="8" t="s">
        <v>89</v>
      </c>
      <c r="B193" s="8" t="s">
        <v>182</v>
      </c>
      <c r="C193" s="8">
        <v>1.0</v>
      </c>
      <c r="AS193" s="8">
        <v>1.0</v>
      </c>
    </row>
    <row r="194" ht="15.0" customHeight="1">
      <c r="A194" s="8" t="s">
        <v>89</v>
      </c>
      <c r="B194" s="8" t="s">
        <v>182</v>
      </c>
      <c r="C194" s="8">
        <v>1.0</v>
      </c>
      <c r="I194" s="8">
        <v>1.0</v>
      </c>
      <c r="AN194" s="8">
        <v>1.0</v>
      </c>
      <c r="AQ194" s="8">
        <v>1.0</v>
      </c>
      <c r="AS194" s="8">
        <v>1.0</v>
      </c>
      <c r="AX194" s="8">
        <v>1.0</v>
      </c>
      <c r="AY194" s="8">
        <v>1.0</v>
      </c>
      <c r="BI194" s="8">
        <v>1.0</v>
      </c>
      <c r="BS194" s="8">
        <v>1.0</v>
      </c>
    </row>
    <row r="195" ht="15.0" customHeight="1">
      <c r="A195" s="8" t="s">
        <v>114</v>
      </c>
      <c r="B195" s="8" t="s">
        <v>182</v>
      </c>
      <c r="C195" s="8">
        <v>1.0</v>
      </c>
      <c r="I195" s="8">
        <v>1.0</v>
      </c>
      <c r="AX195" s="8">
        <v>1.0</v>
      </c>
      <c r="BI195" s="8">
        <v>1.0</v>
      </c>
      <c r="BL195" s="8">
        <v>1.0</v>
      </c>
    </row>
    <row r="196" ht="15.0" customHeight="1">
      <c r="A196" s="8" t="s">
        <v>114</v>
      </c>
      <c r="B196" s="8" t="s">
        <v>182</v>
      </c>
      <c r="C196" s="8">
        <v>1.0</v>
      </c>
      <c r="I196" s="8">
        <v>1.0</v>
      </c>
      <c r="AD196" s="8">
        <v>1.0</v>
      </c>
      <c r="AF196" s="8">
        <v>1.0</v>
      </c>
      <c r="AX196" s="8">
        <v>1.0</v>
      </c>
      <c r="BI196" s="8">
        <v>1.0</v>
      </c>
      <c r="BL196" s="8">
        <v>1.0</v>
      </c>
      <c r="BS196" s="8">
        <v>1.0</v>
      </c>
    </row>
    <row r="197" ht="15.0" customHeight="1">
      <c r="A197" s="8" t="s">
        <v>206</v>
      </c>
      <c r="B197" s="8" t="s">
        <v>182</v>
      </c>
      <c r="C197" s="8">
        <v>1.0</v>
      </c>
      <c r="AZ197" s="8">
        <v>1.0</v>
      </c>
      <c r="BA197" s="8">
        <v>1.0</v>
      </c>
      <c r="BI197" s="8">
        <v>1.0</v>
      </c>
      <c r="BL197" s="8">
        <v>1.0</v>
      </c>
    </row>
    <row r="198" ht="15.0" customHeight="1">
      <c r="A198" s="8" t="s">
        <v>206</v>
      </c>
      <c r="B198" s="8" t="s">
        <v>182</v>
      </c>
      <c r="C198" s="8">
        <v>1.0</v>
      </c>
      <c r="G198" s="8">
        <v>1.0</v>
      </c>
      <c r="J198" s="8">
        <v>1.0</v>
      </c>
      <c r="U198" s="8">
        <v>1.0</v>
      </c>
      <c r="Z198" s="8">
        <v>1.0</v>
      </c>
      <c r="AD198" s="8">
        <v>1.0</v>
      </c>
      <c r="AE198" s="8">
        <v>1.0</v>
      </c>
      <c r="AN198" s="8">
        <v>1.0</v>
      </c>
      <c r="AO198" s="8">
        <v>1.0</v>
      </c>
      <c r="AX198" s="8">
        <v>1.0</v>
      </c>
      <c r="BG198" s="8">
        <v>1.0</v>
      </c>
      <c r="BI198" s="8">
        <v>1.0</v>
      </c>
      <c r="BL198" s="8">
        <v>1.0</v>
      </c>
      <c r="BR198" s="8">
        <v>1.0</v>
      </c>
      <c r="BS198" s="8">
        <v>1.0</v>
      </c>
    </row>
    <row r="199" ht="15.0" customHeight="1">
      <c r="A199" s="8" t="s">
        <v>181</v>
      </c>
      <c r="B199" s="8" t="s">
        <v>182</v>
      </c>
      <c r="C199" s="8">
        <v>1.0</v>
      </c>
      <c r="G199" s="8">
        <v>1.0</v>
      </c>
      <c r="I199" s="8">
        <v>1.0</v>
      </c>
      <c r="AN199" s="8">
        <v>1.0</v>
      </c>
      <c r="AP199" s="8">
        <v>1.0</v>
      </c>
      <c r="AQ199" s="8">
        <v>1.0</v>
      </c>
      <c r="AS199" s="8">
        <v>1.0</v>
      </c>
      <c r="BH199" s="8">
        <v>1.0</v>
      </c>
      <c r="BL199" s="8">
        <v>1.0</v>
      </c>
      <c r="BT199" s="8">
        <v>1.0</v>
      </c>
    </row>
    <row r="200" ht="15.0" customHeight="1">
      <c r="A200" s="8" t="s">
        <v>181</v>
      </c>
      <c r="B200" s="8" t="s">
        <v>182</v>
      </c>
      <c r="C200" s="8">
        <v>1.0</v>
      </c>
      <c r="G200" s="8">
        <v>1.0</v>
      </c>
      <c r="I200" s="8">
        <v>1.0</v>
      </c>
      <c r="O200" s="8">
        <v>1.0</v>
      </c>
      <c r="AS200" s="8">
        <v>1.0</v>
      </c>
      <c r="BL200" s="8">
        <v>1.0</v>
      </c>
    </row>
    <row r="201" ht="15.0" customHeight="1">
      <c r="A201" s="8" t="s">
        <v>149</v>
      </c>
      <c r="B201" s="8" t="s">
        <v>182</v>
      </c>
      <c r="C201" s="8">
        <v>1.0</v>
      </c>
      <c r="G201" s="8">
        <v>1.0</v>
      </c>
      <c r="J201" s="8">
        <v>1.0</v>
      </c>
      <c r="AC201" s="8">
        <v>1.0</v>
      </c>
      <c r="AD201" s="8">
        <v>1.0</v>
      </c>
      <c r="AF201" s="8">
        <v>1.0</v>
      </c>
      <c r="AN201" s="8">
        <v>1.0</v>
      </c>
      <c r="AS201" s="8">
        <v>1.0</v>
      </c>
      <c r="AX201" s="8">
        <v>1.0</v>
      </c>
      <c r="AY201" s="8">
        <v>1.0</v>
      </c>
      <c r="BI201" s="8">
        <v>1.0</v>
      </c>
      <c r="BL201" s="8">
        <v>1.0</v>
      </c>
      <c r="BS201" s="8">
        <v>1.0</v>
      </c>
      <c r="BT201" s="8">
        <v>1.0</v>
      </c>
    </row>
    <row r="202" ht="15.0" customHeight="1">
      <c r="A202" s="8" t="s">
        <v>129</v>
      </c>
      <c r="B202" s="8" t="s">
        <v>182</v>
      </c>
      <c r="G202" s="8">
        <v>1.0</v>
      </c>
      <c r="AF202" s="8">
        <v>1.0</v>
      </c>
      <c r="BM202" s="8">
        <v>1.0</v>
      </c>
    </row>
    <row r="203" ht="15.0" customHeight="1">
      <c r="A203" s="8" t="s">
        <v>129</v>
      </c>
      <c r="B203" s="8" t="s">
        <v>182</v>
      </c>
      <c r="C203" s="8">
        <v>1.0</v>
      </c>
      <c r="G203" s="8">
        <v>1.0</v>
      </c>
      <c r="R203" s="8">
        <v>1.0</v>
      </c>
      <c r="Z203" s="8">
        <v>1.0</v>
      </c>
      <c r="AF203" s="8">
        <v>1.0</v>
      </c>
      <c r="AS203" s="8">
        <v>1.0</v>
      </c>
      <c r="BI203" s="8">
        <v>1.0</v>
      </c>
      <c r="BL203" s="8">
        <v>1.0</v>
      </c>
      <c r="BS203" s="8">
        <v>1.0</v>
      </c>
    </row>
    <row r="204" ht="15.0" customHeight="1">
      <c r="A204" s="8" t="s">
        <v>129</v>
      </c>
      <c r="B204" s="8" t="s">
        <v>182</v>
      </c>
      <c r="C204" s="8">
        <v>1.0</v>
      </c>
      <c r="G204" s="8">
        <v>1.0</v>
      </c>
      <c r="AF204" s="8">
        <v>1.0</v>
      </c>
      <c r="AN204" s="8">
        <v>1.0</v>
      </c>
      <c r="BI204" s="8">
        <v>1.0</v>
      </c>
      <c r="BL204" s="8">
        <v>1.0</v>
      </c>
      <c r="BT204" s="8">
        <v>1.0</v>
      </c>
    </row>
    <row r="205" ht="15.0" customHeight="1">
      <c r="A205" s="8" t="s">
        <v>105</v>
      </c>
      <c r="B205" s="8" t="s">
        <v>182</v>
      </c>
      <c r="C205" s="8">
        <v>1.0</v>
      </c>
      <c r="BI205" s="8">
        <v>1.0</v>
      </c>
    </row>
    <row r="206" ht="15.0" customHeight="1">
      <c r="A206" s="8" t="s">
        <v>105</v>
      </c>
      <c r="B206" s="8" t="s">
        <v>182</v>
      </c>
      <c r="C206" s="8">
        <v>1.0</v>
      </c>
      <c r="R206" s="8">
        <v>1.0</v>
      </c>
      <c r="BI206" s="8">
        <v>1.0</v>
      </c>
    </row>
    <row r="207" ht="15.0" customHeight="1">
      <c r="A207" s="8" t="s">
        <v>105</v>
      </c>
      <c r="B207" s="8" t="s">
        <v>182</v>
      </c>
      <c r="C207" s="8">
        <v>1.0</v>
      </c>
      <c r="I207" s="8">
        <v>1.0</v>
      </c>
      <c r="R207" s="8">
        <v>1.0</v>
      </c>
      <c r="AX207" s="8">
        <v>1.0</v>
      </c>
      <c r="BE207" s="8">
        <v>1.0</v>
      </c>
      <c r="BI207" s="8">
        <v>1.0</v>
      </c>
      <c r="BM207" s="8">
        <v>1.0</v>
      </c>
      <c r="BS207" s="8">
        <v>1.0</v>
      </c>
    </row>
    <row r="208" ht="15.0" customHeight="1">
      <c r="A208" s="8" t="s">
        <v>79</v>
      </c>
      <c r="B208" s="8" t="s">
        <v>182</v>
      </c>
      <c r="C208" s="8">
        <v>1.0</v>
      </c>
      <c r="BI208" s="8">
        <v>1.0</v>
      </c>
      <c r="BL208" s="8">
        <v>1.0</v>
      </c>
    </row>
    <row r="209" ht="15.0" customHeight="1">
      <c r="A209" s="8" t="s">
        <v>79</v>
      </c>
      <c r="B209" s="8" t="s">
        <v>182</v>
      </c>
      <c r="C209" s="8">
        <v>1.0</v>
      </c>
      <c r="BI209" s="8">
        <v>1.0</v>
      </c>
      <c r="BL209" s="8">
        <v>1.0</v>
      </c>
    </row>
    <row r="210" ht="15.0" customHeight="1">
      <c r="A210" s="8" t="s">
        <v>79</v>
      </c>
      <c r="B210" s="8" t="s">
        <v>182</v>
      </c>
      <c r="C210" s="8">
        <v>1.0</v>
      </c>
      <c r="AD210" s="8">
        <v>1.0</v>
      </c>
      <c r="AO210" s="8">
        <v>1.0</v>
      </c>
      <c r="AS210" s="8">
        <v>1.0</v>
      </c>
      <c r="BE210" s="8">
        <v>1.0</v>
      </c>
      <c r="BH210" s="8">
        <v>1.0</v>
      </c>
      <c r="BI210" s="8">
        <v>1.0</v>
      </c>
      <c r="BL210" s="8">
        <v>1.0</v>
      </c>
    </row>
    <row r="211" ht="15.0" customHeight="1">
      <c r="A211" s="8" t="s">
        <v>79</v>
      </c>
      <c r="B211" s="8" t="s">
        <v>182</v>
      </c>
      <c r="C211" s="8">
        <v>1.0</v>
      </c>
      <c r="G211" s="8">
        <v>1.0</v>
      </c>
      <c r="I211" s="8">
        <v>1.0</v>
      </c>
      <c r="U211" s="8">
        <v>1.0</v>
      </c>
      <c r="AD211" s="8">
        <v>1.0</v>
      </c>
      <c r="AN211" s="8">
        <v>1.0</v>
      </c>
      <c r="AQ211" s="8">
        <v>1.0</v>
      </c>
      <c r="AS211" s="8">
        <v>1.0</v>
      </c>
      <c r="BC211" s="8">
        <v>1.0</v>
      </c>
      <c r="BI211" s="8">
        <v>1.0</v>
      </c>
      <c r="BL211" s="8">
        <v>1.0</v>
      </c>
      <c r="BM211" s="8">
        <v>1.0</v>
      </c>
    </row>
    <row r="212" ht="15.0" customHeight="1">
      <c r="A212" s="8" t="s">
        <v>207</v>
      </c>
      <c r="B212" s="8" t="s">
        <v>182</v>
      </c>
      <c r="C212" s="8">
        <v>1.0</v>
      </c>
      <c r="I212" s="8">
        <v>1.0</v>
      </c>
      <c r="AN212" s="8">
        <v>1.0</v>
      </c>
      <c r="BI212" s="8">
        <v>1.0</v>
      </c>
      <c r="BT212" s="8">
        <v>1.0</v>
      </c>
    </row>
    <row r="213" ht="15.0" customHeight="1">
      <c r="A213" s="8" t="s">
        <v>208</v>
      </c>
      <c r="B213" s="8" t="s">
        <v>182</v>
      </c>
      <c r="C213" s="8">
        <v>1.0</v>
      </c>
      <c r="Z213" s="8">
        <v>1.0</v>
      </c>
      <c r="AN213" s="8">
        <v>1.0</v>
      </c>
      <c r="BL213" s="8">
        <v>1.0</v>
      </c>
      <c r="BS213" s="8">
        <v>1.0</v>
      </c>
    </row>
    <row r="214" ht="15.0" customHeight="1">
      <c r="A214" s="8" t="s">
        <v>208</v>
      </c>
      <c r="B214" s="8" t="s">
        <v>182</v>
      </c>
      <c r="C214" s="8">
        <v>1.0</v>
      </c>
      <c r="J214" s="8">
        <v>1.0</v>
      </c>
      <c r="Z214" s="8">
        <v>1.0</v>
      </c>
      <c r="AF214" s="8">
        <v>1.0</v>
      </c>
      <c r="AN214" s="8">
        <v>1.0</v>
      </c>
      <c r="AZ214" s="8">
        <v>1.0</v>
      </c>
      <c r="BD214" s="8">
        <v>1.0</v>
      </c>
      <c r="BI214" s="8">
        <v>1.0</v>
      </c>
      <c r="BL214" s="8">
        <v>1.0</v>
      </c>
      <c r="BS214" s="8">
        <v>1.0</v>
      </c>
      <c r="BT214" s="8">
        <v>1.0</v>
      </c>
    </row>
    <row r="215" ht="15.0" customHeight="1">
      <c r="A215" s="8" t="s">
        <v>209</v>
      </c>
      <c r="B215" s="8" t="s">
        <v>182</v>
      </c>
      <c r="C215" s="8">
        <v>1.0</v>
      </c>
      <c r="I215" s="8">
        <v>1.0</v>
      </c>
      <c r="J215" s="8">
        <v>1.0</v>
      </c>
      <c r="AS215" s="8">
        <v>1.0</v>
      </c>
      <c r="AY215" s="8">
        <v>1.0</v>
      </c>
      <c r="BI215" s="8">
        <v>1.0</v>
      </c>
      <c r="BO215" s="8">
        <v>1.0</v>
      </c>
    </row>
    <row r="216" ht="15.0" customHeight="1">
      <c r="A216" s="8" t="s">
        <v>80</v>
      </c>
      <c r="B216" s="8" t="s">
        <v>182</v>
      </c>
      <c r="C216" s="8">
        <v>1.0</v>
      </c>
      <c r="I216" s="8">
        <v>1.0</v>
      </c>
      <c r="BI216" s="8">
        <v>1.0</v>
      </c>
    </row>
    <row r="217" ht="15.0" customHeight="1">
      <c r="A217" s="8" t="s">
        <v>210</v>
      </c>
      <c r="B217" s="8" t="s">
        <v>182</v>
      </c>
      <c r="C217" s="8">
        <v>1.0</v>
      </c>
      <c r="I217" s="8">
        <v>1.0</v>
      </c>
      <c r="BI217" s="8">
        <v>1.0</v>
      </c>
    </row>
    <row r="218" ht="15.0" customHeight="1">
      <c r="A218" s="8" t="s">
        <v>98</v>
      </c>
      <c r="B218" s="8" t="s">
        <v>182</v>
      </c>
      <c r="C218" s="8">
        <v>1.0</v>
      </c>
      <c r="F218" s="8">
        <v>1.0</v>
      </c>
      <c r="G218" s="8">
        <v>1.0</v>
      </c>
      <c r="I218" s="8">
        <v>1.0</v>
      </c>
      <c r="J218" s="8">
        <v>1.0</v>
      </c>
      <c r="O218" s="8">
        <v>1.0</v>
      </c>
      <c r="R218" s="8">
        <v>1.0</v>
      </c>
      <c r="AD218" s="8">
        <v>1.0</v>
      </c>
      <c r="AF218" s="8">
        <v>1.0</v>
      </c>
      <c r="AN218" s="8">
        <v>1.0</v>
      </c>
      <c r="AO218" s="8">
        <v>1.0</v>
      </c>
      <c r="AQ218" s="8">
        <v>1.0</v>
      </c>
      <c r="AS218" s="8">
        <v>1.0</v>
      </c>
      <c r="AV218" s="8">
        <v>1.0</v>
      </c>
      <c r="AW218" s="8">
        <v>1.0</v>
      </c>
      <c r="AX218" s="8">
        <v>1.0</v>
      </c>
      <c r="AY218" s="8">
        <v>1.0</v>
      </c>
      <c r="BI218" s="8">
        <v>1.0</v>
      </c>
      <c r="BL218" s="8">
        <v>1.0</v>
      </c>
      <c r="BN218" s="8">
        <v>1.0</v>
      </c>
      <c r="BS218" s="8">
        <v>1.0</v>
      </c>
    </row>
    <row r="219" ht="15.0" customHeight="1">
      <c r="A219" s="8" t="s">
        <v>98</v>
      </c>
      <c r="B219" s="8" t="s">
        <v>182</v>
      </c>
      <c r="C219" s="8">
        <v>1.0</v>
      </c>
      <c r="G219" s="8">
        <v>1.0</v>
      </c>
      <c r="I219" s="8">
        <v>1.0</v>
      </c>
      <c r="AQ219" s="8">
        <v>1.0</v>
      </c>
      <c r="AS219" s="8">
        <v>1.0</v>
      </c>
      <c r="BL219" s="8">
        <v>1.0</v>
      </c>
      <c r="BS219" s="8">
        <v>1.0</v>
      </c>
    </row>
    <row r="220" ht="15.0" customHeight="1">
      <c r="A220" s="8" t="s">
        <v>98</v>
      </c>
      <c r="B220" s="8" t="s">
        <v>182</v>
      </c>
      <c r="C220" s="8">
        <v>1.0</v>
      </c>
      <c r="F220" s="8">
        <v>1.0</v>
      </c>
      <c r="G220" s="8">
        <v>1.0</v>
      </c>
      <c r="I220" s="8">
        <v>1.0</v>
      </c>
      <c r="J220" s="8">
        <v>1.0</v>
      </c>
      <c r="AD220" s="8">
        <v>1.0</v>
      </c>
      <c r="AG220" s="8">
        <v>1.0</v>
      </c>
      <c r="AJ220" s="8">
        <v>1.0</v>
      </c>
      <c r="AN220" s="8">
        <v>1.0</v>
      </c>
      <c r="AO220" s="8">
        <v>1.0</v>
      </c>
      <c r="AQ220" s="8">
        <v>1.0</v>
      </c>
      <c r="AS220" s="8">
        <v>1.0</v>
      </c>
      <c r="AV220" s="8">
        <v>1.0</v>
      </c>
      <c r="AY220" s="8">
        <v>1.0</v>
      </c>
      <c r="AZ220" s="8">
        <v>1.0</v>
      </c>
      <c r="BI220" s="8">
        <v>1.0</v>
      </c>
      <c r="BL220" s="8">
        <v>1.0</v>
      </c>
      <c r="BS220" s="8">
        <v>1.0</v>
      </c>
    </row>
    <row r="221" ht="15.0" customHeight="1">
      <c r="A221" s="8" t="s">
        <v>98</v>
      </c>
      <c r="B221" s="8" t="s">
        <v>182</v>
      </c>
      <c r="C221" s="8">
        <v>1.0</v>
      </c>
      <c r="G221" s="8">
        <v>1.0</v>
      </c>
      <c r="R221" s="8">
        <v>1.0</v>
      </c>
      <c r="AN221" s="8">
        <v>1.0</v>
      </c>
      <c r="BI221" s="8">
        <v>1.0</v>
      </c>
      <c r="BL221" s="8">
        <v>1.0</v>
      </c>
    </row>
    <row r="222" ht="15.0" customHeight="1">
      <c r="A222" s="8" t="s">
        <v>126</v>
      </c>
      <c r="B222" s="8" t="s">
        <v>182</v>
      </c>
      <c r="C222" s="8">
        <v>1.0</v>
      </c>
      <c r="R222" s="8">
        <v>1.0</v>
      </c>
      <c r="Z222" s="8">
        <v>1.0</v>
      </c>
      <c r="AO222" s="8">
        <v>1.0</v>
      </c>
      <c r="AS222" s="8">
        <v>1.0</v>
      </c>
      <c r="BI222" s="8">
        <v>1.0</v>
      </c>
      <c r="BL222" s="8">
        <v>1.0</v>
      </c>
    </row>
    <row r="223" ht="15.0" customHeight="1">
      <c r="A223" s="8" t="s">
        <v>135</v>
      </c>
      <c r="B223" s="8" t="s">
        <v>182</v>
      </c>
      <c r="C223" s="8">
        <v>1.0</v>
      </c>
      <c r="Z223" s="8">
        <v>1.0</v>
      </c>
      <c r="AD223" s="8">
        <v>1.0</v>
      </c>
      <c r="AE223" s="8">
        <v>1.0</v>
      </c>
      <c r="AQ223" s="8">
        <v>1.0</v>
      </c>
      <c r="AX223" s="8">
        <v>1.0</v>
      </c>
      <c r="BG223" s="8">
        <v>1.0</v>
      </c>
      <c r="BI223" s="8">
        <v>1.0</v>
      </c>
      <c r="BL223" s="8">
        <v>1.0</v>
      </c>
      <c r="BP223" s="8">
        <v>1.0</v>
      </c>
      <c r="BS223" s="8">
        <v>1.0</v>
      </c>
      <c r="BT223" s="8">
        <v>1.0</v>
      </c>
    </row>
    <row r="224" ht="15.0" customHeight="1">
      <c r="A224" s="8" t="s">
        <v>135</v>
      </c>
      <c r="B224" s="8" t="s">
        <v>182</v>
      </c>
      <c r="C224" s="8">
        <v>1.0</v>
      </c>
      <c r="Z224" s="8">
        <v>1.0</v>
      </c>
      <c r="AD224" s="8">
        <v>1.0</v>
      </c>
      <c r="AE224" s="8">
        <v>1.0</v>
      </c>
      <c r="AO224" s="8">
        <v>1.0</v>
      </c>
      <c r="AQ224" s="8">
        <v>1.0</v>
      </c>
      <c r="BG224" s="8">
        <v>1.0</v>
      </c>
      <c r="BI224" s="8">
        <v>1.0</v>
      </c>
      <c r="BL224" s="8">
        <v>1.0</v>
      </c>
      <c r="BP224" s="8">
        <v>1.0</v>
      </c>
      <c r="BS224" s="8">
        <v>1.0</v>
      </c>
      <c r="BT224" s="8">
        <v>1.0</v>
      </c>
    </row>
    <row r="225" ht="15.0" customHeight="1">
      <c r="A225" s="8" t="s">
        <v>178</v>
      </c>
      <c r="B225" s="8" t="s">
        <v>182</v>
      </c>
      <c r="C225" s="8">
        <v>1.0</v>
      </c>
      <c r="G225" s="8">
        <v>1.0</v>
      </c>
      <c r="I225" s="8">
        <v>1.0</v>
      </c>
      <c r="Q225" s="8">
        <v>1.0</v>
      </c>
      <c r="AF225" s="8">
        <v>1.0</v>
      </c>
      <c r="AN225" s="8">
        <v>1.0</v>
      </c>
      <c r="AQ225" s="8">
        <v>1.0</v>
      </c>
      <c r="AX225" s="8">
        <v>1.0</v>
      </c>
      <c r="BI225" s="8">
        <v>1.0</v>
      </c>
    </row>
    <row r="226" ht="15.0" customHeight="1">
      <c r="A226" s="8" t="s">
        <v>178</v>
      </c>
      <c r="B226" s="8" t="s">
        <v>182</v>
      </c>
      <c r="C226" s="8">
        <v>1.0</v>
      </c>
      <c r="G226" s="8">
        <v>1.0</v>
      </c>
      <c r="I226" s="8">
        <v>1.0</v>
      </c>
      <c r="M226" s="8">
        <v>1.0</v>
      </c>
      <c r="AF226" s="8">
        <v>1.0</v>
      </c>
      <c r="AN226" s="8">
        <v>1.0</v>
      </c>
      <c r="AQ226" s="8">
        <v>1.0</v>
      </c>
      <c r="AX226" s="8">
        <v>1.0</v>
      </c>
      <c r="BI226" s="8">
        <v>1.0</v>
      </c>
    </row>
    <row r="227" ht="15.0" customHeight="1">
      <c r="A227" s="8" t="s">
        <v>178</v>
      </c>
      <c r="B227" s="8" t="s">
        <v>182</v>
      </c>
      <c r="C227" s="8">
        <v>1.0</v>
      </c>
      <c r="G227" s="8">
        <v>1.0</v>
      </c>
      <c r="I227" s="8">
        <v>1.0</v>
      </c>
      <c r="Q227" s="8">
        <v>1.0</v>
      </c>
      <c r="AF227" s="8">
        <v>1.0</v>
      </c>
      <c r="AN227" s="8">
        <v>1.0</v>
      </c>
      <c r="AQ227" s="8">
        <v>1.0</v>
      </c>
      <c r="AX227" s="8">
        <v>1.0</v>
      </c>
      <c r="BI227" s="8">
        <v>1.0</v>
      </c>
    </row>
    <row r="228" ht="15.0" customHeight="1">
      <c r="A228" s="8" t="s">
        <v>178</v>
      </c>
      <c r="B228" s="8" t="s">
        <v>182</v>
      </c>
      <c r="C228" s="8">
        <v>1.0</v>
      </c>
      <c r="G228" s="8">
        <v>1.0</v>
      </c>
      <c r="I228" s="8">
        <v>1.0</v>
      </c>
      <c r="Q228" s="8">
        <v>1.0</v>
      </c>
      <c r="AF228" s="8">
        <v>1.0</v>
      </c>
      <c r="AN228" s="8">
        <v>1.0</v>
      </c>
      <c r="AQ228" s="8">
        <v>1.0</v>
      </c>
      <c r="AS228" s="8">
        <v>1.0</v>
      </c>
      <c r="AX228" s="8">
        <v>1.0</v>
      </c>
      <c r="BI228" s="8">
        <v>1.0</v>
      </c>
    </row>
    <row r="229" ht="15.0" customHeight="1">
      <c r="A229" s="8" t="s">
        <v>211</v>
      </c>
      <c r="B229" s="8" t="s">
        <v>182</v>
      </c>
      <c r="C229" s="8">
        <v>1.0</v>
      </c>
      <c r="I229" s="8">
        <v>1.0</v>
      </c>
      <c r="J229" s="8">
        <v>1.0</v>
      </c>
      <c r="AN229" s="8">
        <v>1.0</v>
      </c>
      <c r="BI229" s="8">
        <v>1.0</v>
      </c>
    </row>
    <row r="230" ht="15.0" customHeight="1">
      <c r="A230" s="8" t="s">
        <v>211</v>
      </c>
      <c r="B230" s="8" t="s">
        <v>182</v>
      </c>
      <c r="C230" s="8">
        <v>1.0</v>
      </c>
      <c r="I230" s="8">
        <v>1.0</v>
      </c>
      <c r="J230" s="8">
        <v>1.0</v>
      </c>
      <c r="X230" s="8">
        <v>1.0</v>
      </c>
      <c r="AD230" s="8">
        <v>1.0</v>
      </c>
      <c r="AO230" s="8">
        <v>1.0</v>
      </c>
      <c r="BI230" s="8">
        <v>1.0</v>
      </c>
    </row>
    <row r="231" ht="15.0" customHeight="1">
      <c r="A231" s="8" t="s">
        <v>211</v>
      </c>
      <c r="B231" s="8" t="s">
        <v>182</v>
      </c>
      <c r="C231" s="8">
        <v>1.0</v>
      </c>
      <c r="I231" s="8">
        <v>1.0</v>
      </c>
      <c r="J231" s="8">
        <v>1.0</v>
      </c>
      <c r="AD231" s="8">
        <v>1.0</v>
      </c>
      <c r="BG231" s="8">
        <v>1.0</v>
      </c>
      <c r="BI231" s="8">
        <v>1.0</v>
      </c>
      <c r="BL231" s="8">
        <v>1.0</v>
      </c>
    </row>
    <row r="232" ht="15.0" customHeight="1">
      <c r="A232" s="8" t="s">
        <v>211</v>
      </c>
      <c r="B232" s="8" t="s">
        <v>182</v>
      </c>
      <c r="C232" s="8">
        <v>1.0</v>
      </c>
      <c r="G232" s="8">
        <v>1.0</v>
      </c>
      <c r="J232" s="8">
        <v>1.0</v>
      </c>
      <c r="AS232" s="8">
        <v>1.0</v>
      </c>
      <c r="BG232" s="8">
        <v>1.0</v>
      </c>
      <c r="BI232" s="8">
        <v>1.0</v>
      </c>
      <c r="BM232" s="8">
        <v>1.0</v>
      </c>
      <c r="BS232" s="8">
        <v>1.0</v>
      </c>
    </row>
    <row r="233" ht="15.0" customHeight="1">
      <c r="A233" s="8" t="s">
        <v>122</v>
      </c>
      <c r="B233" s="8" t="s">
        <v>182</v>
      </c>
      <c r="C233" s="8">
        <v>1.0</v>
      </c>
      <c r="G233" s="8">
        <v>1.0</v>
      </c>
      <c r="AF233" s="8">
        <v>1.0</v>
      </c>
      <c r="BI233" s="8">
        <v>1.0</v>
      </c>
    </row>
    <row r="234" ht="15.0" customHeight="1">
      <c r="A234" s="8" t="s">
        <v>122</v>
      </c>
      <c r="B234" s="8" t="s">
        <v>182</v>
      </c>
      <c r="C234" s="8">
        <v>1.0</v>
      </c>
      <c r="BI234" s="8">
        <v>1.0</v>
      </c>
    </row>
    <row r="235" ht="15.0" customHeight="1">
      <c r="A235" s="8" t="s">
        <v>212</v>
      </c>
      <c r="B235" s="8" t="s">
        <v>182</v>
      </c>
      <c r="C235" s="8">
        <v>1.0</v>
      </c>
      <c r="I235" s="8">
        <v>1.0</v>
      </c>
      <c r="J235" s="8">
        <v>1.0</v>
      </c>
      <c r="AA235" s="8">
        <v>1.0</v>
      </c>
      <c r="AD235" s="8">
        <v>1.0</v>
      </c>
      <c r="AF235" s="8">
        <v>1.0</v>
      </c>
      <c r="AN235" s="8">
        <v>1.0</v>
      </c>
      <c r="AQ235" s="8">
        <v>1.0</v>
      </c>
      <c r="AS235" s="8">
        <v>1.0</v>
      </c>
      <c r="BG235" s="8">
        <v>1.0</v>
      </c>
      <c r="BI235" s="8">
        <v>1.0</v>
      </c>
      <c r="BJ235" s="8">
        <v>1.0</v>
      </c>
      <c r="BL235" s="8">
        <v>1.0</v>
      </c>
      <c r="BM235" s="8">
        <v>1.0</v>
      </c>
      <c r="BT235" s="8">
        <v>1.0</v>
      </c>
    </row>
    <row r="236" ht="15.0" customHeight="1">
      <c r="A236" s="8" t="s">
        <v>213</v>
      </c>
      <c r="B236" s="8" t="s">
        <v>182</v>
      </c>
      <c r="C236" s="8">
        <v>1.0</v>
      </c>
      <c r="O236" s="8">
        <v>1.0</v>
      </c>
      <c r="R236" s="8">
        <v>1.0</v>
      </c>
      <c r="AS236" s="8">
        <v>1.0</v>
      </c>
      <c r="AX236" s="8">
        <v>1.0</v>
      </c>
      <c r="BI236" s="8">
        <v>1.0</v>
      </c>
      <c r="BL236" s="8">
        <v>1.0</v>
      </c>
    </row>
    <row r="237" ht="15.0" customHeight="1">
      <c r="A237" s="8" t="s">
        <v>213</v>
      </c>
      <c r="B237" s="8" t="s">
        <v>182</v>
      </c>
      <c r="C237" s="8">
        <v>1.0</v>
      </c>
      <c r="O237" s="8">
        <v>1.0</v>
      </c>
      <c r="R237" s="8">
        <v>1.0</v>
      </c>
      <c r="AS237" s="8">
        <v>1.0</v>
      </c>
      <c r="AX237" s="8">
        <v>1.0</v>
      </c>
      <c r="BI237" s="8">
        <v>1.0</v>
      </c>
      <c r="BL237" s="8">
        <v>1.0</v>
      </c>
    </row>
    <row r="238" ht="15.0" customHeight="1">
      <c r="A238" s="8" t="s">
        <v>123</v>
      </c>
      <c r="B238" s="8" t="s">
        <v>182</v>
      </c>
      <c r="C238" s="8">
        <v>1.0</v>
      </c>
      <c r="R238" s="8">
        <v>1.0</v>
      </c>
      <c r="Z238" s="8">
        <v>1.0</v>
      </c>
      <c r="AB238" s="8">
        <v>1.0</v>
      </c>
      <c r="AF238" s="8">
        <v>1.0</v>
      </c>
      <c r="AQ238" s="8">
        <v>1.0</v>
      </c>
      <c r="AX238" s="8">
        <v>1.0</v>
      </c>
      <c r="AZ238" s="8">
        <v>1.0</v>
      </c>
      <c r="BI238" s="8">
        <v>1.0</v>
      </c>
      <c r="BS238" s="8">
        <v>1.0</v>
      </c>
    </row>
    <row r="239" ht="15.0" customHeight="1">
      <c r="A239" s="8" t="s">
        <v>123</v>
      </c>
      <c r="B239" s="8" t="s">
        <v>182</v>
      </c>
      <c r="C239" s="8">
        <v>1.0</v>
      </c>
      <c r="R239" s="8">
        <v>1.0</v>
      </c>
      <c r="AO239" s="8">
        <v>1.0</v>
      </c>
      <c r="AS239" s="8">
        <v>1.0</v>
      </c>
      <c r="BI239" s="8">
        <v>1.0</v>
      </c>
      <c r="BL239" s="8">
        <v>1.0</v>
      </c>
      <c r="BS239" s="8">
        <v>1.0</v>
      </c>
    </row>
    <row r="240" ht="15.0" customHeight="1">
      <c r="A240" s="8" t="s">
        <v>123</v>
      </c>
      <c r="B240" s="8" t="s">
        <v>182</v>
      </c>
      <c r="C240" s="8">
        <v>1.0</v>
      </c>
      <c r="G240" s="8">
        <v>1.0</v>
      </c>
      <c r="R240" s="8">
        <v>1.0</v>
      </c>
      <c r="AS240" s="8">
        <v>1.0</v>
      </c>
      <c r="BI240" s="8">
        <v>1.0</v>
      </c>
    </row>
    <row r="241" ht="15.0" customHeight="1">
      <c r="A241" s="8" t="s">
        <v>123</v>
      </c>
      <c r="B241" s="8" t="s">
        <v>182</v>
      </c>
      <c r="C241" s="8">
        <v>1.0</v>
      </c>
      <c r="G241" s="8">
        <v>1.0</v>
      </c>
      <c r="Z241" s="8">
        <v>1.0</v>
      </c>
      <c r="AC241" s="8">
        <v>1.0</v>
      </c>
      <c r="AS241" s="8">
        <v>1.0</v>
      </c>
      <c r="BA241" s="8">
        <v>1.0</v>
      </c>
      <c r="BI241" s="8">
        <v>1.0</v>
      </c>
      <c r="BL241" s="8">
        <v>1.0</v>
      </c>
    </row>
    <row r="242" ht="15.0" customHeight="1">
      <c r="A242" s="8" t="s">
        <v>123</v>
      </c>
      <c r="B242" s="8" t="s">
        <v>182</v>
      </c>
      <c r="C242" s="8">
        <v>1.0</v>
      </c>
      <c r="G242" s="8">
        <v>1.0</v>
      </c>
      <c r="Z242" s="8">
        <v>1.0</v>
      </c>
      <c r="AC242" s="8">
        <v>1.0</v>
      </c>
      <c r="AS242" s="8">
        <v>1.0</v>
      </c>
      <c r="BA242" s="8">
        <v>1.0</v>
      </c>
      <c r="BI242" s="8">
        <v>1.0</v>
      </c>
      <c r="BL242" s="8">
        <v>1.0</v>
      </c>
    </row>
    <row r="243" ht="15.0" customHeight="1">
      <c r="A243" s="8" t="s">
        <v>152</v>
      </c>
      <c r="B243" s="8" t="s">
        <v>182</v>
      </c>
      <c r="C243" s="8">
        <v>1.0</v>
      </c>
      <c r="F243" s="8">
        <v>1.0</v>
      </c>
      <c r="J243" s="8">
        <v>1.0</v>
      </c>
      <c r="AF243" s="8">
        <v>1.0</v>
      </c>
      <c r="AQ243" s="8">
        <v>1.0</v>
      </c>
      <c r="AV243" s="8">
        <v>1.0</v>
      </c>
      <c r="AX243" s="8">
        <v>1.0</v>
      </c>
      <c r="BI243" s="8">
        <v>1.0</v>
      </c>
      <c r="BS243" s="8">
        <v>1.0</v>
      </c>
      <c r="BT243" s="8">
        <v>1.0</v>
      </c>
    </row>
    <row r="244" ht="15.0" customHeight="1">
      <c r="A244" s="8" t="s">
        <v>100</v>
      </c>
      <c r="B244" s="8" t="s">
        <v>182</v>
      </c>
      <c r="C244" s="8">
        <v>1.0</v>
      </c>
      <c r="G244" s="8">
        <v>1.0</v>
      </c>
      <c r="I244" s="8">
        <v>1.0</v>
      </c>
      <c r="AQ244" s="8">
        <v>1.0</v>
      </c>
      <c r="BI244" s="8">
        <v>1.0</v>
      </c>
    </row>
    <row r="245" ht="15.0" customHeight="1">
      <c r="A245" s="8" t="s">
        <v>100</v>
      </c>
      <c r="B245" s="8" t="s">
        <v>182</v>
      </c>
      <c r="C245" s="8">
        <v>1.0</v>
      </c>
      <c r="G245" s="8">
        <v>1.0</v>
      </c>
      <c r="I245" s="8">
        <v>1.0</v>
      </c>
      <c r="AD245" s="8">
        <v>1.0</v>
      </c>
      <c r="AF245" s="8">
        <v>1.0</v>
      </c>
      <c r="AO245" s="8">
        <v>1.0</v>
      </c>
      <c r="AQ245" s="8">
        <v>1.0</v>
      </c>
      <c r="AX245" s="8">
        <v>1.0</v>
      </c>
      <c r="AZ245" s="8">
        <v>1.0</v>
      </c>
      <c r="BI245" s="8">
        <v>1.0</v>
      </c>
      <c r="BL245" s="8">
        <v>1.0</v>
      </c>
    </row>
    <row r="246" ht="15.0" customHeight="1">
      <c r="A246" s="8" t="s">
        <v>214</v>
      </c>
      <c r="B246" s="8" t="s">
        <v>182</v>
      </c>
      <c r="C246" s="8">
        <v>1.0</v>
      </c>
      <c r="G246" s="8">
        <v>1.0</v>
      </c>
      <c r="I246" s="8">
        <v>1.0</v>
      </c>
      <c r="AF246" s="8">
        <v>1.0</v>
      </c>
      <c r="AN246" s="8">
        <v>1.0</v>
      </c>
      <c r="AS246" s="8">
        <v>1.0</v>
      </c>
      <c r="AX246" s="8">
        <v>1.0</v>
      </c>
      <c r="BI246" s="8">
        <v>1.0</v>
      </c>
      <c r="BL246" s="8">
        <v>1.0</v>
      </c>
    </row>
    <row r="247" ht="15.0" customHeight="1">
      <c r="A247" s="8" t="s">
        <v>215</v>
      </c>
      <c r="B247" s="8" t="s">
        <v>182</v>
      </c>
      <c r="C247" s="8">
        <v>1.0</v>
      </c>
      <c r="R247" s="8">
        <v>1.0</v>
      </c>
      <c r="Z247" s="8">
        <v>1.0</v>
      </c>
      <c r="BI247" s="8">
        <v>1.0</v>
      </c>
    </row>
    <row r="248" ht="15.0" customHeight="1">
      <c r="A248" s="8" t="s">
        <v>215</v>
      </c>
      <c r="B248" s="8" t="s">
        <v>182</v>
      </c>
      <c r="C248" s="8">
        <v>1.0</v>
      </c>
      <c r="R248" s="8">
        <v>1.0</v>
      </c>
      <c r="BI248" s="8">
        <v>1.0</v>
      </c>
    </row>
    <row r="249" ht="15.0" customHeight="1">
      <c r="A249" s="8" t="s">
        <v>215</v>
      </c>
      <c r="B249" s="8" t="s">
        <v>182</v>
      </c>
      <c r="C249" s="8">
        <v>1.0</v>
      </c>
      <c r="J249" s="8">
        <v>1.0</v>
      </c>
      <c r="BI249" s="8">
        <v>1.0</v>
      </c>
    </row>
    <row r="250" ht="15.0" customHeight="1">
      <c r="A250" s="8" t="s">
        <v>215</v>
      </c>
      <c r="B250" s="8" t="s">
        <v>182</v>
      </c>
      <c r="C250" s="8">
        <v>1.0</v>
      </c>
      <c r="G250" s="8">
        <v>1.0</v>
      </c>
      <c r="J250" s="8">
        <v>1.0</v>
      </c>
      <c r="BI250" s="8">
        <v>1.0</v>
      </c>
    </row>
    <row r="251" ht="15.0" customHeight="1">
      <c r="A251" s="8" t="s">
        <v>215</v>
      </c>
      <c r="B251" s="8" t="s">
        <v>182</v>
      </c>
      <c r="C251" s="8">
        <v>1.0</v>
      </c>
      <c r="G251" s="8">
        <v>1.0</v>
      </c>
      <c r="J251" s="8">
        <v>1.0</v>
      </c>
      <c r="L251" s="8">
        <v>1.0</v>
      </c>
      <c r="R251" s="8">
        <v>1.0</v>
      </c>
      <c r="S251" s="8">
        <v>1.0</v>
      </c>
      <c r="Z251" s="8">
        <v>1.0</v>
      </c>
      <c r="AF251" s="8">
        <v>1.0</v>
      </c>
      <c r="AR251" s="8">
        <v>1.0</v>
      </c>
      <c r="AS251" s="8">
        <v>1.0</v>
      </c>
      <c r="AU251" s="8">
        <v>1.0</v>
      </c>
      <c r="AX251" s="8">
        <v>1.0</v>
      </c>
      <c r="BA251" s="8">
        <v>1.0</v>
      </c>
      <c r="BD251" s="8">
        <v>1.0</v>
      </c>
      <c r="BI251" s="8">
        <v>1.0</v>
      </c>
      <c r="BL251" s="8">
        <v>1.0</v>
      </c>
      <c r="BT251" s="8">
        <v>1.0</v>
      </c>
    </row>
    <row r="252" ht="15.0" customHeight="1">
      <c r="A252" s="8" t="s">
        <v>215</v>
      </c>
      <c r="B252" s="8" t="s">
        <v>182</v>
      </c>
      <c r="G252" s="8">
        <v>1.0</v>
      </c>
      <c r="AS252" s="8">
        <v>1.0</v>
      </c>
      <c r="AX252" s="8">
        <v>1.0</v>
      </c>
      <c r="BI252" s="8">
        <v>1.0</v>
      </c>
    </row>
    <row r="253" ht="15.0" customHeight="1">
      <c r="A253" s="8" t="s">
        <v>90</v>
      </c>
      <c r="B253" s="8" t="s">
        <v>182</v>
      </c>
      <c r="C253" s="8">
        <v>1.0</v>
      </c>
      <c r="G253" s="8">
        <v>1.0</v>
      </c>
      <c r="J253" s="8">
        <v>1.0</v>
      </c>
      <c r="AD253" s="8">
        <v>1.0</v>
      </c>
      <c r="AF253" s="8">
        <v>1.0</v>
      </c>
      <c r="AN253" s="8">
        <v>1.0</v>
      </c>
      <c r="AS253" s="8">
        <v>1.0</v>
      </c>
      <c r="BI253" s="8">
        <v>1.0</v>
      </c>
      <c r="BT253" s="8">
        <v>1.0</v>
      </c>
    </row>
    <row r="254" ht="15.0" customHeight="1">
      <c r="A254" s="8" t="s">
        <v>90</v>
      </c>
      <c r="B254" s="8" t="s">
        <v>182</v>
      </c>
      <c r="C254" s="8">
        <v>1.0</v>
      </c>
      <c r="J254" s="8">
        <v>1.0</v>
      </c>
      <c r="AD254" s="8">
        <v>1.0</v>
      </c>
      <c r="AN254" s="8">
        <v>1.0</v>
      </c>
      <c r="AQ254" s="8">
        <v>1.0</v>
      </c>
      <c r="AS254" s="8">
        <v>1.0</v>
      </c>
      <c r="AX254" s="8">
        <v>1.0</v>
      </c>
      <c r="BG254" s="8">
        <v>1.0</v>
      </c>
      <c r="BI254" s="8">
        <v>1.0</v>
      </c>
      <c r="BL254" s="8">
        <v>1.0</v>
      </c>
      <c r="BM254" s="8">
        <v>1.0</v>
      </c>
    </row>
    <row r="255" ht="15.0" customHeight="1">
      <c r="A255" s="8" t="s">
        <v>90</v>
      </c>
      <c r="B255" s="8" t="s">
        <v>182</v>
      </c>
      <c r="C255" s="8">
        <v>1.0</v>
      </c>
      <c r="I255" s="8">
        <v>1.0</v>
      </c>
      <c r="AI255" s="8">
        <v>1.0</v>
      </c>
      <c r="AS255" s="8">
        <v>1.0</v>
      </c>
      <c r="AZ255" s="8">
        <v>1.0</v>
      </c>
      <c r="BL255" s="8">
        <v>1.0</v>
      </c>
    </row>
    <row r="256" ht="15.0" customHeight="1">
      <c r="A256" s="8" t="s">
        <v>90</v>
      </c>
      <c r="B256" s="8" t="s">
        <v>182</v>
      </c>
      <c r="C256" s="8">
        <v>1.0</v>
      </c>
      <c r="J256" s="8">
        <v>1.0</v>
      </c>
      <c r="AD256" s="8">
        <v>1.0</v>
      </c>
      <c r="AN256" s="8">
        <v>1.0</v>
      </c>
      <c r="AQ256" s="8">
        <v>1.0</v>
      </c>
      <c r="AS256" s="8">
        <v>1.0</v>
      </c>
      <c r="AX256" s="8">
        <v>1.0</v>
      </c>
      <c r="BG256" s="8">
        <v>1.0</v>
      </c>
      <c r="BI256" s="8">
        <v>1.0</v>
      </c>
      <c r="BL256" s="8">
        <v>1.0</v>
      </c>
      <c r="BM256" s="8">
        <v>1.0</v>
      </c>
    </row>
    <row r="257" ht="15.0" customHeight="1">
      <c r="A257" s="8" t="s">
        <v>90</v>
      </c>
      <c r="B257" s="8" t="s">
        <v>182</v>
      </c>
      <c r="C257" s="8">
        <v>1.0</v>
      </c>
      <c r="I257" s="8">
        <v>1.0</v>
      </c>
      <c r="AC257" s="8">
        <v>1.0</v>
      </c>
      <c r="AD257" s="8">
        <v>1.0</v>
      </c>
      <c r="AF257" s="8">
        <v>1.0</v>
      </c>
      <c r="AM257" s="8">
        <v>1.0</v>
      </c>
      <c r="AN257" s="8">
        <v>1.0</v>
      </c>
      <c r="AQ257" s="8">
        <v>1.0</v>
      </c>
      <c r="AS257" s="8">
        <v>1.0</v>
      </c>
      <c r="AX257" s="8">
        <v>1.0</v>
      </c>
      <c r="AY257" s="8">
        <v>1.0</v>
      </c>
      <c r="AZ257" s="8">
        <v>1.0</v>
      </c>
      <c r="BG257" s="8">
        <v>1.0</v>
      </c>
      <c r="BI257" s="8">
        <v>1.0</v>
      </c>
      <c r="BJ257" s="8">
        <v>1.0</v>
      </c>
      <c r="BL257" s="8">
        <v>1.0</v>
      </c>
      <c r="BM257" s="8">
        <v>1.0</v>
      </c>
      <c r="BS257" s="8">
        <v>1.0</v>
      </c>
    </row>
    <row r="258" ht="15.0" customHeight="1">
      <c r="A258" s="8" t="s">
        <v>124</v>
      </c>
      <c r="B258" s="8" t="s">
        <v>182</v>
      </c>
      <c r="BI258" s="8">
        <v>1.0</v>
      </c>
      <c r="BM258" s="8">
        <v>1.0</v>
      </c>
    </row>
    <row r="259" ht="15.0" customHeight="1">
      <c r="A259" s="8" t="s">
        <v>216</v>
      </c>
      <c r="B259" s="8" t="s">
        <v>182</v>
      </c>
      <c r="C259" s="8">
        <v>1.0</v>
      </c>
      <c r="AN259" s="8">
        <v>1.0</v>
      </c>
      <c r="BI259" s="8">
        <v>1.0</v>
      </c>
    </row>
    <row r="260" ht="15.0" customHeight="1">
      <c r="A260" s="8" t="s">
        <v>216</v>
      </c>
      <c r="B260" s="8" t="s">
        <v>182</v>
      </c>
      <c r="C260" s="8">
        <v>1.0</v>
      </c>
      <c r="AN260" s="8">
        <v>1.0</v>
      </c>
      <c r="BI260" s="8">
        <v>1.0</v>
      </c>
    </row>
    <row r="261" ht="15.0" customHeight="1">
      <c r="A261" s="8" t="s">
        <v>216</v>
      </c>
      <c r="B261" s="8" t="s">
        <v>182</v>
      </c>
      <c r="C261" s="8">
        <v>1.0</v>
      </c>
      <c r="E261" s="8">
        <v>1.0</v>
      </c>
      <c r="Z261" s="8">
        <v>1.0</v>
      </c>
      <c r="AF261" s="8">
        <v>1.0</v>
      </c>
      <c r="AN261" s="8">
        <v>1.0</v>
      </c>
      <c r="AQ261" s="8">
        <v>1.0</v>
      </c>
      <c r="BI261" s="8">
        <v>1.0</v>
      </c>
      <c r="BO261" s="8">
        <v>1.0</v>
      </c>
      <c r="BS261" s="8">
        <v>1.0</v>
      </c>
    </row>
    <row r="262" ht="15.0" customHeight="1">
      <c r="A262" s="8" t="s">
        <v>216</v>
      </c>
      <c r="B262" s="8" t="s">
        <v>182</v>
      </c>
      <c r="C262" s="8">
        <v>1.0</v>
      </c>
      <c r="D262" s="8">
        <v>1.0</v>
      </c>
      <c r="AF262" s="8">
        <v>1.0</v>
      </c>
      <c r="AQ262" s="8">
        <v>1.0</v>
      </c>
      <c r="BS262" s="8">
        <v>1.0</v>
      </c>
    </row>
    <row r="263" ht="15.0" customHeight="1">
      <c r="A263" s="8" t="s">
        <v>217</v>
      </c>
      <c r="B263" s="8" t="s">
        <v>182</v>
      </c>
      <c r="C263" s="8">
        <v>1.0</v>
      </c>
      <c r="G263" s="8">
        <v>1.0</v>
      </c>
      <c r="I263" s="8">
        <v>1.0</v>
      </c>
      <c r="J263" s="8">
        <v>1.0</v>
      </c>
      <c r="AX263" s="8">
        <v>1.0</v>
      </c>
      <c r="BI263" s="8">
        <v>1.0</v>
      </c>
      <c r="BL263" s="8">
        <v>1.0</v>
      </c>
    </row>
    <row r="264" ht="15.0" customHeight="1">
      <c r="A264" s="8" t="s">
        <v>130</v>
      </c>
      <c r="B264" s="8" t="s">
        <v>182</v>
      </c>
      <c r="BB264" s="8">
        <v>1.0</v>
      </c>
      <c r="BI264" s="8">
        <v>1.0</v>
      </c>
      <c r="BT264" s="8">
        <v>1.0</v>
      </c>
    </row>
    <row r="265" ht="15.0" customHeight="1">
      <c r="A265" s="8" t="s">
        <v>130</v>
      </c>
      <c r="B265" s="8" t="s">
        <v>182</v>
      </c>
      <c r="AF265" s="8">
        <v>1.0</v>
      </c>
      <c r="BI265" s="8">
        <v>1.0</v>
      </c>
    </row>
    <row r="266" ht="15.0" customHeight="1">
      <c r="A266" s="8" t="s">
        <v>130</v>
      </c>
      <c r="B266" s="8" t="s">
        <v>182</v>
      </c>
      <c r="AF266" s="8">
        <v>1.0</v>
      </c>
      <c r="BI266" s="8">
        <v>1.0</v>
      </c>
    </row>
    <row r="267" ht="15.0" customHeight="1">
      <c r="A267" s="8" t="s">
        <v>101</v>
      </c>
      <c r="B267" s="8" t="s">
        <v>182</v>
      </c>
      <c r="C267" s="8">
        <v>1.0</v>
      </c>
      <c r="G267" s="8">
        <v>1.0</v>
      </c>
      <c r="O267" s="8">
        <v>1.0</v>
      </c>
      <c r="R267" s="8">
        <v>1.0</v>
      </c>
      <c r="AF267" s="8">
        <v>1.0</v>
      </c>
    </row>
    <row r="268" ht="15.0" customHeight="1">
      <c r="A268" s="8" t="s">
        <v>101</v>
      </c>
      <c r="B268" s="8" t="s">
        <v>182</v>
      </c>
      <c r="C268" s="8">
        <v>1.0</v>
      </c>
      <c r="G268" s="8">
        <v>1.0</v>
      </c>
      <c r="O268" s="8">
        <v>1.0</v>
      </c>
      <c r="AD268" s="8">
        <v>1.0</v>
      </c>
      <c r="AN268" s="8">
        <v>1.0</v>
      </c>
    </row>
    <row r="269" ht="15.0" customHeight="1">
      <c r="A269" s="8" t="s">
        <v>101</v>
      </c>
      <c r="B269" s="8" t="s">
        <v>182</v>
      </c>
      <c r="C269" s="8">
        <v>1.0</v>
      </c>
      <c r="G269" s="8">
        <v>1.0</v>
      </c>
      <c r="AD269" s="8">
        <v>1.0</v>
      </c>
      <c r="AN269" s="8">
        <v>1.0</v>
      </c>
      <c r="AS269" s="8">
        <v>1.0</v>
      </c>
      <c r="AZ269" s="8">
        <v>1.0</v>
      </c>
      <c r="BI269" s="8">
        <v>1.0</v>
      </c>
      <c r="BJ269" s="8">
        <v>1.0</v>
      </c>
      <c r="BP269" s="8">
        <v>1.0</v>
      </c>
    </row>
    <row r="270" ht="15.0" customHeight="1">
      <c r="A270" s="8" t="s">
        <v>218</v>
      </c>
      <c r="B270" s="8" t="s">
        <v>182</v>
      </c>
      <c r="C270" s="8">
        <v>1.0</v>
      </c>
      <c r="G270" s="8">
        <v>1.0</v>
      </c>
      <c r="S270" s="8">
        <v>1.0</v>
      </c>
      <c r="AN270" s="8">
        <v>1.0</v>
      </c>
      <c r="AP270" s="8">
        <v>1.0</v>
      </c>
      <c r="BI270" s="8">
        <v>1.0</v>
      </c>
      <c r="BM270" s="8">
        <v>1.0</v>
      </c>
    </row>
    <row r="271" ht="15.0" customHeight="1">
      <c r="A271" s="8" t="s">
        <v>218</v>
      </c>
      <c r="B271" s="8" t="s">
        <v>182</v>
      </c>
      <c r="C271" s="8">
        <v>1.0</v>
      </c>
      <c r="J271" s="8">
        <v>1.0</v>
      </c>
      <c r="AN271" s="8">
        <v>1.0</v>
      </c>
      <c r="BI271" s="8">
        <v>1.0</v>
      </c>
      <c r="BK271" s="8">
        <v>1.0</v>
      </c>
      <c r="BM271" s="8">
        <v>1.0</v>
      </c>
    </row>
    <row r="272" ht="15.0" customHeight="1">
      <c r="A272" s="8" t="s">
        <v>218</v>
      </c>
      <c r="B272" s="8" t="s">
        <v>182</v>
      </c>
      <c r="C272" s="8">
        <v>1.0</v>
      </c>
      <c r="G272" s="8">
        <v>1.0</v>
      </c>
      <c r="U272" s="8">
        <v>1.0</v>
      </c>
      <c r="AF272" s="8">
        <v>1.0</v>
      </c>
      <c r="AN272" s="8">
        <v>1.0</v>
      </c>
      <c r="BK272" s="8">
        <v>1.0</v>
      </c>
      <c r="BL272" s="8">
        <v>1.0</v>
      </c>
      <c r="BM272" s="8">
        <v>1.0</v>
      </c>
      <c r="BS272" s="8">
        <v>1.0</v>
      </c>
    </row>
    <row r="273" ht="15.0" customHeight="1">
      <c r="A273" s="8" t="s">
        <v>102</v>
      </c>
      <c r="B273" s="8" t="s">
        <v>182</v>
      </c>
      <c r="D273" s="8">
        <v>1.0</v>
      </c>
      <c r="G273" s="8">
        <v>1.0</v>
      </c>
      <c r="I273" s="8">
        <v>1.0</v>
      </c>
      <c r="J273" s="8">
        <v>1.0</v>
      </c>
      <c r="O273" s="8">
        <v>1.0</v>
      </c>
      <c r="AD273" s="8">
        <v>1.0</v>
      </c>
      <c r="AF273" s="8">
        <v>1.0</v>
      </c>
      <c r="AN273" s="8">
        <v>1.0</v>
      </c>
      <c r="AO273" s="8">
        <v>1.0</v>
      </c>
      <c r="AS273" s="8">
        <v>1.0</v>
      </c>
      <c r="AX273" s="8">
        <v>1.0</v>
      </c>
      <c r="BI273" s="8">
        <v>1.0</v>
      </c>
      <c r="BL273" s="8">
        <v>1.0</v>
      </c>
      <c r="BM273" s="8">
        <v>1.0</v>
      </c>
      <c r="BR273" s="8">
        <v>1.0</v>
      </c>
      <c r="BS273" s="8">
        <v>1.0</v>
      </c>
    </row>
    <row r="274" ht="15.0" customHeight="1">
      <c r="A274" s="8" t="s">
        <v>102</v>
      </c>
      <c r="B274" s="8" t="s">
        <v>182</v>
      </c>
      <c r="G274" s="8">
        <v>1.0</v>
      </c>
      <c r="I274" s="8">
        <v>1.0</v>
      </c>
      <c r="J274" s="8">
        <v>1.0</v>
      </c>
      <c r="AD274" s="8">
        <v>1.0</v>
      </c>
      <c r="AF274" s="8">
        <v>1.0</v>
      </c>
      <c r="AN274" s="8">
        <v>1.0</v>
      </c>
      <c r="AS274" s="8">
        <v>1.0</v>
      </c>
      <c r="AX274" s="8">
        <v>1.0</v>
      </c>
      <c r="BI274" s="8">
        <v>1.0</v>
      </c>
    </row>
    <row r="275" ht="15.0" customHeight="1">
      <c r="A275" s="8" t="s">
        <v>102</v>
      </c>
      <c r="B275" s="8" t="s">
        <v>182</v>
      </c>
      <c r="G275" s="8">
        <v>1.0</v>
      </c>
      <c r="I275" s="8">
        <v>1.0</v>
      </c>
      <c r="J275" s="8">
        <v>1.0</v>
      </c>
      <c r="AD275" s="8">
        <v>1.0</v>
      </c>
      <c r="AF275" s="8">
        <v>1.0</v>
      </c>
      <c r="AN275" s="8">
        <v>1.0</v>
      </c>
      <c r="AS275" s="8">
        <v>1.0</v>
      </c>
      <c r="AX275" s="8">
        <v>1.0</v>
      </c>
      <c r="BI275" s="8">
        <v>1.0</v>
      </c>
    </row>
    <row r="276" ht="15.0" customHeight="1">
      <c r="A276" s="8" t="s">
        <v>219</v>
      </c>
      <c r="B276" s="8" t="s">
        <v>182</v>
      </c>
      <c r="C276" s="8">
        <v>1.0</v>
      </c>
      <c r="G276" s="8">
        <v>1.0</v>
      </c>
      <c r="BI276" s="8">
        <v>1.0</v>
      </c>
    </row>
    <row r="277" ht="15.0" customHeight="1">
      <c r="A277" s="8" t="s">
        <v>219</v>
      </c>
      <c r="B277" s="8" t="s">
        <v>182</v>
      </c>
      <c r="C277" s="8">
        <v>1.0</v>
      </c>
      <c r="G277" s="8">
        <v>1.0</v>
      </c>
      <c r="BA277" s="8">
        <v>1.0</v>
      </c>
      <c r="BI277" s="8">
        <v>1.0</v>
      </c>
      <c r="BS277" s="8">
        <v>1.0</v>
      </c>
    </row>
    <row r="278" ht="15.0" customHeight="1">
      <c r="A278" s="8" t="s">
        <v>219</v>
      </c>
      <c r="B278" s="8" t="s">
        <v>182</v>
      </c>
      <c r="C278" s="8">
        <v>1.0</v>
      </c>
      <c r="G278" s="8">
        <v>1.0</v>
      </c>
      <c r="J278" s="8">
        <v>1.0</v>
      </c>
      <c r="AF278" s="8">
        <v>1.0</v>
      </c>
      <c r="AN278" s="8">
        <v>1.0</v>
      </c>
      <c r="AQ278" s="8">
        <v>1.0</v>
      </c>
      <c r="BA278" s="8">
        <v>1.0</v>
      </c>
      <c r="BI278" s="8">
        <v>1.0</v>
      </c>
      <c r="BS278" s="8">
        <v>1.0</v>
      </c>
      <c r="BT278" s="8">
        <v>1.0</v>
      </c>
    </row>
    <row r="279" ht="15.0" customHeight="1">
      <c r="A279" s="8" t="s">
        <v>219</v>
      </c>
      <c r="B279" s="8" t="s">
        <v>182</v>
      </c>
      <c r="C279" s="8">
        <v>1.0</v>
      </c>
      <c r="G279" s="8">
        <v>1.0</v>
      </c>
      <c r="J279" s="8">
        <v>1.0</v>
      </c>
      <c r="AE279" s="8">
        <v>1.0</v>
      </c>
      <c r="AF279" s="8">
        <v>1.0</v>
      </c>
      <c r="AN279" s="8">
        <v>1.0</v>
      </c>
      <c r="AO279" s="8">
        <v>1.0</v>
      </c>
      <c r="AQ279" s="8">
        <v>1.0</v>
      </c>
      <c r="BA279" s="8">
        <v>1.0</v>
      </c>
      <c r="BI279" s="8">
        <v>1.0</v>
      </c>
      <c r="BS279" s="8">
        <v>1.0</v>
      </c>
      <c r="BT279" s="8">
        <v>1.0</v>
      </c>
    </row>
    <row r="280" ht="15.0" customHeight="1">
      <c r="A280" s="8" t="s">
        <v>219</v>
      </c>
      <c r="B280" s="8" t="s">
        <v>182</v>
      </c>
      <c r="C280" s="8">
        <v>1.0</v>
      </c>
      <c r="G280" s="8">
        <v>1.0</v>
      </c>
      <c r="AE280" s="8">
        <v>1.0</v>
      </c>
      <c r="AX280" s="8">
        <v>1.0</v>
      </c>
      <c r="BS280" s="8">
        <v>1.0</v>
      </c>
    </row>
    <row r="281" ht="15.0" customHeight="1">
      <c r="A281" s="8" t="s">
        <v>219</v>
      </c>
      <c r="B281" s="8" t="s">
        <v>182</v>
      </c>
      <c r="C281" s="8">
        <v>1.0</v>
      </c>
      <c r="G281" s="8">
        <v>1.0</v>
      </c>
      <c r="AE281" s="8">
        <v>1.0</v>
      </c>
      <c r="AO281" s="8">
        <v>1.0</v>
      </c>
      <c r="AS281" s="8">
        <v>1.0</v>
      </c>
      <c r="AX281" s="8">
        <v>1.0</v>
      </c>
      <c r="BI281" s="8">
        <v>1.0</v>
      </c>
      <c r="BS281" s="8">
        <v>1.0</v>
      </c>
    </row>
    <row r="282" ht="15.0" customHeight="1">
      <c r="A282" s="8" t="s">
        <v>92</v>
      </c>
      <c r="B282" s="8" t="s">
        <v>182</v>
      </c>
      <c r="C282" s="8">
        <v>1.0</v>
      </c>
      <c r="J282" s="8">
        <v>1.0</v>
      </c>
      <c r="BL282" s="8">
        <v>1.0</v>
      </c>
    </row>
    <row r="283" ht="15.0" customHeight="1">
      <c r="A283" s="8" t="s">
        <v>92</v>
      </c>
      <c r="B283" s="8" t="s">
        <v>182</v>
      </c>
      <c r="C283" s="8">
        <v>1.0</v>
      </c>
      <c r="BL283" s="8">
        <v>1.0</v>
      </c>
    </row>
    <row r="284" ht="15.0" customHeight="1">
      <c r="A284" s="8" t="s">
        <v>92</v>
      </c>
      <c r="B284" s="8" t="s">
        <v>182</v>
      </c>
      <c r="C284" s="8">
        <v>1.0</v>
      </c>
      <c r="BL284" s="8">
        <v>1.0</v>
      </c>
    </row>
    <row r="285" ht="15.0" customHeight="1">
      <c r="A285" s="8" t="s">
        <v>92</v>
      </c>
      <c r="B285" s="8" t="s">
        <v>182</v>
      </c>
      <c r="C285" s="8">
        <v>1.0</v>
      </c>
      <c r="AQ285" s="8">
        <v>1.0</v>
      </c>
      <c r="AS285" s="8">
        <v>1.0</v>
      </c>
      <c r="BI285" s="8">
        <v>1.0</v>
      </c>
      <c r="BL285" s="8">
        <v>1.0</v>
      </c>
    </row>
    <row r="286" ht="15.0" customHeight="1">
      <c r="A286" s="8" t="s">
        <v>92</v>
      </c>
      <c r="B286" s="8" t="s">
        <v>182</v>
      </c>
      <c r="C286" s="8">
        <v>1.0</v>
      </c>
      <c r="G286" s="8">
        <v>1.0</v>
      </c>
      <c r="AS286" s="8">
        <v>1.0</v>
      </c>
      <c r="AX286" s="8">
        <v>1.0</v>
      </c>
      <c r="BI286" s="8">
        <v>1.0</v>
      </c>
    </row>
    <row r="287" ht="15.0" customHeight="1">
      <c r="A287" s="8" t="s">
        <v>131</v>
      </c>
      <c r="B287" s="8" t="s">
        <v>182</v>
      </c>
      <c r="C287" s="8">
        <v>1.0</v>
      </c>
      <c r="J287" s="8">
        <v>1.0</v>
      </c>
      <c r="R287" s="8">
        <v>1.0</v>
      </c>
      <c r="Z287" s="8">
        <v>1.0</v>
      </c>
      <c r="AN287" s="8">
        <v>1.0</v>
      </c>
      <c r="BQ287" s="8">
        <v>1.0</v>
      </c>
    </row>
    <row r="288" ht="15.0" customHeight="1">
      <c r="A288" s="8" t="s">
        <v>131</v>
      </c>
      <c r="B288" s="8" t="s">
        <v>182</v>
      </c>
      <c r="C288" s="8">
        <v>1.0</v>
      </c>
      <c r="G288" s="8">
        <v>1.0</v>
      </c>
      <c r="Z288" s="8">
        <v>1.0</v>
      </c>
      <c r="AE288" s="8">
        <v>1.0</v>
      </c>
      <c r="AN288" s="8">
        <v>1.0</v>
      </c>
      <c r="BL288" s="8">
        <v>1.0</v>
      </c>
      <c r="BQ288" s="8">
        <v>1.0</v>
      </c>
    </row>
    <row r="289" ht="15.0" customHeight="1">
      <c r="A289" s="8" t="s">
        <v>220</v>
      </c>
      <c r="B289" s="8" t="s">
        <v>182</v>
      </c>
      <c r="C289" s="8">
        <v>1.0</v>
      </c>
      <c r="G289" s="8">
        <v>1.0</v>
      </c>
      <c r="J289" s="8">
        <v>1.0</v>
      </c>
      <c r="Z289" s="8">
        <v>1.0</v>
      </c>
      <c r="AD289" s="8">
        <v>1.0</v>
      </c>
      <c r="AE289" s="8">
        <v>1.0</v>
      </c>
      <c r="AF289" s="8">
        <v>1.0</v>
      </c>
      <c r="BI289" s="8">
        <v>1.0</v>
      </c>
      <c r="BL289" s="8">
        <v>1.0</v>
      </c>
      <c r="BS289" s="8">
        <v>1.0</v>
      </c>
      <c r="BT289" s="8">
        <v>1.0</v>
      </c>
    </row>
    <row r="290" ht="15.0" customHeight="1">
      <c r="A290" s="8" t="s">
        <v>93</v>
      </c>
      <c r="B290" s="8" t="s">
        <v>182</v>
      </c>
      <c r="C290" s="8">
        <v>1.0</v>
      </c>
      <c r="G290" s="8">
        <v>1.0</v>
      </c>
      <c r="J290" s="8">
        <v>1.0</v>
      </c>
      <c r="R290" s="8">
        <v>1.0</v>
      </c>
      <c r="AF290" s="8">
        <v>1.0</v>
      </c>
      <c r="AQ290" s="8">
        <v>1.0</v>
      </c>
      <c r="AS290" s="8">
        <v>1.0</v>
      </c>
      <c r="AZ290" s="8">
        <v>1.0</v>
      </c>
      <c r="BI290" s="8">
        <v>1.0</v>
      </c>
      <c r="BL290" s="8">
        <v>1.0</v>
      </c>
      <c r="BT290" s="8">
        <v>1.0</v>
      </c>
    </row>
    <row r="291" ht="15.0" customHeight="1">
      <c r="A291" s="8" t="s">
        <v>93</v>
      </c>
      <c r="B291" s="8" t="s">
        <v>182</v>
      </c>
      <c r="C291" s="8">
        <v>1.0</v>
      </c>
      <c r="G291" s="8">
        <v>1.0</v>
      </c>
      <c r="K291" s="8">
        <v>1.0</v>
      </c>
      <c r="R291" s="8">
        <v>1.0</v>
      </c>
      <c r="AC291" s="8">
        <v>1.0</v>
      </c>
      <c r="AD291" s="8">
        <v>1.0</v>
      </c>
      <c r="AF291" s="8">
        <v>1.0</v>
      </c>
      <c r="AN291" s="8">
        <v>1.0</v>
      </c>
      <c r="AO291" s="8">
        <v>1.0</v>
      </c>
      <c r="AQ291" s="8">
        <v>1.0</v>
      </c>
      <c r="AS291" s="8">
        <v>1.0</v>
      </c>
      <c r="AX291" s="8">
        <v>1.0</v>
      </c>
      <c r="AY291" s="8">
        <v>1.0</v>
      </c>
      <c r="AZ291" s="8">
        <v>1.0</v>
      </c>
      <c r="BA291" s="8">
        <v>1.0</v>
      </c>
      <c r="BG291" s="8">
        <v>1.0</v>
      </c>
      <c r="BI291" s="8">
        <v>1.0</v>
      </c>
      <c r="BJ291" s="8">
        <v>1.0</v>
      </c>
      <c r="BL291" s="8">
        <v>1.0</v>
      </c>
      <c r="BS291" s="8">
        <v>1.0</v>
      </c>
      <c r="BT291" s="8">
        <v>1.0</v>
      </c>
    </row>
    <row r="292" ht="15.0" customHeight="1">
      <c r="A292" s="8" t="s">
        <v>93</v>
      </c>
      <c r="B292" s="8" t="s">
        <v>182</v>
      </c>
      <c r="C292" s="8">
        <v>1.0</v>
      </c>
      <c r="G292" s="8">
        <v>1.0</v>
      </c>
      <c r="R292" s="8">
        <v>1.0</v>
      </c>
      <c r="AD292" s="8">
        <v>1.0</v>
      </c>
      <c r="AF292" s="8">
        <v>1.0</v>
      </c>
      <c r="AQ292" s="8">
        <v>1.0</v>
      </c>
      <c r="AS292" s="8">
        <v>1.0</v>
      </c>
      <c r="AX292" s="8">
        <v>1.0</v>
      </c>
      <c r="BI292" s="8">
        <v>1.0</v>
      </c>
      <c r="BJ292" s="8">
        <v>1.0</v>
      </c>
      <c r="BL292" s="8">
        <v>1.0</v>
      </c>
      <c r="BS292" s="8">
        <v>1.0</v>
      </c>
    </row>
    <row r="293" ht="15.0" customHeight="1">
      <c r="A293" s="8" t="s">
        <v>221</v>
      </c>
      <c r="B293" s="8" t="s">
        <v>182</v>
      </c>
      <c r="C293" s="8">
        <v>1.0</v>
      </c>
      <c r="I293" s="8">
        <v>1.0</v>
      </c>
      <c r="AD293" s="8">
        <v>1.0</v>
      </c>
      <c r="AX293" s="8">
        <v>1.0</v>
      </c>
    </row>
    <row r="294" ht="15.0" customHeight="1">
      <c r="A294" s="8" t="s">
        <v>221</v>
      </c>
      <c r="B294" s="8" t="s">
        <v>182</v>
      </c>
      <c r="C294" s="8">
        <v>1.0</v>
      </c>
      <c r="G294" s="8">
        <v>1.0</v>
      </c>
      <c r="I294" s="8">
        <v>1.0</v>
      </c>
      <c r="J294" s="8">
        <v>1.0</v>
      </c>
      <c r="AD294" s="8">
        <v>1.0</v>
      </c>
      <c r="AQ294" s="8">
        <v>1.0</v>
      </c>
      <c r="AX294" s="8">
        <v>1.0</v>
      </c>
    </row>
    <row r="295" ht="15.0" customHeight="1">
      <c r="A295" s="8" t="s">
        <v>116</v>
      </c>
      <c r="B295" s="8" t="s">
        <v>182</v>
      </c>
      <c r="C295" s="8">
        <v>1.0</v>
      </c>
      <c r="E295" s="8">
        <v>1.0</v>
      </c>
      <c r="AN295" s="8">
        <v>1.0</v>
      </c>
      <c r="BC295" s="8">
        <v>1.0</v>
      </c>
      <c r="BS295" s="8">
        <v>1.0</v>
      </c>
    </row>
    <row r="296" ht="15.0" customHeight="1">
      <c r="A296" s="8" t="s">
        <v>116</v>
      </c>
      <c r="B296" s="8" t="s">
        <v>182</v>
      </c>
      <c r="C296" s="8">
        <v>1.0</v>
      </c>
      <c r="I296" s="8">
        <v>1.0</v>
      </c>
    </row>
    <row r="297" ht="15.0" customHeight="1">
      <c r="A297" s="8" t="s">
        <v>116</v>
      </c>
      <c r="B297" s="8" t="s">
        <v>182</v>
      </c>
      <c r="C297" s="8">
        <v>1.0</v>
      </c>
      <c r="I297" s="8">
        <v>1.0</v>
      </c>
      <c r="AN297" s="8">
        <v>1.0</v>
      </c>
    </row>
    <row r="298" ht="15.0" customHeight="1">
      <c r="A298" s="8" t="s">
        <v>116</v>
      </c>
      <c r="B298" s="8" t="s">
        <v>182</v>
      </c>
      <c r="C298" s="8">
        <v>1.0</v>
      </c>
      <c r="I298" s="8">
        <v>1.0</v>
      </c>
      <c r="J298" s="8">
        <v>1.0</v>
      </c>
      <c r="AN298" s="8">
        <v>1.0</v>
      </c>
      <c r="BS298" s="8">
        <v>1.0</v>
      </c>
    </row>
    <row r="299" ht="15.0" customHeight="1">
      <c r="A299" s="8" t="s">
        <v>116</v>
      </c>
      <c r="B299" s="8" t="s">
        <v>182</v>
      </c>
      <c r="C299" s="8">
        <v>1.0</v>
      </c>
      <c r="I299" s="8">
        <v>1.0</v>
      </c>
      <c r="J299" s="8">
        <v>1.0</v>
      </c>
      <c r="O299" s="8">
        <v>1.0</v>
      </c>
      <c r="AF299" s="8">
        <v>1.0</v>
      </c>
      <c r="AN299" s="8">
        <v>1.0</v>
      </c>
      <c r="AS299" s="8">
        <v>1.0</v>
      </c>
      <c r="BI299" s="8">
        <v>1.0</v>
      </c>
    </row>
    <row r="300" ht="15.0" customHeight="1">
      <c r="A300" s="8" t="s">
        <v>176</v>
      </c>
      <c r="B300" s="8" t="s">
        <v>182</v>
      </c>
      <c r="C300" s="8">
        <v>1.0</v>
      </c>
      <c r="AA300" s="8">
        <v>1.0</v>
      </c>
      <c r="AW300" s="8">
        <v>1.0</v>
      </c>
      <c r="BI300" s="8">
        <v>1.0</v>
      </c>
      <c r="BL300" s="8">
        <v>1.0</v>
      </c>
    </row>
    <row r="301" ht="15.0" customHeight="1">
      <c r="A301" s="8" t="s">
        <v>176</v>
      </c>
      <c r="B301" s="8" t="s">
        <v>182</v>
      </c>
      <c r="C301" s="8">
        <v>1.0</v>
      </c>
      <c r="G301" s="8">
        <v>1.0</v>
      </c>
      <c r="I301" s="8">
        <v>1.0</v>
      </c>
      <c r="W301" s="8">
        <v>1.0</v>
      </c>
      <c r="AD301" s="8">
        <v>1.0</v>
      </c>
      <c r="AF301" s="8">
        <v>1.0</v>
      </c>
      <c r="AM301" s="8">
        <v>1.0</v>
      </c>
      <c r="AN301" s="8">
        <v>1.0</v>
      </c>
      <c r="AQ301" s="8">
        <v>1.0</v>
      </c>
      <c r="AS301" s="8">
        <v>1.0</v>
      </c>
      <c r="AX301" s="8">
        <v>1.0</v>
      </c>
      <c r="AZ301" s="8">
        <v>1.0</v>
      </c>
      <c r="BG301" s="8">
        <v>1.0</v>
      </c>
      <c r="BI301" s="8">
        <v>1.0</v>
      </c>
      <c r="BJ301" s="8">
        <v>1.0</v>
      </c>
      <c r="BL301" s="8">
        <v>1.0</v>
      </c>
      <c r="BP301" s="8">
        <v>1.0</v>
      </c>
    </row>
    <row r="302" ht="15.0" customHeight="1">
      <c r="A302" s="8" t="s">
        <v>222</v>
      </c>
      <c r="B302" s="8" t="s">
        <v>182</v>
      </c>
      <c r="C302" s="8">
        <v>1.0</v>
      </c>
      <c r="J302" s="8">
        <v>1.0</v>
      </c>
      <c r="AF302" s="8">
        <v>1.0</v>
      </c>
      <c r="AS302" s="8">
        <v>1.0</v>
      </c>
      <c r="BI302" s="8">
        <v>1.0</v>
      </c>
      <c r="BL302" s="8">
        <v>1.0</v>
      </c>
    </row>
    <row r="303" ht="15.0" customHeight="1">
      <c r="A303" s="8" t="s">
        <v>222</v>
      </c>
      <c r="B303" s="8" t="s">
        <v>182</v>
      </c>
      <c r="C303" s="8">
        <v>1.0</v>
      </c>
      <c r="G303" s="8">
        <v>1.0</v>
      </c>
      <c r="Q303" s="8">
        <v>1.0</v>
      </c>
      <c r="R303" s="8">
        <v>1.0</v>
      </c>
      <c r="AD303" s="8">
        <v>1.0</v>
      </c>
      <c r="AF303" s="8">
        <v>1.0</v>
      </c>
      <c r="AQ303" s="8">
        <v>1.0</v>
      </c>
      <c r="AS303" s="8">
        <v>1.0</v>
      </c>
      <c r="BI303" s="8">
        <v>1.0</v>
      </c>
      <c r="BL303" s="8">
        <v>1.0</v>
      </c>
    </row>
    <row r="304" ht="15.0" customHeight="1">
      <c r="A304" s="8" t="s">
        <v>108</v>
      </c>
      <c r="B304" s="8" t="s">
        <v>182</v>
      </c>
      <c r="C304" s="8">
        <v>1.0</v>
      </c>
      <c r="G304" s="8">
        <v>1.0</v>
      </c>
      <c r="I304" s="8">
        <v>1.0</v>
      </c>
      <c r="AW304" s="8">
        <v>1.0</v>
      </c>
      <c r="BL304" s="8">
        <v>1.0</v>
      </c>
    </row>
    <row r="305" ht="15.0" customHeight="1">
      <c r="A305" s="8" t="s">
        <v>108</v>
      </c>
      <c r="B305" s="8" t="s">
        <v>182</v>
      </c>
      <c r="C305" s="8">
        <v>1.0</v>
      </c>
      <c r="I305" s="8">
        <v>1.0</v>
      </c>
      <c r="AQ305" s="8">
        <v>1.0</v>
      </c>
    </row>
    <row r="306" ht="15.0" customHeight="1">
      <c r="A306" s="8" t="s">
        <v>108</v>
      </c>
      <c r="B306" s="8" t="s">
        <v>182</v>
      </c>
      <c r="C306" s="8">
        <v>1.0</v>
      </c>
      <c r="AQ306" s="8">
        <v>1.0</v>
      </c>
    </row>
    <row r="307" ht="15.0" customHeight="1">
      <c r="A307" s="8" t="s">
        <v>117</v>
      </c>
      <c r="B307" s="8" t="s">
        <v>182</v>
      </c>
      <c r="C307" s="8">
        <v>1.0</v>
      </c>
      <c r="I307" s="8">
        <v>1.0</v>
      </c>
      <c r="R307" s="8">
        <v>1.0</v>
      </c>
      <c r="AF307" s="8">
        <v>1.0</v>
      </c>
      <c r="AS307" s="8">
        <v>1.0</v>
      </c>
      <c r="BI307" s="8">
        <v>1.0</v>
      </c>
    </row>
    <row r="308" ht="15.0" customHeight="1">
      <c r="A308" s="8" t="s">
        <v>117</v>
      </c>
      <c r="B308" s="8" t="s">
        <v>182</v>
      </c>
      <c r="C308" s="8">
        <v>1.0</v>
      </c>
      <c r="I308" s="8">
        <v>1.0</v>
      </c>
      <c r="AF308" s="8">
        <v>1.0</v>
      </c>
      <c r="AN308" s="8">
        <v>1.0</v>
      </c>
      <c r="AQ308" s="8">
        <v>1.0</v>
      </c>
      <c r="AS308" s="8">
        <v>1.0</v>
      </c>
      <c r="AX308" s="8">
        <v>1.0</v>
      </c>
      <c r="BI308" s="8">
        <v>1.0</v>
      </c>
    </row>
    <row r="309" ht="15.0" customHeight="1">
      <c r="A309" s="8" t="s">
        <v>84</v>
      </c>
      <c r="B309" s="8" t="s">
        <v>182</v>
      </c>
      <c r="C309" s="8">
        <v>1.0</v>
      </c>
      <c r="AS309" s="8">
        <v>1.0</v>
      </c>
      <c r="BI309" s="8">
        <v>1.0</v>
      </c>
      <c r="BL309" s="8">
        <v>1.0</v>
      </c>
    </row>
    <row r="310" ht="15.0" customHeight="1">
      <c r="A310" s="8" t="s">
        <v>84</v>
      </c>
      <c r="B310" s="8" t="s">
        <v>182</v>
      </c>
      <c r="C310" s="8">
        <v>1.0</v>
      </c>
      <c r="AS310" s="8">
        <v>1.0</v>
      </c>
      <c r="BI310" s="8">
        <v>1.0</v>
      </c>
      <c r="BL310" s="8">
        <v>1.0</v>
      </c>
    </row>
    <row r="311" ht="15.0" customHeight="1">
      <c r="A311" s="8" t="s">
        <v>109</v>
      </c>
      <c r="B311" s="8" t="s">
        <v>182</v>
      </c>
      <c r="C311" s="8">
        <v>1.0</v>
      </c>
      <c r="I311" s="8">
        <v>1.0</v>
      </c>
      <c r="J311" s="8">
        <v>1.0</v>
      </c>
      <c r="AS311" s="8">
        <v>1.0</v>
      </c>
      <c r="AX311" s="8">
        <v>1.0</v>
      </c>
      <c r="BI311" s="8">
        <v>1.0</v>
      </c>
    </row>
    <row r="312" ht="15.0" customHeight="1">
      <c r="A312" s="8" t="s">
        <v>223</v>
      </c>
      <c r="B312" s="8" t="s">
        <v>182</v>
      </c>
      <c r="C312" s="8">
        <v>1.0</v>
      </c>
      <c r="G312" s="8">
        <v>1.0</v>
      </c>
      <c r="I312" s="8">
        <v>1.0</v>
      </c>
      <c r="J312" s="8">
        <v>1.0</v>
      </c>
      <c r="M312" s="8">
        <v>1.0</v>
      </c>
      <c r="O312" s="8">
        <v>1.0</v>
      </c>
      <c r="R312" s="8">
        <v>1.0</v>
      </c>
      <c r="AC312" s="8">
        <v>1.0</v>
      </c>
      <c r="AD312" s="8">
        <v>1.0</v>
      </c>
      <c r="AF312" s="8">
        <v>1.0</v>
      </c>
      <c r="AL312" s="8">
        <v>1.0</v>
      </c>
      <c r="AN312" s="8">
        <v>1.0</v>
      </c>
      <c r="AO312" s="8">
        <v>1.0</v>
      </c>
      <c r="AQ312" s="8">
        <v>1.0</v>
      </c>
      <c r="AS312" s="8">
        <v>1.0</v>
      </c>
      <c r="BI312" s="8">
        <v>1.0</v>
      </c>
      <c r="BM312" s="8">
        <v>1.0</v>
      </c>
      <c r="BO312" s="8">
        <v>1.0</v>
      </c>
      <c r="BT312" s="8">
        <v>1.0</v>
      </c>
    </row>
    <row r="313" ht="15.0" customHeight="1">
      <c r="A313" s="8" t="s">
        <v>90</v>
      </c>
      <c r="B313" s="3" t="s">
        <v>224</v>
      </c>
      <c r="AI313" s="8">
        <v>1.0</v>
      </c>
      <c r="AS313" s="8">
        <v>1.0</v>
      </c>
      <c r="BL313" s="8">
        <v>1.0</v>
      </c>
    </row>
    <row r="314" ht="15.0" customHeight="1">
      <c r="A314" s="8" t="s">
        <v>225</v>
      </c>
      <c r="B314" s="3" t="s">
        <v>226</v>
      </c>
      <c r="BN314" s="8">
        <v>1.0</v>
      </c>
    </row>
    <row r="315" ht="15.0" customHeight="1">
      <c r="A315" s="8" t="s">
        <v>101</v>
      </c>
      <c r="B315" s="3" t="s">
        <v>227</v>
      </c>
      <c r="BL315" s="8">
        <v>1.0</v>
      </c>
    </row>
    <row r="316" ht="15.0" customHeight="1">
      <c r="A316" s="8" t="s">
        <v>120</v>
      </c>
      <c r="B316" s="3" t="s">
        <v>228</v>
      </c>
      <c r="AI316" s="8">
        <v>1.0</v>
      </c>
      <c r="AS316" s="8">
        <v>1.0</v>
      </c>
    </row>
    <row r="317" ht="15.0" customHeight="1">
      <c r="A317" s="8" t="s">
        <v>229</v>
      </c>
      <c r="B317" s="3" t="s">
        <v>230</v>
      </c>
      <c r="J317" s="8">
        <v>1.0</v>
      </c>
      <c r="BN317" s="8">
        <v>1.0</v>
      </c>
    </row>
    <row r="318" ht="15.0" customHeight="1">
      <c r="A318" s="8" t="s">
        <v>83</v>
      </c>
      <c r="B318" s="3" t="s">
        <v>231</v>
      </c>
      <c r="AT318" s="8">
        <v>1.0</v>
      </c>
    </row>
    <row r="319" ht="15.0" customHeight="1">
      <c r="A319" s="8" t="s">
        <v>232</v>
      </c>
      <c r="B319" s="3" t="s">
        <v>233</v>
      </c>
      <c r="BN319" s="8">
        <v>1.0</v>
      </c>
    </row>
    <row r="320" ht="15.0" customHeight="1">
      <c r="A320" s="8" t="s">
        <v>234</v>
      </c>
      <c r="B320" s="3" t="s">
        <v>235</v>
      </c>
      <c r="BD320" s="8">
        <v>1.0</v>
      </c>
      <c r="BN320" s="8">
        <v>1.0</v>
      </c>
    </row>
    <row r="321" ht="15.0" customHeight="1">
      <c r="A321" s="8" t="s">
        <v>89</v>
      </c>
      <c r="B321" s="3" t="s">
        <v>236</v>
      </c>
      <c r="AS321" s="8">
        <v>1.0</v>
      </c>
      <c r="BL321" s="8">
        <v>1.0</v>
      </c>
    </row>
    <row r="322" ht="15.0" customHeight="1">
      <c r="A322" s="8" t="s">
        <v>237</v>
      </c>
      <c r="B322" s="3" t="s">
        <v>238</v>
      </c>
      <c r="BL322" s="8">
        <v>1.0</v>
      </c>
    </row>
    <row r="323" ht="15.0" customHeight="1">
      <c r="A323" s="8" t="s">
        <v>190</v>
      </c>
      <c r="B323" s="3" t="s">
        <v>239</v>
      </c>
      <c r="BL323" s="8">
        <v>1.0</v>
      </c>
    </row>
    <row r="324" ht="15.0" customHeight="1">
      <c r="A324" s="8" t="s">
        <v>129</v>
      </c>
      <c r="B324" s="3" t="s">
        <v>240</v>
      </c>
      <c r="AX324" s="8">
        <v>1.0</v>
      </c>
      <c r="BS324" s="8">
        <v>1.0</v>
      </c>
    </row>
    <row r="325" ht="15.0" customHeight="1">
      <c r="A325" s="8" t="s">
        <v>219</v>
      </c>
      <c r="B325" s="3" t="s">
        <v>241</v>
      </c>
      <c r="BS325" s="8">
        <v>1.0</v>
      </c>
    </row>
    <row r="326" ht="15.0" customHeight="1">
      <c r="A326" s="8" t="s">
        <v>194</v>
      </c>
      <c r="B326" s="3" t="s">
        <v>242</v>
      </c>
      <c r="N326" s="8">
        <v>1.0</v>
      </c>
      <c r="BM326" s="8">
        <v>1.0</v>
      </c>
    </row>
    <row r="327" ht="15.0" customHeight="1">
      <c r="A327" s="8" t="s">
        <v>104</v>
      </c>
      <c r="B327" s="3" t="s">
        <v>243</v>
      </c>
      <c r="BL327" s="8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0.25"/>
    <col customWidth="1" min="2" max="2" width="48.0"/>
    <col customWidth="1" min="3" max="77" width="10.25"/>
  </cols>
  <sheetData>
    <row r="1" ht="15.0" customHeight="1">
      <c r="A1" s="3" t="s">
        <v>0</v>
      </c>
      <c r="B1" s="3" t="s">
        <v>156</v>
      </c>
      <c r="C1" s="3" t="s">
        <v>63</v>
      </c>
      <c r="D1" s="3" t="s">
        <v>3</v>
      </c>
      <c r="E1" s="3" t="s">
        <v>4</v>
      </c>
      <c r="F1" s="3" t="s">
        <v>158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12</v>
      </c>
      <c r="L1" s="3" t="s">
        <v>14</v>
      </c>
      <c r="M1" s="3" t="s">
        <v>13</v>
      </c>
      <c r="N1" s="3" t="s">
        <v>244</v>
      </c>
      <c r="O1" s="3" t="s">
        <v>245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246</v>
      </c>
      <c r="AA1" s="3" t="s">
        <v>25</v>
      </c>
      <c r="AB1" s="3" t="s">
        <v>26</v>
      </c>
      <c r="AC1" s="3" t="s">
        <v>161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162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164</v>
      </c>
      <c r="AS1" s="3" t="s">
        <v>42</v>
      </c>
      <c r="AT1" s="3" t="s">
        <v>165</v>
      </c>
      <c r="AU1" s="3" t="s">
        <v>166</v>
      </c>
      <c r="AV1" s="3" t="s">
        <v>167</v>
      </c>
      <c r="AW1" s="3" t="s">
        <v>45</v>
      </c>
      <c r="AX1" s="3" t="s">
        <v>168</v>
      </c>
      <c r="AY1" s="3" t="s">
        <v>169</v>
      </c>
      <c r="AZ1" s="3" t="s">
        <v>247</v>
      </c>
      <c r="BA1" s="3" t="s">
        <v>2</v>
      </c>
      <c r="BB1" s="3" t="s">
        <v>171</v>
      </c>
      <c r="BC1" s="3" t="s">
        <v>49</v>
      </c>
      <c r="BD1" s="3" t="s">
        <v>48</v>
      </c>
      <c r="BE1" s="3" t="s">
        <v>248</v>
      </c>
      <c r="BF1" s="3" t="s">
        <v>51</v>
      </c>
      <c r="BG1" s="3" t="s">
        <v>52</v>
      </c>
      <c r="BH1" s="3" t="s">
        <v>53</v>
      </c>
      <c r="BI1" s="3" t="s">
        <v>54</v>
      </c>
      <c r="BJ1" s="3" t="s">
        <v>55</v>
      </c>
      <c r="BK1" s="3" t="s">
        <v>173</v>
      </c>
      <c r="BL1" s="3" t="s">
        <v>249</v>
      </c>
      <c r="BM1" s="3" t="s">
        <v>56</v>
      </c>
      <c r="BN1" s="3" t="s">
        <v>57</v>
      </c>
      <c r="BO1" s="3" t="s">
        <v>58</v>
      </c>
      <c r="BP1" s="3" t="s">
        <v>59</v>
      </c>
      <c r="BQ1" s="3" t="s">
        <v>60</v>
      </c>
      <c r="BR1" s="3" t="s">
        <v>61</v>
      </c>
      <c r="BS1" s="3" t="s">
        <v>62</v>
      </c>
      <c r="BT1" s="3" t="s">
        <v>64</v>
      </c>
      <c r="BU1" s="3" t="s">
        <v>65</v>
      </c>
      <c r="BV1" s="3" t="s">
        <v>250</v>
      </c>
      <c r="BW1" s="3" t="s">
        <v>67</v>
      </c>
      <c r="BX1" s="3" t="s">
        <v>68</v>
      </c>
      <c r="BY1" s="3" t="s">
        <v>69</v>
      </c>
    </row>
    <row r="2" ht="15.0" customHeight="1">
      <c r="A2" s="3" t="s">
        <v>174</v>
      </c>
      <c r="B2" s="5">
        <f>COUNTA(B7:B333)</f>
        <v>327</v>
      </c>
    </row>
    <row r="3" ht="15.0" customHeight="1">
      <c r="A3" s="3" t="s">
        <v>71</v>
      </c>
      <c r="B3" s="5">
        <f>COUNTA(B7:B284)</f>
        <v>278</v>
      </c>
    </row>
    <row r="4" ht="15.0" customHeight="1">
      <c r="A4" s="3" t="s">
        <v>72</v>
      </c>
      <c r="C4" s="5">
        <f t="shared" ref="C4:BY4" si="1">SUM(C7:C333)</f>
        <v>205</v>
      </c>
      <c r="D4" s="5">
        <f t="shared" si="1"/>
        <v>2</v>
      </c>
      <c r="E4" s="5">
        <f t="shared" si="1"/>
        <v>2</v>
      </c>
      <c r="F4" s="5">
        <f t="shared" si="1"/>
        <v>1</v>
      </c>
      <c r="G4" s="5">
        <f t="shared" si="1"/>
        <v>6</v>
      </c>
      <c r="H4" s="5">
        <f t="shared" si="1"/>
        <v>11</v>
      </c>
      <c r="I4" s="5">
        <f t="shared" si="1"/>
        <v>3</v>
      </c>
      <c r="J4" s="5">
        <f t="shared" si="1"/>
        <v>6</v>
      </c>
      <c r="K4" s="5">
        <f t="shared" si="1"/>
        <v>21</v>
      </c>
      <c r="L4" s="5">
        <f t="shared" si="1"/>
        <v>50</v>
      </c>
      <c r="M4" s="5">
        <f t="shared" si="1"/>
        <v>51</v>
      </c>
      <c r="N4" s="5">
        <f t="shared" si="1"/>
        <v>1</v>
      </c>
      <c r="O4" s="5">
        <f t="shared" si="1"/>
        <v>1</v>
      </c>
      <c r="P4" s="5">
        <f t="shared" si="1"/>
        <v>2</v>
      </c>
      <c r="Q4" s="5">
        <f t="shared" si="1"/>
        <v>5</v>
      </c>
      <c r="R4" s="5">
        <f t="shared" si="1"/>
        <v>6</v>
      </c>
      <c r="S4" s="5">
        <f t="shared" si="1"/>
        <v>15</v>
      </c>
      <c r="T4" s="5">
        <f t="shared" si="1"/>
        <v>58</v>
      </c>
      <c r="U4" s="5">
        <f t="shared" si="1"/>
        <v>2</v>
      </c>
      <c r="V4" s="5">
        <f t="shared" si="1"/>
        <v>9</v>
      </c>
      <c r="W4" s="5">
        <f t="shared" si="1"/>
        <v>3</v>
      </c>
      <c r="X4" s="5">
        <f t="shared" si="1"/>
        <v>2</v>
      </c>
      <c r="Y4" s="5">
        <f t="shared" si="1"/>
        <v>2</v>
      </c>
      <c r="Z4" s="5">
        <f t="shared" si="1"/>
        <v>5</v>
      </c>
      <c r="AA4" s="5">
        <f t="shared" si="1"/>
        <v>1</v>
      </c>
      <c r="AB4" s="5">
        <f t="shared" si="1"/>
        <v>4</v>
      </c>
      <c r="AC4" s="5">
        <f t="shared" si="1"/>
        <v>1</v>
      </c>
      <c r="AD4" s="5">
        <f t="shared" si="1"/>
        <v>1</v>
      </c>
      <c r="AE4" s="5">
        <f t="shared" si="1"/>
        <v>1</v>
      </c>
      <c r="AF4" s="5">
        <f t="shared" si="1"/>
        <v>21</v>
      </c>
      <c r="AG4" s="5">
        <f t="shared" si="1"/>
        <v>25</v>
      </c>
      <c r="AH4" s="5">
        <f t="shared" si="1"/>
        <v>7</v>
      </c>
      <c r="AI4" s="5">
        <f t="shared" si="1"/>
        <v>2</v>
      </c>
      <c r="AJ4" s="5">
        <f t="shared" si="1"/>
        <v>105</v>
      </c>
      <c r="AK4" s="5">
        <f t="shared" si="1"/>
        <v>14</v>
      </c>
      <c r="AL4" s="5">
        <f t="shared" si="1"/>
        <v>1</v>
      </c>
      <c r="AM4" s="5">
        <f t="shared" si="1"/>
        <v>1</v>
      </c>
      <c r="AN4" s="5">
        <f t="shared" si="1"/>
        <v>1</v>
      </c>
      <c r="AO4" s="5">
        <f t="shared" si="1"/>
        <v>46</v>
      </c>
      <c r="AP4" s="5">
        <f t="shared" si="1"/>
        <v>2</v>
      </c>
      <c r="AQ4" s="5">
        <f t="shared" si="1"/>
        <v>27</v>
      </c>
      <c r="AR4" s="5">
        <f t="shared" si="1"/>
        <v>11</v>
      </c>
      <c r="AS4" s="5">
        <f t="shared" si="1"/>
        <v>8</v>
      </c>
      <c r="AT4" s="5">
        <f t="shared" si="1"/>
        <v>61</v>
      </c>
      <c r="AU4" s="5">
        <f t="shared" si="1"/>
        <v>9</v>
      </c>
      <c r="AV4" s="5">
        <f t="shared" si="1"/>
        <v>11</v>
      </c>
      <c r="AW4" s="5">
        <f t="shared" si="1"/>
        <v>44</v>
      </c>
      <c r="AX4" s="5">
        <f t="shared" si="1"/>
        <v>1</v>
      </c>
      <c r="AY4" s="5">
        <f t="shared" si="1"/>
        <v>13</v>
      </c>
      <c r="AZ4" s="5">
        <f t="shared" si="1"/>
        <v>1</v>
      </c>
      <c r="BA4" s="5">
        <f t="shared" si="1"/>
        <v>10</v>
      </c>
      <c r="BB4" s="5">
        <f t="shared" si="1"/>
        <v>2</v>
      </c>
      <c r="BC4" s="5">
        <f t="shared" si="1"/>
        <v>14</v>
      </c>
      <c r="BD4" s="5">
        <f t="shared" si="1"/>
        <v>11</v>
      </c>
      <c r="BE4" s="5">
        <f t="shared" si="1"/>
        <v>3</v>
      </c>
      <c r="BF4" s="5">
        <f t="shared" si="1"/>
        <v>19</v>
      </c>
      <c r="BG4" s="5">
        <f t="shared" si="1"/>
        <v>5</v>
      </c>
      <c r="BH4" s="5">
        <f t="shared" si="1"/>
        <v>22</v>
      </c>
      <c r="BI4" s="5">
        <f t="shared" si="1"/>
        <v>36</v>
      </c>
      <c r="BJ4" s="5">
        <f t="shared" si="1"/>
        <v>14</v>
      </c>
      <c r="BK4" s="5">
        <f t="shared" si="1"/>
        <v>11</v>
      </c>
      <c r="BL4" s="5">
        <f t="shared" si="1"/>
        <v>2</v>
      </c>
      <c r="BM4" s="5">
        <f t="shared" si="1"/>
        <v>115</v>
      </c>
      <c r="BN4" s="5">
        <f t="shared" si="1"/>
        <v>22</v>
      </c>
      <c r="BO4" s="5">
        <f t="shared" si="1"/>
        <v>7</v>
      </c>
      <c r="BP4" s="5">
        <f t="shared" si="1"/>
        <v>24</v>
      </c>
      <c r="BQ4" s="5">
        <f t="shared" si="1"/>
        <v>17</v>
      </c>
      <c r="BR4" s="5">
        <f t="shared" si="1"/>
        <v>5</v>
      </c>
      <c r="BS4" s="5">
        <f t="shared" si="1"/>
        <v>8</v>
      </c>
      <c r="BT4" s="5">
        <f t="shared" si="1"/>
        <v>1</v>
      </c>
      <c r="BU4" s="5">
        <f t="shared" si="1"/>
        <v>58</v>
      </c>
      <c r="BV4" s="5">
        <f t="shared" si="1"/>
        <v>72</v>
      </c>
      <c r="BW4" s="5">
        <f t="shared" si="1"/>
        <v>5</v>
      </c>
      <c r="BX4" s="5">
        <f t="shared" si="1"/>
        <v>1</v>
      </c>
      <c r="BY4" s="5">
        <f t="shared" si="1"/>
        <v>5</v>
      </c>
    </row>
    <row r="5" ht="15.0" customHeight="1">
      <c r="A5" s="3" t="s">
        <v>73</v>
      </c>
      <c r="C5" s="5">
        <f t="shared" ref="C5:BY5" si="2">SUM(C7:C284)</f>
        <v>184</v>
      </c>
      <c r="D5" s="5">
        <f t="shared" si="2"/>
        <v>1</v>
      </c>
      <c r="E5" s="5">
        <f t="shared" si="2"/>
        <v>2</v>
      </c>
      <c r="F5" s="5">
        <f t="shared" si="2"/>
        <v>1</v>
      </c>
      <c r="G5" s="5">
        <f t="shared" si="2"/>
        <v>6</v>
      </c>
      <c r="H5" s="5">
        <f t="shared" si="2"/>
        <v>8</v>
      </c>
      <c r="I5" s="5">
        <f t="shared" si="2"/>
        <v>3</v>
      </c>
      <c r="J5" s="5">
        <f t="shared" si="2"/>
        <v>5</v>
      </c>
      <c r="K5" s="5">
        <f t="shared" si="2"/>
        <v>0</v>
      </c>
      <c r="L5" s="5">
        <f t="shared" si="2"/>
        <v>41</v>
      </c>
      <c r="M5" s="5">
        <f t="shared" si="2"/>
        <v>46</v>
      </c>
      <c r="N5" s="5">
        <f t="shared" si="2"/>
        <v>1</v>
      </c>
      <c r="O5" s="5">
        <f t="shared" si="2"/>
        <v>1</v>
      </c>
      <c r="P5" s="5">
        <f t="shared" si="2"/>
        <v>2</v>
      </c>
      <c r="Q5" s="5">
        <f t="shared" si="2"/>
        <v>5</v>
      </c>
      <c r="R5" s="5">
        <f t="shared" si="2"/>
        <v>5</v>
      </c>
      <c r="S5" s="5">
        <f t="shared" si="2"/>
        <v>15</v>
      </c>
      <c r="T5" s="5">
        <f t="shared" si="2"/>
        <v>52</v>
      </c>
      <c r="U5" s="5">
        <f t="shared" si="2"/>
        <v>2</v>
      </c>
      <c r="V5" s="5">
        <f t="shared" si="2"/>
        <v>0</v>
      </c>
      <c r="W5" s="5">
        <f t="shared" si="2"/>
        <v>3</v>
      </c>
      <c r="X5" s="5">
        <f t="shared" si="2"/>
        <v>2</v>
      </c>
      <c r="Y5" s="5">
        <f t="shared" si="2"/>
        <v>2</v>
      </c>
      <c r="Z5" s="5">
        <f t="shared" si="2"/>
        <v>0</v>
      </c>
      <c r="AA5" s="5">
        <f t="shared" si="2"/>
        <v>1</v>
      </c>
      <c r="AB5" s="5">
        <f t="shared" si="2"/>
        <v>3</v>
      </c>
      <c r="AC5" s="5">
        <f t="shared" si="2"/>
        <v>1</v>
      </c>
      <c r="AD5" s="5">
        <f t="shared" si="2"/>
        <v>1</v>
      </c>
      <c r="AE5" s="5">
        <f t="shared" si="2"/>
        <v>1</v>
      </c>
      <c r="AF5" s="5">
        <f t="shared" si="2"/>
        <v>19</v>
      </c>
      <c r="AG5" s="5">
        <f t="shared" si="2"/>
        <v>10</v>
      </c>
      <c r="AH5" s="5">
        <f t="shared" si="2"/>
        <v>6</v>
      </c>
      <c r="AI5" s="5">
        <f t="shared" si="2"/>
        <v>1</v>
      </c>
      <c r="AJ5" s="5">
        <f t="shared" si="2"/>
        <v>105</v>
      </c>
      <c r="AK5" s="5">
        <f t="shared" si="2"/>
        <v>8</v>
      </c>
      <c r="AL5" s="5">
        <f t="shared" si="2"/>
        <v>1</v>
      </c>
      <c r="AM5" s="5">
        <f t="shared" si="2"/>
        <v>1</v>
      </c>
      <c r="AN5" s="5">
        <f t="shared" si="2"/>
        <v>1</v>
      </c>
      <c r="AO5" s="5">
        <f t="shared" si="2"/>
        <v>17</v>
      </c>
      <c r="AP5" s="5">
        <f t="shared" si="2"/>
        <v>2</v>
      </c>
      <c r="AQ5" s="5">
        <f t="shared" si="2"/>
        <v>27</v>
      </c>
      <c r="AR5" s="5">
        <f t="shared" si="2"/>
        <v>11</v>
      </c>
      <c r="AS5" s="5">
        <f t="shared" si="2"/>
        <v>6</v>
      </c>
      <c r="AT5" s="5">
        <f t="shared" si="2"/>
        <v>51</v>
      </c>
      <c r="AU5" s="5">
        <f t="shared" si="2"/>
        <v>9</v>
      </c>
      <c r="AV5" s="5">
        <f t="shared" si="2"/>
        <v>5</v>
      </c>
      <c r="AW5" s="5">
        <f t="shared" si="2"/>
        <v>27</v>
      </c>
      <c r="AX5" s="5">
        <f t="shared" si="2"/>
        <v>1</v>
      </c>
      <c r="AY5" s="5">
        <f t="shared" si="2"/>
        <v>9</v>
      </c>
      <c r="AZ5" s="5">
        <f t="shared" si="2"/>
        <v>1</v>
      </c>
      <c r="BA5" s="5">
        <f t="shared" si="2"/>
        <v>9</v>
      </c>
      <c r="BB5" s="5">
        <f t="shared" si="2"/>
        <v>1</v>
      </c>
      <c r="BC5" s="5">
        <f t="shared" si="2"/>
        <v>14</v>
      </c>
      <c r="BD5" s="5">
        <f t="shared" si="2"/>
        <v>10</v>
      </c>
      <c r="BE5" s="5">
        <f t="shared" si="2"/>
        <v>3</v>
      </c>
      <c r="BF5" s="5">
        <f t="shared" si="2"/>
        <v>15</v>
      </c>
      <c r="BG5" s="5">
        <f t="shared" si="2"/>
        <v>4</v>
      </c>
      <c r="BH5" s="5">
        <f t="shared" si="2"/>
        <v>17</v>
      </c>
      <c r="BI5" s="5">
        <f t="shared" si="2"/>
        <v>14</v>
      </c>
      <c r="BJ5" s="5">
        <f t="shared" si="2"/>
        <v>10</v>
      </c>
      <c r="BK5" s="5">
        <f t="shared" si="2"/>
        <v>11</v>
      </c>
      <c r="BL5" s="5">
        <f t="shared" si="2"/>
        <v>2</v>
      </c>
      <c r="BM5" s="5">
        <f t="shared" si="2"/>
        <v>97</v>
      </c>
      <c r="BN5" s="5">
        <f t="shared" si="2"/>
        <v>17</v>
      </c>
      <c r="BO5" s="5">
        <f t="shared" si="2"/>
        <v>7</v>
      </c>
      <c r="BP5" s="5">
        <f t="shared" si="2"/>
        <v>22</v>
      </c>
      <c r="BQ5" s="5">
        <f t="shared" si="2"/>
        <v>12</v>
      </c>
      <c r="BR5" s="5">
        <f t="shared" si="2"/>
        <v>5</v>
      </c>
      <c r="BS5" s="5">
        <f t="shared" si="2"/>
        <v>6</v>
      </c>
      <c r="BT5" s="5">
        <f t="shared" si="2"/>
        <v>1</v>
      </c>
      <c r="BU5" s="5">
        <f t="shared" si="2"/>
        <v>53</v>
      </c>
      <c r="BV5" s="5">
        <f t="shared" si="2"/>
        <v>67</v>
      </c>
      <c r="BW5" s="5">
        <f t="shared" si="2"/>
        <v>5</v>
      </c>
      <c r="BX5" s="5">
        <f t="shared" si="2"/>
        <v>1</v>
      </c>
      <c r="BY5" s="5">
        <f t="shared" si="2"/>
        <v>3</v>
      </c>
    </row>
    <row r="6" ht="15.0" customHeight="1">
      <c r="A6" s="3" t="s">
        <v>74</v>
      </c>
      <c r="C6" s="5">
        <f t="shared" ref="C6:BY6" si="3">C5/278</f>
        <v>0.6618705036</v>
      </c>
      <c r="D6" s="5">
        <f t="shared" si="3"/>
        <v>0.003597122302</v>
      </c>
      <c r="E6" s="5">
        <f t="shared" si="3"/>
        <v>0.007194244604</v>
      </c>
      <c r="F6" s="5">
        <f t="shared" si="3"/>
        <v>0.003597122302</v>
      </c>
      <c r="G6" s="5">
        <f t="shared" si="3"/>
        <v>0.02158273381</v>
      </c>
      <c r="H6" s="5">
        <f t="shared" si="3"/>
        <v>0.02877697842</v>
      </c>
      <c r="I6" s="5">
        <f t="shared" si="3"/>
        <v>0.01079136691</v>
      </c>
      <c r="J6" s="5">
        <f t="shared" si="3"/>
        <v>0.01798561151</v>
      </c>
      <c r="K6" s="5">
        <f t="shared" si="3"/>
        <v>0</v>
      </c>
      <c r="L6" s="5">
        <f t="shared" si="3"/>
        <v>0.1474820144</v>
      </c>
      <c r="M6" s="5">
        <f t="shared" si="3"/>
        <v>0.1654676259</v>
      </c>
      <c r="N6" s="5">
        <f t="shared" si="3"/>
        <v>0.003597122302</v>
      </c>
      <c r="O6" s="5">
        <f t="shared" si="3"/>
        <v>0.003597122302</v>
      </c>
      <c r="P6" s="5">
        <f t="shared" si="3"/>
        <v>0.007194244604</v>
      </c>
      <c r="Q6" s="5">
        <f t="shared" si="3"/>
        <v>0.01798561151</v>
      </c>
      <c r="R6" s="5">
        <f t="shared" si="3"/>
        <v>0.01798561151</v>
      </c>
      <c r="S6" s="5">
        <f t="shared" si="3"/>
        <v>0.05395683453</v>
      </c>
      <c r="T6" s="5">
        <f t="shared" si="3"/>
        <v>0.1870503597</v>
      </c>
      <c r="U6" s="5">
        <f t="shared" si="3"/>
        <v>0.007194244604</v>
      </c>
      <c r="V6" s="5">
        <f t="shared" si="3"/>
        <v>0</v>
      </c>
      <c r="W6" s="5">
        <f t="shared" si="3"/>
        <v>0.01079136691</v>
      </c>
      <c r="X6" s="5">
        <f t="shared" si="3"/>
        <v>0.007194244604</v>
      </c>
      <c r="Y6" s="5">
        <f t="shared" si="3"/>
        <v>0.007194244604</v>
      </c>
      <c r="Z6" s="5">
        <f t="shared" si="3"/>
        <v>0</v>
      </c>
      <c r="AA6" s="5">
        <f t="shared" si="3"/>
        <v>0.003597122302</v>
      </c>
      <c r="AB6" s="5">
        <f t="shared" si="3"/>
        <v>0.01079136691</v>
      </c>
      <c r="AC6" s="5">
        <f t="shared" si="3"/>
        <v>0.003597122302</v>
      </c>
      <c r="AD6" s="5">
        <f t="shared" si="3"/>
        <v>0.003597122302</v>
      </c>
      <c r="AE6" s="5">
        <f t="shared" si="3"/>
        <v>0.003597122302</v>
      </c>
      <c r="AF6" s="5">
        <f t="shared" si="3"/>
        <v>0.06834532374</v>
      </c>
      <c r="AG6" s="5">
        <f t="shared" si="3"/>
        <v>0.03597122302</v>
      </c>
      <c r="AH6" s="5">
        <f t="shared" si="3"/>
        <v>0.02158273381</v>
      </c>
      <c r="AI6" s="5">
        <f t="shared" si="3"/>
        <v>0.003597122302</v>
      </c>
      <c r="AJ6" s="5">
        <f t="shared" si="3"/>
        <v>0.3776978417</v>
      </c>
      <c r="AK6" s="5">
        <f t="shared" si="3"/>
        <v>0.02877697842</v>
      </c>
      <c r="AL6" s="5">
        <f t="shared" si="3"/>
        <v>0.003597122302</v>
      </c>
      <c r="AM6" s="5">
        <f t="shared" si="3"/>
        <v>0.003597122302</v>
      </c>
      <c r="AN6" s="5">
        <f t="shared" si="3"/>
        <v>0.003597122302</v>
      </c>
      <c r="AO6" s="5">
        <f t="shared" si="3"/>
        <v>0.06115107914</v>
      </c>
      <c r="AP6" s="5">
        <f t="shared" si="3"/>
        <v>0.007194244604</v>
      </c>
      <c r="AQ6" s="5">
        <f t="shared" si="3"/>
        <v>0.09712230216</v>
      </c>
      <c r="AR6" s="5">
        <f t="shared" si="3"/>
        <v>0.03956834532</v>
      </c>
      <c r="AS6" s="5">
        <f t="shared" si="3"/>
        <v>0.02158273381</v>
      </c>
      <c r="AT6" s="5">
        <f t="shared" si="3"/>
        <v>0.1834532374</v>
      </c>
      <c r="AU6" s="5">
        <f t="shared" si="3"/>
        <v>0.03237410072</v>
      </c>
      <c r="AV6" s="5">
        <f t="shared" si="3"/>
        <v>0.01798561151</v>
      </c>
      <c r="AW6" s="5">
        <f t="shared" si="3"/>
        <v>0.09712230216</v>
      </c>
      <c r="AX6" s="5">
        <f t="shared" si="3"/>
        <v>0.003597122302</v>
      </c>
      <c r="AY6" s="5">
        <f t="shared" si="3"/>
        <v>0.03237410072</v>
      </c>
      <c r="AZ6" s="5">
        <f t="shared" si="3"/>
        <v>0.003597122302</v>
      </c>
      <c r="BA6" s="5">
        <f t="shared" si="3"/>
        <v>0.03237410072</v>
      </c>
      <c r="BB6" s="5">
        <f t="shared" si="3"/>
        <v>0.003597122302</v>
      </c>
      <c r="BC6" s="5">
        <f t="shared" si="3"/>
        <v>0.05035971223</v>
      </c>
      <c r="BD6" s="5">
        <f t="shared" si="3"/>
        <v>0.03597122302</v>
      </c>
      <c r="BE6" s="5">
        <f t="shared" si="3"/>
        <v>0.01079136691</v>
      </c>
      <c r="BF6" s="5">
        <f t="shared" si="3"/>
        <v>0.05395683453</v>
      </c>
      <c r="BG6" s="5">
        <f t="shared" si="3"/>
        <v>0.01438848921</v>
      </c>
      <c r="BH6" s="5">
        <f t="shared" si="3"/>
        <v>0.06115107914</v>
      </c>
      <c r="BI6" s="5">
        <f t="shared" si="3"/>
        <v>0.05035971223</v>
      </c>
      <c r="BJ6" s="5">
        <f t="shared" si="3"/>
        <v>0.03597122302</v>
      </c>
      <c r="BK6" s="5">
        <f t="shared" si="3"/>
        <v>0.03956834532</v>
      </c>
      <c r="BL6" s="5">
        <f t="shared" si="3"/>
        <v>0.007194244604</v>
      </c>
      <c r="BM6" s="5">
        <f t="shared" si="3"/>
        <v>0.3489208633</v>
      </c>
      <c r="BN6" s="5">
        <f t="shared" si="3"/>
        <v>0.06115107914</v>
      </c>
      <c r="BO6" s="5">
        <f t="shared" si="3"/>
        <v>0.02517985612</v>
      </c>
      <c r="BP6" s="5">
        <f t="shared" si="3"/>
        <v>0.07913669065</v>
      </c>
      <c r="BQ6" s="5">
        <f t="shared" si="3"/>
        <v>0.04316546763</v>
      </c>
      <c r="BR6" s="5">
        <f t="shared" si="3"/>
        <v>0.01798561151</v>
      </c>
      <c r="BS6" s="5">
        <f t="shared" si="3"/>
        <v>0.02158273381</v>
      </c>
      <c r="BT6" s="5">
        <f t="shared" si="3"/>
        <v>0.003597122302</v>
      </c>
      <c r="BU6" s="5">
        <f t="shared" si="3"/>
        <v>0.190647482</v>
      </c>
      <c r="BV6" s="5">
        <f t="shared" si="3"/>
        <v>0.2410071942</v>
      </c>
      <c r="BW6" s="5">
        <f t="shared" si="3"/>
        <v>0.01798561151</v>
      </c>
      <c r="BX6" s="5">
        <f t="shared" si="3"/>
        <v>0.003597122302</v>
      </c>
      <c r="BY6" s="5">
        <f t="shared" si="3"/>
        <v>0.01079136691</v>
      </c>
    </row>
    <row r="7" ht="15.0" customHeight="1">
      <c r="A7" s="8" t="s">
        <v>75</v>
      </c>
      <c r="B7" s="8">
        <v>323.0</v>
      </c>
      <c r="AJ7" s="8">
        <v>1.0</v>
      </c>
    </row>
    <row r="8" ht="15.0" customHeight="1">
      <c r="A8" s="8" t="s">
        <v>75</v>
      </c>
      <c r="B8" s="8">
        <v>324.0</v>
      </c>
      <c r="AJ8" s="8">
        <v>1.0</v>
      </c>
      <c r="AQ8" s="8">
        <v>1.0</v>
      </c>
    </row>
    <row r="9" ht="15.0" customHeight="1">
      <c r="A9" s="8" t="s">
        <v>75</v>
      </c>
      <c r="B9" s="8">
        <v>325.0</v>
      </c>
      <c r="AJ9" s="8">
        <v>1.0</v>
      </c>
    </row>
    <row r="10" ht="15.0" customHeight="1">
      <c r="A10" s="8" t="s">
        <v>188</v>
      </c>
      <c r="B10" s="8">
        <v>326.0</v>
      </c>
      <c r="C10" s="8">
        <v>1.0</v>
      </c>
      <c r="T10" s="8">
        <v>1.0</v>
      </c>
      <c r="BU10" s="8">
        <v>1.0</v>
      </c>
      <c r="BV10" s="8">
        <v>1.0</v>
      </c>
    </row>
    <row r="11" ht="15.0" customHeight="1">
      <c r="A11" s="8" t="s">
        <v>188</v>
      </c>
      <c r="B11" s="8">
        <v>327.0</v>
      </c>
      <c r="T11" s="8">
        <v>1.0</v>
      </c>
    </row>
    <row r="12" ht="15.0" customHeight="1">
      <c r="A12" s="8" t="s">
        <v>188</v>
      </c>
      <c r="B12" s="8">
        <v>328.0</v>
      </c>
      <c r="C12" s="8">
        <v>1.0</v>
      </c>
      <c r="M12" s="8">
        <v>1.0</v>
      </c>
      <c r="T12" s="8">
        <v>1.0</v>
      </c>
      <c r="AT12" s="8">
        <v>1.0</v>
      </c>
      <c r="BM12" s="8">
        <v>1.0</v>
      </c>
      <c r="BU12" s="8">
        <v>1.0</v>
      </c>
      <c r="BV12" s="8">
        <v>1.0</v>
      </c>
    </row>
    <row r="13" ht="15.0" customHeight="1">
      <c r="A13" s="8" t="s">
        <v>175</v>
      </c>
      <c r="B13" s="8">
        <v>329.0</v>
      </c>
      <c r="M13" s="8">
        <v>1.0</v>
      </c>
      <c r="R13" s="8">
        <v>1.0</v>
      </c>
      <c r="T13" s="8">
        <v>1.0</v>
      </c>
      <c r="AJ13" s="8">
        <v>1.0</v>
      </c>
      <c r="BC13" s="8">
        <v>1.0</v>
      </c>
      <c r="BF13" s="8">
        <v>1.0</v>
      </c>
      <c r="BM13" s="8">
        <v>1.0</v>
      </c>
    </row>
    <row r="14" ht="15.0" customHeight="1">
      <c r="A14" s="8" t="s">
        <v>251</v>
      </c>
      <c r="B14" s="8">
        <v>330.0</v>
      </c>
      <c r="C14" s="8">
        <v>1.0</v>
      </c>
      <c r="J14" s="8">
        <v>1.0</v>
      </c>
      <c r="T14" s="8">
        <v>1.0</v>
      </c>
      <c r="AT14" s="8">
        <v>1.0</v>
      </c>
      <c r="BU14" s="8">
        <v>1.0</v>
      </c>
      <c r="BV14" s="8">
        <v>1.0</v>
      </c>
    </row>
    <row r="15" ht="15.0" customHeight="1">
      <c r="A15" s="8" t="s">
        <v>76</v>
      </c>
      <c r="B15" s="8">
        <v>331.0</v>
      </c>
      <c r="T15" s="8">
        <v>1.0</v>
      </c>
    </row>
    <row r="16" ht="15.0" customHeight="1">
      <c r="A16" s="8" t="s">
        <v>76</v>
      </c>
      <c r="B16" s="8">
        <v>333.0</v>
      </c>
      <c r="M16" s="8">
        <v>1.0</v>
      </c>
      <c r="S16" s="8">
        <v>1.0</v>
      </c>
      <c r="T16" s="8">
        <v>1.0</v>
      </c>
      <c r="BE16" s="8">
        <v>1.0</v>
      </c>
      <c r="BM16" s="8">
        <v>1.0</v>
      </c>
    </row>
    <row r="17" ht="15.0" customHeight="1">
      <c r="A17" s="8" t="s">
        <v>77</v>
      </c>
      <c r="B17" s="8">
        <v>334.0</v>
      </c>
      <c r="AJ17" s="8">
        <v>1.0</v>
      </c>
    </row>
    <row r="18" ht="15.0" customHeight="1">
      <c r="A18" s="8" t="s">
        <v>77</v>
      </c>
      <c r="B18" s="8">
        <v>335.0</v>
      </c>
      <c r="C18" s="8">
        <v>1.0</v>
      </c>
      <c r="J18" s="8">
        <v>1.0</v>
      </c>
      <c r="T18" s="8">
        <v>1.0</v>
      </c>
      <c r="AT18" s="8">
        <v>1.0</v>
      </c>
      <c r="BM18" s="8">
        <v>1.0</v>
      </c>
      <c r="BO18" s="8">
        <v>1.0</v>
      </c>
      <c r="BU18" s="8">
        <v>1.0</v>
      </c>
      <c r="BV18" s="8">
        <v>1.0</v>
      </c>
    </row>
    <row r="19" ht="15.0" customHeight="1">
      <c r="A19" s="8" t="s">
        <v>78</v>
      </c>
      <c r="B19" s="8">
        <v>336.0</v>
      </c>
      <c r="T19" s="8">
        <v>1.0</v>
      </c>
      <c r="BM19" s="8">
        <v>1.0</v>
      </c>
    </row>
    <row r="20" ht="15.0" customHeight="1">
      <c r="A20" s="8" t="s">
        <v>80</v>
      </c>
      <c r="B20" s="8">
        <v>337.0</v>
      </c>
      <c r="AJ20" s="8">
        <v>1.0</v>
      </c>
    </row>
    <row r="21" ht="15.0" customHeight="1">
      <c r="A21" s="8" t="s">
        <v>80</v>
      </c>
      <c r="B21" s="8">
        <v>338.0</v>
      </c>
      <c r="AJ21" s="8">
        <v>1.0</v>
      </c>
    </row>
    <row r="22" ht="15.0" customHeight="1">
      <c r="A22" s="8" t="s">
        <v>80</v>
      </c>
      <c r="B22" s="8">
        <v>339.0</v>
      </c>
      <c r="C22" s="8">
        <v>1.0</v>
      </c>
      <c r="T22" s="8">
        <v>1.0</v>
      </c>
      <c r="AT22" s="8">
        <v>1.0</v>
      </c>
      <c r="BM22" s="8">
        <v>1.0</v>
      </c>
      <c r="BV22" s="8">
        <v>1.0</v>
      </c>
    </row>
    <row r="23" ht="15.0" customHeight="1">
      <c r="A23" s="8" t="s">
        <v>210</v>
      </c>
      <c r="B23" s="8">
        <v>340.0</v>
      </c>
      <c r="C23" s="8">
        <v>1.0</v>
      </c>
      <c r="AW23" s="8">
        <v>1.0</v>
      </c>
      <c r="BM23" s="8">
        <v>1.0</v>
      </c>
    </row>
    <row r="24" ht="15.0" customHeight="1">
      <c r="A24" s="8" t="s">
        <v>210</v>
      </c>
      <c r="B24" s="8">
        <v>341.0</v>
      </c>
      <c r="H24" s="8">
        <v>1.0</v>
      </c>
      <c r="AJ24" s="8">
        <v>1.0</v>
      </c>
      <c r="AW24" s="8">
        <v>1.0</v>
      </c>
      <c r="BM24" s="8">
        <v>1.0</v>
      </c>
      <c r="BN24" s="8">
        <v>1.0</v>
      </c>
    </row>
    <row r="25" ht="15.0" customHeight="1">
      <c r="A25" s="8" t="s">
        <v>82</v>
      </c>
      <c r="B25" s="8">
        <v>342.0</v>
      </c>
      <c r="H25" s="8">
        <v>1.0</v>
      </c>
      <c r="M25" s="8">
        <v>1.0</v>
      </c>
      <c r="T25" s="8">
        <v>1.0</v>
      </c>
      <c r="BM25" s="8">
        <v>1.0</v>
      </c>
    </row>
    <row r="26" ht="15.0" customHeight="1">
      <c r="A26" s="8" t="s">
        <v>83</v>
      </c>
      <c r="B26" s="8">
        <v>343.0</v>
      </c>
      <c r="AJ26" s="8">
        <v>1.0</v>
      </c>
    </row>
    <row r="27" ht="15.0" customHeight="1">
      <c r="A27" s="8" t="s">
        <v>83</v>
      </c>
      <c r="B27" s="8">
        <v>344.0</v>
      </c>
      <c r="J27" s="8">
        <v>1.0</v>
      </c>
      <c r="T27" s="8">
        <v>1.0</v>
      </c>
      <c r="BM27" s="8">
        <v>1.0</v>
      </c>
      <c r="BU27" s="8">
        <v>1.0</v>
      </c>
    </row>
    <row r="28" ht="15.0" customHeight="1">
      <c r="A28" s="8" t="s">
        <v>176</v>
      </c>
      <c r="B28" s="8">
        <v>345.0</v>
      </c>
      <c r="AJ28" s="8">
        <v>1.0</v>
      </c>
      <c r="AQ28" s="8">
        <v>1.0</v>
      </c>
      <c r="AT28" s="8">
        <v>1.0</v>
      </c>
      <c r="AW28" s="8">
        <v>1.0</v>
      </c>
      <c r="BL28" s="8">
        <v>1.0</v>
      </c>
      <c r="BM28" s="8">
        <v>1.0</v>
      </c>
      <c r="BU28" s="8">
        <v>1.0</v>
      </c>
    </row>
    <row r="29" ht="15.0" customHeight="1">
      <c r="A29" s="8" t="s">
        <v>176</v>
      </c>
      <c r="B29" s="8">
        <v>346.0</v>
      </c>
      <c r="AG29" s="8">
        <v>1.0</v>
      </c>
      <c r="BM29" s="8">
        <v>1.0</v>
      </c>
    </row>
    <row r="30" ht="15.0" customHeight="1">
      <c r="A30" s="8" t="s">
        <v>176</v>
      </c>
      <c r="B30" s="8">
        <v>347.0</v>
      </c>
      <c r="AU30" s="8">
        <v>1.0</v>
      </c>
      <c r="BM30" s="8">
        <v>1.0</v>
      </c>
    </row>
    <row r="31" ht="15.0" customHeight="1">
      <c r="A31" s="8" t="s">
        <v>176</v>
      </c>
      <c r="B31" s="8">
        <v>348.0</v>
      </c>
      <c r="S31" s="8">
        <v>1.0</v>
      </c>
      <c r="T31" s="8">
        <v>1.0</v>
      </c>
      <c r="BM31" s="8">
        <v>1.0</v>
      </c>
      <c r="BU31" s="8">
        <v>1.0</v>
      </c>
      <c r="BV31" s="8">
        <v>1.0</v>
      </c>
    </row>
    <row r="32" ht="15.0" customHeight="1">
      <c r="A32" s="8" t="s">
        <v>84</v>
      </c>
      <c r="B32" s="8">
        <v>349.0</v>
      </c>
      <c r="AJ32" s="8">
        <v>1.0</v>
      </c>
    </row>
    <row r="33" ht="15.0" customHeight="1">
      <c r="A33" s="8" t="s">
        <v>85</v>
      </c>
      <c r="B33" s="8">
        <v>350.0</v>
      </c>
      <c r="AJ33" s="8">
        <v>1.0</v>
      </c>
      <c r="BM33" s="8">
        <v>1.0</v>
      </c>
    </row>
    <row r="34" ht="15.0" customHeight="1">
      <c r="A34" s="8" t="s">
        <v>85</v>
      </c>
      <c r="B34" s="8">
        <v>351.0</v>
      </c>
      <c r="AJ34" s="8">
        <v>1.0</v>
      </c>
      <c r="BM34" s="8">
        <v>1.0</v>
      </c>
    </row>
    <row r="35" ht="15.0" customHeight="1">
      <c r="A35" s="8" t="s">
        <v>85</v>
      </c>
      <c r="B35" s="8">
        <v>352.0</v>
      </c>
      <c r="T35" s="8">
        <v>1.0</v>
      </c>
      <c r="BM35" s="8">
        <v>1.0</v>
      </c>
      <c r="BP35" s="8">
        <v>1.0</v>
      </c>
    </row>
    <row r="36" ht="15.0" customHeight="1">
      <c r="A36" s="8" t="s">
        <v>86</v>
      </c>
      <c r="B36" s="8">
        <v>353.0</v>
      </c>
      <c r="C36" s="8">
        <v>1.0</v>
      </c>
      <c r="M36" s="8">
        <v>1.0</v>
      </c>
      <c r="S36" s="8">
        <v>1.0</v>
      </c>
      <c r="T36" s="8">
        <v>1.0</v>
      </c>
      <c r="AJ36" s="8">
        <v>1.0</v>
      </c>
      <c r="AQ36" s="8">
        <v>1.0</v>
      </c>
      <c r="AT36" s="8">
        <v>1.0</v>
      </c>
      <c r="BC36" s="8">
        <v>1.0</v>
      </c>
      <c r="BP36" s="8">
        <v>1.0</v>
      </c>
      <c r="BV36" s="8">
        <v>1.0</v>
      </c>
    </row>
    <row r="37" ht="15.0" customHeight="1">
      <c r="A37" s="8" t="s">
        <v>87</v>
      </c>
      <c r="B37" s="8">
        <v>354.0</v>
      </c>
      <c r="W37" s="8">
        <v>1.0</v>
      </c>
      <c r="AJ37" s="8">
        <v>1.0</v>
      </c>
    </row>
    <row r="38" ht="15.0" customHeight="1">
      <c r="A38" s="8" t="s">
        <v>198</v>
      </c>
      <c r="B38" s="8">
        <v>355.0</v>
      </c>
      <c r="T38" s="8">
        <v>1.0</v>
      </c>
      <c r="AJ38" s="8">
        <v>1.0</v>
      </c>
      <c r="AO38" s="8">
        <v>1.0</v>
      </c>
      <c r="AU38" s="8">
        <v>1.0</v>
      </c>
      <c r="BA38" s="8">
        <v>1.0</v>
      </c>
      <c r="BC38" s="8">
        <v>1.0</v>
      </c>
      <c r="BU38" s="8">
        <v>1.0</v>
      </c>
    </row>
    <row r="39" ht="15.0" customHeight="1">
      <c r="A39" s="8" t="s">
        <v>199</v>
      </c>
      <c r="B39" s="8">
        <v>356.0</v>
      </c>
      <c r="J39" s="8">
        <v>1.0</v>
      </c>
      <c r="S39" s="8">
        <v>1.0</v>
      </c>
      <c r="T39" s="8">
        <v>1.0</v>
      </c>
      <c r="X39" s="8">
        <v>1.0</v>
      </c>
      <c r="AU39" s="8">
        <v>1.0</v>
      </c>
      <c r="BO39" s="8">
        <v>1.0</v>
      </c>
      <c r="BV39" s="8">
        <v>1.0</v>
      </c>
    </row>
    <row r="40" ht="15.0" customHeight="1">
      <c r="A40" s="8" t="s">
        <v>88</v>
      </c>
      <c r="B40" s="8">
        <v>357.0</v>
      </c>
      <c r="M40" s="8">
        <v>1.0</v>
      </c>
      <c r="AJ40" s="8">
        <v>1.0</v>
      </c>
      <c r="AQ40" s="8">
        <v>1.0</v>
      </c>
      <c r="AT40" s="8">
        <v>1.0</v>
      </c>
      <c r="AW40" s="8">
        <v>1.0</v>
      </c>
      <c r="BN40" s="8">
        <v>1.0</v>
      </c>
    </row>
    <row r="41" ht="15.0" customHeight="1">
      <c r="A41" s="8" t="s">
        <v>88</v>
      </c>
      <c r="B41" s="8">
        <v>358.0</v>
      </c>
      <c r="M41" s="8">
        <v>1.0</v>
      </c>
      <c r="T41" s="8">
        <v>1.0</v>
      </c>
      <c r="AT41" s="8">
        <v>1.0</v>
      </c>
      <c r="BJ41" s="8">
        <v>1.0</v>
      </c>
      <c r="BK41" s="8">
        <v>1.0</v>
      </c>
      <c r="BQ41" s="8">
        <v>1.0</v>
      </c>
      <c r="BU41" s="8">
        <v>1.0</v>
      </c>
    </row>
    <row r="42" ht="15.0" customHeight="1">
      <c r="A42" s="8" t="s">
        <v>89</v>
      </c>
      <c r="B42" s="8">
        <v>359.0</v>
      </c>
      <c r="AJ42" s="8">
        <v>1.0</v>
      </c>
      <c r="BM42" s="8">
        <v>1.0</v>
      </c>
      <c r="BN42" s="8">
        <v>1.0</v>
      </c>
    </row>
    <row r="43" ht="15.0" customHeight="1">
      <c r="A43" s="8" t="s">
        <v>89</v>
      </c>
      <c r="B43" s="8">
        <v>360.0</v>
      </c>
      <c r="C43" s="8">
        <v>1.0</v>
      </c>
      <c r="AJ43" s="8">
        <v>1.0</v>
      </c>
      <c r="AR43" s="8">
        <v>1.0</v>
      </c>
      <c r="BF43" s="8">
        <v>1.0</v>
      </c>
    </row>
    <row r="44" ht="15.0" customHeight="1">
      <c r="A44" s="8" t="s">
        <v>149</v>
      </c>
      <c r="B44" s="8">
        <v>361.0</v>
      </c>
      <c r="C44" s="8">
        <v>1.0</v>
      </c>
      <c r="M44" s="8">
        <v>1.0</v>
      </c>
      <c r="T44" s="8">
        <v>1.0</v>
      </c>
      <c r="AJ44" s="8">
        <v>1.0</v>
      </c>
      <c r="BJ44" s="8">
        <v>1.0</v>
      </c>
      <c r="BM44" s="8">
        <v>1.0</v>
      </c>
      <c r="BU44" s="8">
        <v>1.0</v>
      </c>
    </row>
    <row r="45" ht="15.0" customHeight="1">
      <c r="A45" s="8" t="s">
        <v>212</v>
      </c>
      <c r="B45" s="8">
        <v>362.0</v>
      </c>
      <c r="C45" s="8">
        <v>1.0</v>
      </c>
      <c r="T45" s="8">
        <v>1.0</v>
      </c>
      <c r="AJ45" s="8">
        <v>1.0</v>
      </c>
      <c r="BI45" s="8">
        <v>1.0</v>
      </c>
      <c r="BM45" s="8">
        <v>1.0</v>
      </c>
      <c r="BN45" s="8">
        <v>1.0</v>
      </c>
      <c r="BU45" s="8">
        <v>1.0</v>
      </c>
      <c r="BV45" s="8">
        <v>1.0</v>
      </c>
    </row>
    <row r="46" ht="15.0" customHeight="1">
      <c r="A46" s="8" t="s">
        <v>212</v>
      </c>
      <c r="B46" s="8">
        <v>363.0</v>
      </c>
      <c r="T46" s="8">
        <v>1.0</v>
      </c>
      <c r="BM46" s="8">
        <v>1.0</v>
      </c>
    </row>
    <row r="47" ht="15.0" customHeight="1">
      <c r="A47" s="8" t="s">
        <v>212</v>
      </c>
      <c r="B47" s="8">
        <v>364.0</v>
      </c>
      <c r="BJ47" s="8">
        <v>1.0</v>
      </c>
    </row>
    <row r="48" ht="15.0" customHeight="1">
      <c r="A48" s="8" t="s">
        <v>90</v>
      </c>
      <c r="B48" s="8">
        <v>365.0</v>
      </c>
      <c r="M48" s="8">
        <v>1.0</v>
      </c>
      <c r="R48" s="8">
        <v>1.0</v>
      </c>
      <c r="AJ48" s="8">
        <v>1.0</v>
      </c>
      <c r="AQ48" s="8">
        <v>1.0</v>
      </c>
      <c r="AW48" s="8">
        <v>1.0</v>
      </c>
      <c r="BM48" s="8">
        <v>1.0</v>
      </c>
      <c r="BN48" s="8">
        <v>1.0</v>
      </c>
    </row>
    <row r="49" ht="15.0" customHeight="1">
      <c r="A49" s="8" t="s">
        <v>90</v>
      </c>
      <c r="B49" s="8">
        <v>366.0</v>
      </c>
      <c r="AJ49" s="8">
        <v>1.0</v>
      </c>
    </row>
    <row r="50" ht="15.0" customHeight="1">
      <c r="A50" s="8" t="s">
        <v>90</v>
      </c>
      <c r="B50" s="8">
        <v>367.0</v>
      </c>
      <c r="C50" s="8">
        <v>1.0</v>
      </c>
      <c r="AO50" s="8">
        <v>1.0</v>
      </c>
      <c r="BC50" s="8">
        <v>1.0</v>
      </c>
    </row>
    <row r="51" ht="15.0" customHeight="1">
      <c r="A51" s="8" t="s">
        <v>91</v>
      </c>
      <c r="B51" s="8">
        <v>368.0</v>
      </c>
      <c r="T51" s="8">
        <v>1.0</v>
      </c>
      <c r="AJ51" s="8">
        <v>1.0</v>
      </c>
      <c r="BM51" s="8">
        <v>1.0</v>
      </c>
    </row>
    <row r="52" ht="15.0" customHeight="1">
      <c r="A52" s="8" t="s">
        <v>202</v>
      </c>
      <c r="B52" s="8">
        <v>369.0</v>
      </c>
      <c r="C52" s="8">
        <v>1.0</v>
      </c>
      <c r="M52" s="8">
        <v>1.0</v>
      </c>
      <c r="T52" s="8">
        <v>1.0</v>
      </c>
      <c r="AU52" s="8">
        <v>1.0</v>
      </c>
      <c r="AX52" s="8">
        <v>1.0</v>
      </c>
      <c r="BF52" s="8">
        <v>1.0</v>
      </c>
      <c r="BU52" s="8">
        <v>1.0</v>
      </c>
      <c r="BV52" s="8">
        <v>1.0</v>
      </c>
    </row>
    <row r="53" ht="15.0" customHeight="1">
      <c r="A53" s="8" t="s">
        <v>92</v>
      </c>
      <c r="B53" s="8">
        <v>370.0</v>
      </c>
      <c r="C53" s="8">
        <v>1.0</v>
      </c>
      <c r="T53" s="8">
        <v>1.0</v>
      </c>
      <c r="AJ53" s="8">
        <v>1.0</v>
      </c>
      <c r="AW53" s="8">
        <v>1.0</v>
      </c>
      <c r="BC53" s="8">
        <v>1.0</v>
      </c>
      <c r="BI53" s="8">
        <v>1.0</v>
      </c>
      <c r="BU53" s="8">
        <v>1.0</v>
      </c>
      <c r="BV53" s="8">
        <v>1.0</v>
      </c>
    </row>
    <row r="54" ht="15.0" customHeight="1">
      <c r="A54" s="8" t="s">
        <v>93</v>
      </c>
      <c r="B54" s="8">
        <v>371.0</v>
      </c>
      <c r="AJ54" s="8">
        <v>1.0</v>
      </c>
    </row>
    <row r="55" ht="15.0" customHeight="1">
      <c r="A55" s="8" t="s">
        <v>93</v>
      </c>
      <c r="B55" s="8">
        <v>372.0</v>
      </c>
      <c r="M55" s="8">
        <v>1.0</v>
      </c>
      <c r="T55" s="8">
        <v>1.0</v>
      </c>
      <c r="AH55" s="8">
        <v>1.0</v>
      </c>
      <c r="AR55" s="8">
        <v>1.0</v>
      </c>
      <c r="AT55" s="8">
        <v>1.0</v>
      </c>
      <c r="BB55" s="8">
        <v>1.0</v>
      </c>
      <c r="BC55" s="8">
        <v>1.0</v>
      </c>
      <c r="BM55" s="8">
        <v>1.0</v>
      </c>
    </row>
    <row r="56" ht="15.0" customHeight="1">
      <c r="A56" s="8" t="s">
        <v>93</v>
      </c>
      <c r="B56" s="8">
        <v>373.0</v>
      </c>
      <c r="F56" s="8">
        <v>1.0</v>
      </c>
      <c r="T56" s="8">
        <v>1.0</v>
      </c>
      <c r="AH56" s="8">
        <v>1.0</v>
      </c>
      <c r="BJ56" s="8">
        <v>1.0</v>
      </c>
      <c r="BM56" s="8">
        <v>1.0</v>
      </c>
    </row>
    <row r="57" ht="15.0" customHeight="1">
      <c r="A57" s="8" t="s">
        <v>222</v>
      </c>
      <c r="B57" s="8">
        <v>374.0</v>
      </c>
      <c r="S57" s="8">
        <v>1.0</v>
      </c>
      <c r="AJ57" s="8">
        <v>1.0</v>
      </c>
      <c r="BM57" s="8">
        <v>1.0</v>
      </c>
      <c r="BV57" s="8">
        <v>1.0</v>
      </c>
    </row>
    <row r="58" ht="15.0" customHeight="1">
      <c r="A58" s="8" t="s">
        <v>222</v>
      </c>
      <c r="B58" s="8">
        <v>375.0</v>
      </c>
      <c r="S58" s="8">
        <v>1.0</v>
      </c>
      <c r="AJ58" s="8">
        <v>1.0</v>
      </c>
      <c r="BM58" s="8">
        <v>1.0</v>
      </c>
      <c r="BV58" s="8">
        <v>1.0</v>
      </c>
    </row>
    <row r="59" ht="15.0" customHeight="1">
      <c r="A59" s="8" t="s">
        <v>252</v>
      </c>
      <c r="B59" s="8">
        <v>376.0</v>
      </c>
      <c r="AJ59" s="8">
        <v>1.0</v>
      </c>
    </row>
    <row r="60" ht="15.0" customHeight="1">
      <c r="A60" s="8" t="s">
        <v>94</v>
      </c>
      <c r="B60" s="8">
        <v>377.0</v>
      </c>
      <c r="T60" s="8">
        <v>1.0</v>
      </c>
    </row>
    <row r="61" ht="15.0" customHeight="1">
      <c r="A61" s="8" t="s">
        <v>94</v>
      </c>
      <c r="B61" s="8">
        <v>378.0</v>
      </c>
      <c r="C61" s="8">
        <v>1.0</v>
      </c>
      <c r="M61" s="8">
        <v>1.0</v>
      </c>
      <c r="T61" s="8">
        <v>1.0</v>
      </c>
      <c r="AJ61" s="8">
        <v>1.0</v>
      </c>
      <c r="AQ61" s="8">
        <v>1.0</v>
      </c>
      <c r="AT61" s="8">
        <v>1.0</v>
      </c>
      <c r="BC61" s="8">
        <v>1.0</v>
      </c>
      <c r="BU61" s="8">
        <v>1.0</v>
      </c>
      <c r="BV61" s="8">
        <v>1.0</v>
      </c>
    </row>
    <row r="62" ht="15.0" customHeight="1">
      <c r="A62" s="8" t="s">
        <v>94</v>
      </c>
      <c r="B62" s="8">
        <v>379.0</v>
      </c>
      <c r="C62" s="8">
        <v>1.0</v>
      </c>
      <c r="S62" s="8">
        <v>1.0</v>
      </c>
      <c r="T62" s="8">
        <v>1.0</v>
      </c>
      <c r="AQ62" s="8">
        <v>1.0</v>
      </c>
    </row>
    <row r="63" ht="15.0" customHeight="1">
      <c r="A63" s="8" t="s">
        <v>95</v>
      </c>
      <c r="B63" s="8">
        <v>380.0</v>
      </c>
      <c r="AJ63" s="8">
        <v>1.0</v>
      </c>
    </row>
    <row r="64" ht="15.0" customHeight="1">
      <c r="A64" s="8" t="s">
        <v>95</v>
      </c>
      <c r="B64" s="8">
        <v>381.0</v>
      </c>
      <c r="M64" s="8">
        <v>1.0</v>
      </c>
      <c r="R64" s="8">
        <v>1.0</v>
      </c>
      <c r="T64" s="8">
        <v>1.0</v>
      </c>
      <c r="AF64" s="8">
        <v>1.0</v>
      </c>
      <c r="AJ64" s="8">
        <v>1.0</v>
      </c>
      <c r="AT64" s="8">
        <v>1.0</v>
      </c>
      <c r="AU64" s="8">
        <v>1.0</v>
      </c>
      <c r="BK64" s="8">
        <v>1.0</v>
      </c>
      <c r="BQ64" s="8">
        <v>1.0</v>
      </c>
      <c r="BU64" s="8">
        <v>1.0</v>
      </c>
      <c r="BW64" s="8">
        <v>1.0</v>
      </c>
    </row>
    <row r="65" ht="15.0" customHeight="1">
      <c r="A65" s="8" t="s">
        <v>195</v>
      </c>
      <c r="B65" s="8">
        <v>382.0</v>
      </c>
      <c r="M65" s="8">
        <v>1.0</v>
      </c>
      <c r="T65" s="8">
        <v>1.0</v>
      </c>
      <c r="AJ65" s="8">
        <v>1.0</v>
      </c>
      <c r="BM65" s="8">
        <v>1.0</v>
      </c>
      <c r="BV65" s="8">
        <v>1.0</v>
      </c>
      <c r="BW65" s="8">
        <v>1.0</v>
      </c>
    </row>
    <row r="66" ht="15.0" customHeight="1">
      <c r="A66" s="8" t="s">
        <v>96</v>
      </c>
      <c r="B66" s="8">
        <v>383.0</v>
      </c>
      <c r="C66" s="8">
        <v>1.0</v>
      </c>
      <c r="T66" s="8">
        <v>1.0</v>
      </c>
      <c r="AJ66" s="8">
        <v>1.0</v>
      </c>
      <c r="AQ66" s="8">
        <v>1.0</v>
      </c>
      <c r="BC66" s="8">
        <v>1.0</v>
      </c>
      <c r="BN66" s="8">
        <v>1.0</v>
      </c>
    </row>
    <row r="67" ht="15.0" customHeight="1">
      <c r="A67" s="8" t="s">
        <v>96</v>
      </c>
      <c r="B67" s="8">
        <v>384.0</v>
      </c>
      <c r="C67" s="8">
        <v>1.0</v>
      </c>
      <c r="T67" s="8">
        <v>1.0</v>
      </c>
      <c r="AK67" s="8">
        <v>1.0</v>
      </c>
      <c r="AT67" s="8">
        <v>1.0</v>
      </c>
      <c r="BF67" s="8">
        <v>1.0</v>
      </c>
      <c r="BM67" s="8">
        <v>1.0</v>
      </c>
      <c r="BU67" s="8">
        <v>1.0</v>
      </c>
      <c r="BV67" s="8">
        <v>1.0</v>
      </c>
    </row>
    <row r="68" ht="15.0" customHeight="1">
      <c r="A68" s="8" t="s">
        <v>96</v>
      </c>
      <c r="B68" s="8">
        <v>385.0</v>
      </c>
      <c r="C68" s="8">
        <v>1.0</v>
      </c>
      <c r="T68" s="8">
        <v>1.0</v>
      </c>
      <c r="AK68" s="8">
        <v>1.0</v>
      </c>
      <c r="AT68" s="8">
        <v>1.0</v>
      </c>
      <c r="BF68" s="8">
        <v>1.0</v>
      </c>
      <c r="BM68" s="8">
        <v>1.0</v>
      </c>
    </row>
    <row r="69" ht="15.0" customHeight="1">
      <c r="A69" s="9" t="s">
        <v>96</v>
      </c>
      <c r="B69" s="8">
        <v>386.0</v>
      </c>
      <c r="C69" s="8">
        <v>1.0</v>
      </c>
      <c r="M69" s="8">
        <v>1.0</v>
      </c>
      <c r="T69" s="8">
        <v>1.0</v>
      </c>
      <c r="AF69" s="8">
        <v>1.0</v>
      </c>
      <c r="AT69" s="8">
        <v>1.0</v>
      </c>
      <c r="AW69" s="8">
        <v>1.0</v>
      </c>
      <c r="BC69" s="8">
        <v>1.0</v>
      </c>
      <c r="BM69" s="8">
        <v>1.0</v>
      </c>
      <c r="BU69" s="8">
        <v>1.0</v>
      </c>
    </row>
    <row r="70" ht="15.0" customHeight="1">
      <c r="A70" s="8" t="s">
        <v>179</v>
      </c>
      <c r="B70" s="8">
        <v>387.0</v>
      </c>
      <c r="AJ70" s="8">
        <v>1.0</v>
      </c>
      <c r="BP70" s="8">
        <v>1.0</v>
      </c>
    </row>
    <row r="71" ht="15.0" customHeight="1">
      <c r="A71" s="8" t="s">
        <v>179</v>
      </c>
      <c r="B71" s="8">
        <v>388.0</v>
      </c>
      <c r="C71" s="8">
        <v>1.0</v>
      </c>
      <c r="AO71" s="8">
        <v>1.0</v>
      </c>
      <c r="AV71" s="8">
        <v>1.0</v>
      </c>
      <c r="BM71" s="8">
        <v>1.0</v>
      </c>
    </row>
    <row r="72" ht="15.0" customHeight="1">
      <c r="A72" s="8" t="s">
        <v>179</v>
      </c>
      <c r="B72" s="8">
        <v>389.0</v>
      </c>
      <c r="C72" s="8">
        <v>1.0</v>
      </c>
      <c r="T72" s="8">
        <v>1.0</v>
      </c>
      <c r="AR72" s="8">
        <v>1.0</v>
      </c>
      <c r="BM72" s="8">
        <v>1.0</v>
      </c>
    </row>
    <row r="73" ht="15.0" customHeight="1">
      <c r="A73" s="8" t="s">
        <v>179</v>
      </c>
      <c r="B73" s="8">
        <v>390.0</v>
      </c>
      <c r="C73" s="8">
        <v>1.0</v>
      </c>
    </row>
    <row r="74" ht="15.0" customHeight="1">
      <c r="A74" s="8" t="s">
        <v>179</v>
      </c>
      <c r="B74" s="8">
        <v>391.0</v>
      </c>
      <c r="C74" s="8">
        <v>1.0</v>
      </c>
      <c r="AY74" s="8">
        <v>1.0</v>
      </c>
      <c r="BM74" s="8">
        <v>1.0</v>
      </c>
    </row>
    <row r="75" ht="15.0" customHeight="1">
      <c r="A75" s="8" t="s">
        <v>97</v>
      </c>
      <c r="B75" s="8">
        <v>392.0</v>
      </c>
      <c r="C75" s="8">
        <v>1.0</v>
      </c>
      <c r="M75" s="8">
        <v>1.0</v>
      </c>
      <c r="AO75" s="8">
        <v>1.0</v>
      </c>
      <c r="AQ75" s="8">
        <v>1.0</v>
      </c>
      <c r="BM75" s="8">
        <v>1.0</v>
      </c>
      <c r="BR75" s="8">
        <v>1.0</v>
      </c>
      <c r="BS75" s="8">
        <v>1.0</v>
      </c>
    </row>
    <row r="76" ht="15.0" customHeight="1">
      <c r="A76" s="8" t="s">
        <v>97</v>
      </c>
      <c r="B76" s="8">
        <v>393.0</v>
      </c>
      <c r="C76" s="8">
        <v>1.0</v>
      </c>
      <c r="BM76" s="8">
        <v>1.0</v>
      </c>
    </row>
    <row r="77" ht="15.0" customHeight="1">
      <c r="A77" s="8" t="s">
        <v>97</v>
      </c>
      <c r="B77" s="8">
        <v>394.0</v>
      </c>
      <c r="C77" s="8">
        <v>1.0</v>
      </c>
      <c r="BM77" s="8">
        <v>1.0</v>
      </c>
    </row>
    <row r="78" ht="15.0" customHeight="1">
      <c r="A78" s="8" t="s">
        <v>97</v>
      </c>
      <c r="B78" s="8">
        <v>395.0</v>
      </c>
      <c r="C78" s="8">
        <v>1.0</v>
      </c>
      <c r="R78" s="8">
        <v>1.0</v>
      </c>
      <c r="AS78" s="8">
        <v>1.0</v>
      </c>
      <c r="AU78" s="8">
        <v>1.0</v>
      </c>
      <c r="BU78" s="8">
        <v>1.0</v>
      </c>
    </row>
    <row r="79" ht="15.0" customHeight="1">
      <c r="A79" s="8" t="s">
        <v>98</v>
      </c>
      <c r="B79" s="8">
        <v>396.0</v>
      </c>
      <c r="C79" s="8">
        <v>1.0</v>
      </c>
      <c r="M79" s="8">
        <v>1.0</v>
      </c>
      <c r="BM79" s="8">
        <v>1.0</v>
      </c>
    </row>
    <row r="80" ht="15.0" customHeight="1">
      <c r="A80" s="8" t="s">
        <v>98</v>
      </c>
      <c r="B80" s="8">
        <v>397.0</v>
      </c>
      <c r="C80" s="8">
        <v>1.0</v>
      </c>
      <c r="AJ80" s="8">
        <v>1.0</v>
      </c>
      <c r="AQ80" s="8">
        <v>1.0</v>
      </c>
      <c r="BM80" s="8">
        <v>1.0</v>
      </c>
    </row>
    <row r="81" ht="15.0" customHeight="1">
      <c r="A81" s="8" t="s">
        <v>99</v>
      </c>
      <c r="B81" s="8">
        <v>398.0</v>
      </c>
      <c r="AJ81" s="8">
        <v>1.0</v>
      </c>
      <c r="BP81" s="8">
        <v>1.0</v>
      </c>
    </row>
    <row r="82" ht="15.0" customHeight="1">
      <c r="A82" s="8" t="s">
        <v>99</v>
      </c>
      <c r="B82" s="8">
        <v>399.0</v>
      </c>
      <c r="C82" s="8">
        <v>1.0</v>
      </c>
      <c r="M82" s="8">
        <v>1.0</v>
      </c>
      <c r="AJ82" s="8">
        <v>1.0</v>
      </c>
      <c r="BM82" s="8">
        <v>1.0</v>
      </c>
      <c r="BP82" s="8">
        <v>1.0</v>
      </c>
      <c r="BV82" s="8">
        <v>1.0</v>
      </c>
    </row>
    <row r="83" ht="15.0" customHeight="1">
      <c r="A83" s="8" t="s">
        <v>100</v>
      </c>
      <c r="B83" s="8">
        <v>400.0</v>
      </c>
      <c r="C83" s="8">
        <v>1.0</v>
      </c>
      <c r="M83" s="8">
        <v>1.0</v>
      </c>
      <c r="AQ83" s="8">
        <v>1.0</v>
      </c>
      <c r="AT83" s="8">
        <v>1.0</v>
      </c>
      <c r="BC83" s="8">
        <v>1.0</v>
      </c>
      <c r="BU83" s="8">
        <v>1.0</v>
      </c>
      <c r="BV83" s="8">
        <v>1.0</v>
      </c>
    </row>
    <row r="84" ht="15.0" customHeight="1">
      <c r="A84" s="8" t="s">
        <v>100</v>
      </c>
      <c r="B84" s="8">
        <v>401.0</v>
      </c>
      <c r="C84" s="8">
        <v>1.0</v>
      </c>
      <c r="M84" s="8">
        <v>1.0</v>
      </c>
      <c r="AS84" s="8">
        <v>1.0</v>
      </c>
      <c r="AT84" s="8">
        <v>1.0</v>
      </c>
      <c r="BC84" s="8">
        <v>1.0</v>
      </c>
    </row>
    <row r="85" ht="15.0" customHeight="1">
      <c r="A85" s="8" t="s">
        <v>100</v>
      </c>
      <c r="B85" s="8">
        <v>402.0</v>
      </c>
      <c r="C85" s="8">
        <v>1.0</v>
      </c>
      <c r="BM85" s="8">
        <v>1.0</v>
      </c>
    </row>
    <row r="86" ht="15.0" customHeight="1">
      <c r="A86" s="8" t="s">
        <v>101</v>
      </c>
      <c r="B86" s="8">
        <v>403.0</v>
      </c>
      <c r="AJ86" s="8">
        <v>1.0</v>
      </c>
      <c r="BU86" s="8">
        <v>1.0</v>
      </c>
    </row>
    <row r="87" ht="15.0" customHeight="1">
      <c r="A87" s="8" t="s">
        <v>101</v>
      </c>
      <c r="B87" s="8">
        <v>404.0</v>
      </c>
      <c r="C87" s="8">
        <v>1.0</v>
      </c>
      <c r="AF87" s="8">
        <v>1.0</v>
      </c>
      <c r="AJ87" s="8">
        <v>1.0</v>
      </c>
      <c r="AZ87" s="8">
        <v>1.0</v>
      </c>
      <c r="BN87" s="8">
        <v>1.0</v>
      </c>
    </row>
    <row r="88" ht="15.0" customHeight="1">
      <c r="A88" s="8" t="s">
        <v>101</v>
      </c>
      <c r="B88" s="8">
        <v>405.0</v>
      </c>
      <c r="C88" s="8">
        <v>1.0</v>
      </c>
      <c r="M88" s="8">
        <v>1.0</v>
      </c>
      <c r="O88" s="8">
        <v>1.0</v>
      </c>
      <c r="AF88" s="8">
        <v>1.0</v>
      </c>
      <c r="AG88" s="8">
        <v>1.0</v>
      </c>
      <c r="AJ88" s="8">
        <v>1.0</v>
      </c>
      <c r="AK88" s="8">
        <v>1.0</v>
      </c>
      <c r="AO88" s="8">
        <v>1.0</v>
      </c>
      <c r="AT88" s="8">
        <v>1.0</v>
      </c>
      <c r="AU88" s="8">
        <v>1.0</v>
      </c>
      <c r="AW88" s="8">
        <v>1.0</v>
      </c>
      <c r="BH88" s="8">
        <v>1.0</v>
      </c>
      <c r="BQ88" s="8">
        <v>1.0</v>
      </c>
      <c r="BU88" s="8">
        <v>1.0</v>
      </c>
      <c r="BV88" s="8">
        <v>1.0</v>
      </c>
      <c r="BW88" s="8">
        <v>1.0</v>
      </c>
      <c r="BY88" s="8">
        <v>1.0</v>
      </c>
    </row>
    <row r="89" ht="15.0" customHeight="1">
      <c r="A89" s="8" t="s">
        <v>102</v>
      </c>
      <c r="B89" s="8">
        <v>406.0</v>
      </c>
      <c r="C89" s="8">
        <v>1.0</v>
      </c>
      <c r="BM89" s="8">
        <v>1.0</v>
      </c>
      <c r="BV89" s="8">
        <v>1.0</v>
      </c>
    </row>
    <row r="90" ht="15.0" customHeight="1">
      <c r="A90" s="8" t="s">
        <v>180</v>
      </c>
      <c r="B90" s="8">
        <v>407.0</v>
      </c>
      <c r="C90" s="8">
        <v>1.0</v>
      </c>
      <c r="T90" s="8">
        <v>1.0</v>
      </c>
      <c r="AF90" s="8">
        <v>1.0</v>
      </c>
      <c r="AW90" s="8">
        <v>1.0</v>
      </c>
      <c r="BC90" s="8">
        <v>1.0</v>
      </c>
      <c r="BP90" s="8">
        <v>1.0</v>
      </c>
      <c r="BU90" s="8">
        <v>1.0</v>
      </c>
    </row>
    <row r="91" ht="15.0" customHeight="1">
      <c r="A91" s="8" t="s">
        <v>180</v>
      </c>
      <c r="B91" s="8">
        <v>408.0</v>
      </c>
      <c r="C91" s="8">
        <v>1.0</v>
      </c>
    </row>
    <row r="92" ht="15.0" customHeight="1">
      <c r="A92" s="8" t="s">
        <v>180</v>
      </c>
      <c r="B92" s="8">
        <v>409.0</v>
      </c>
      <c r="C92" s="8">
        <v>1.0</v>
      </c>
      <c r="I92" s="8">
        <v>1.0</v>
      </c>
      <c r="P92" s="8">
        <v>1.0</v>
      </c>
      <c r="AF92" s="8">
        <v>1.0</v>
      </c>
      <c r="AQ92" s="8">
        <v>1.0</v>
      </c>
      <c r="AY92" s="8">
        <v>1.0</v>
      </c>
      <c r="BM92" s="8">
        <v>1.0</v>
      </c>
    </row>
    <row r="93" ht="15.0" customHeight="1">
      <c r="A93" s="8" t="s">
        <v>180</v>
      </c>
      <c r="B93" s="8">
        <v>410.0</v>
      </c>
      <c r="C93" s="8">
        <v>1.0</v>
      </c>
      <c r="T93" s="8">
        <v>1.0</v>
      </c>
      <c r="BP93" s="8">
        <v>1.0</v>
      </c>
    </row>
    <row r="94" ht="15.0" customHeight="1">
      <c r="A94" s="8" t="s">
        <v>180</v>
      </c>
      <c r="B94" s="8">
        <v>411.0</v>
      </c>
      <c r="C94" s="8">
        <v>1.0</v>
      </c>
      <c r="T94" s="8">
        <v>1.0</v>
      </c>
      <c r="BP94" s="8">
        <v>1.0</v>
      </c>
    </row>
    <row r="95" ht="15.0" customHeight="1">
      <c r="A95" s="8" t="s">
        <v>146</v>
      </c>
      <c r="B95" s="8">
        <v>412.0</v>
      </c>
      <c r="C95" s="8">
        <v>1.0</v>
      </c>
      <c r="AW95" s="8">
        <v>1.0</v>
      </c>
      <c r="BF95" s="8">
        <v>1.0</v>
      </c>
      <c r="BV95" s="8">
        <v>1.0</v>
      </c>
    </row>
    <row r="96" ht="15.0" customHeight="1">
      <c r="A96" s="8" t="s">
        <v>146</v>
      </c>
      <c r="B96" s="8">
        <v>413.0</v>
      </c>
      <c r="C96" s="8">
        <v>1.0</v>
      </c>
      <c r="BI96" s="8">
        <v>1.0</v>
      </c>
      <c r="BV96" s="8">
        <v>1.0</v>
      </c>
    </row>
    <row r="97" ht="15.0" customHeight="1">
      <c r="A97" s="8" t="s">
        <v>187</v>
      </c>
      <c r="B97" s="8">
        <v>414.0</v>
      </c>
      <c r="C97" s="8">
        <v>1.0</v>
      </c>
      <c r="AJ97" s="8">
        <v>1.0</v>
      </c>
      <c r="AT97" s="8">
        <v>1.0</v>
      </c>
      <c r="AW97" s="8">
        <v>1.0</v>
      </c>
      <c r="BM97" s="8">
        <v>1.0</v>
      </c>
      <c r="BO97" s="8">
        <v>1.0</v>
      </c>
      <c r="BU97" s="8">
        <v>1.0</v>
      </c>
    </row>
    <row r="98" ht="15.0" customHeight="1">
      <c r="A98" s="8" t="s">
        <v>253</v>
      </c>
      <c r="B98" s="8">
        <v>415.0</v>
      </c>
      <c r="AJ98" s="8">
        <v>1.0</v>
      </c>
      <c r="BS98" s="8">
        <v>1.0</v>
      </c>
    </row>
    <row r="99" ht="15.0" customHeight="1">
      <c r="A99" s="8" t="s">
        <v>103</v>
      </c>
      <c r="B99" s="8">
        <v>416.0</v>
      </c>
      <c r="C99" s="8">
        <v>1.0</v>
      </c>
    </row>
    <row r="100" ht="15.0" customHeight="1">
      <c r="A100" s="8" t="s">
        <v>103</v>
      </c>
      <c r="B100" s="8">
        <v>417.0</v>
      </c>
      <c r="C100" s="8">
        <v>1.0</v>
      </c>
      <c r="AJ100" s="8">
        <v>1.0</v>
      </c>
    </row>
    <row r="101" ht="15.0" customHeight="1">
      <c r="A101" s="8" t="s">
        <v>103</v>
      </c>
      <c r="B101" s="8">
        <v>418.0</v>
      </c>
      <c r="C101" s="8">
        <v>1.0</v>
      </c>
    </row>
    <row r="102" ht="15.0" customHeight="1">
      <c r="A102" s="8" t="s">
        <v>103</v>
      </c>
      <c r="B102" s="8">
        <v>419.0</v>
      </c>
      <c r="C102" s="8">
        <v>1.0</v>
      </c>
      <c r="AJ102" s="8">
        <v>1.0</v>
      </c>
      <c r="AQ102" s="8">
        <v>1.0</v>
      </c>
      <c r="AT102" s="8">
        <v>1.0</v>
      </c>
      <c r="BC102" s="8">
        <v>1.0</v>
      </c>
      <c r="BM102" s="8">
        <v>1.0</v>
      </c>
      <c r="BU102" s="8">
        <v>1.0</v>
      </c>
    </row>
    <row r="103" ht="15.0" customHeight="1">
      <c r="A103" s="8" t="s">
        <v>103</v>
      </c>
      <c r="B103" s="8">
        <v>420.0</v>
      </c>
      <c r="C103" s="8">
        <v>1.0</v>
      </c>
      <c r="BC103" s="8">
        <v>1.0</v>
      </c>
    </row>
    <row r="104" ht="15.0" customHeight="1">
      <c r="A104" s="8" t="s">
        <v>104</v>
      </c>
      <c r="B104" s="8">
        <v>421.0</v>
      </c>
      <c r="AJ104" s="8">
        <v>1.0</v>
      </c>
      <c r="BS104" s="8">
        <v>1.0</v>
      </c>
      <c r="BU104" s="8">
        <v>1.0</v>
      </c>
    </row>
    <row r="105" ht="15.0" customHeight="1">
      <c r="A105" s="8" t="s">
        <v>104</v>
      </c>
      <c r="B105" s="8">
        <v>422.0</v>
      </c>
      <c r="C105" s="8">
        <v>1.0</v>
      </c>
      <c r="M105" s="8">
        <v>1.0</v>
      </c>
      <c r="AT105" s="8">
        <v>1.0</v>
      </c>
      <c r="AW105" s="8">
        <v>1.0</v>
      </c>
      <c r="BM105" s="8">
        <v>1.0</v>
      </c>
      <c r="BU105" s="8">
        <v>1.0</v>
      </c>
    </row>
    <row r="106" ht="15.0" customHeight="1">
      <c r="A106" s="8" t="s">
        <v>104</v>
      </c>
      <c r="B106" s="8">
        <v>423.0</v>
      </c>
      <c r="C106" s="8">
        <v>1.0</v>
      </c>
      <c r="AJ106" s="8">
        <v>1.0</v>
      </c>
      <c r="AT106" s="8">
        <v>1.0</v>
      </c>
      <c r="BM106" s="8">
        <v>1.0</v>
      </c>
      <c r="BN106" s="8">
        <v>1.0</v>
      </c>
      <c r="BQ106" s="8">
        <v>1.0</v>
      </c>
      <c r="BV106" s="8">
        <v>1.0</v>
      </c>
    </row>
    <row r="107" ht="15.0" customHeight="1">
      <c r="A107" s="8" t="s">
        <v>201</v>
      </c>
      <c r="B107" s="8">
        <v>424.0</v>
      </c>
      <c r="C107" s="8">
        <v>1.0</v>
      </c>
      <c r="AJ107" s="8">
        <v>1.0</v>
      </c>
      <c r="BH107" s="8">
        <v>1.0</v>
      </c>
      <c r="BM107" s="8">
        <v>1.0</v>
      </c>
    </row>
    <row r="108" ht="15.0" customHeight="1">
      <c r="A108" s="8" t="s">
        <v>181</v>
      </c>
      <c r="B108" s="8">
        <v>425.0</v>
      </c>
      <c r="C108" s="8">
        <v>1.0</v>
      </c>
      <c r="AJ108" s="8">
        <v>1.0</v>
      </c>
      <c r="AT108" s="8">
        <v>1.0</v>
      </c>
    </row>
    <row r="109" ht="15.0" customHeight="1">
      <c r="A109" s="8" t="s">
        <v>181</v>
      </c>
      <c r="B109" s="8">
        <v>426.0</v>
      </c>
      <c r="C109" s="8">
        <v>1.0</v>
      </c>
      <c r="AT109" s="8">
        <v>1.0</v>
      </c>
      <c r="BM109" s="8">
        <v>1.0</v>
      </c>
    </row>
    <row r="110" ht="15.0" customHeight="1">
      <c r="A110" s="8" t="s">
        <v>181</v>
      </c>
      <c r="B110" s="8">
        <v>427.0</v>
      </c>
      <c r="C110" s="8">
        <v>1.0</v>
      </c>
      <c r="AT110" s="8">
        <v>1.0</v>
      </c>
      <c r="BM110" s="8">
        <v>1.0</v>
      </c>
    </row>
    <row r="111" ht="15.0" customHeight="1">
      <c r="A111" s="8" t="s">
        <v>105</v>
      </c>
      <c r="B111" s="8">
        <v>428.0</v>
      </c>
      <c r="AJ111" s="8">
        <v>1.0</v>
      </c>
    </row>
    <row r="112" ht="15.0" customHeight="1">
      <c r="A112" s="8" t="s">
        <v>105</v>
      </c>
      <c r="B112" s="8">
        <v>429.0</v>
      </c>
      <c r="S112" s="8">
        <v>1.0</v>
      </c>
      <c r="AJ112" s="8">
        <v>1.0</v>
      </c>
      <c r="BM112" s="8">
        <v>1.0</v>
      </c>
    </row>
    <row r="113" ht="15.0" customHeight="1">
      <c r="A113" s="8" t="s">
        <v>209</v>
      </c>
      <c r="B113" s="8">
        <v>430.0</v>
      </c>
      <c r="C113" s="8">
        <v>1.0</v>
      </c>
      <c r="M113" s="8">
        <v>1.0</v>
      </c>
      <c r="T113" s="8">
        <v>1.0</v>
      </c>
      <c r="AJ113" s="8">
        <v>1.0</v>
      </c>
      <c r="AQ113" s="8">
        <v>1.0</v>
      </c>
      <c r="AT113" s="8">
        <v>1.0</v>
      </c>
      <c r="BN113" s="8">
        <v>1.0</v>
      </c>
      <c r="BP113" s="8">
        <v>1.0</v>
      </c>
      <c r="BU113" s="8">
        <v>1.0</v>
      </c>
      <c r="BV113" s="8">
        <v>1.0</v>
      </c>
    </row>
    <row r="114" ht="15.0" customHeight="1">
      <c r="A114" s="8" t="s">
        <v>217</v>
      </c>
      <c r="B114" s="8">
        <v>431.0</v>
      </c>
      <c r="C114" s="8">
        <v>1.0</v>
      </c>
      <c r="S114" s="8">
        <v>1.0</v>
      </c>
      <c r="AW114" s="8">
        <v>1.0</v>
      </c>
    </row>
    <row r="115" ht="15.0" customHeight="1">
      <c r="A115" s="8" t="s">
        <v>217</v>
      </c>
      <c r="B115" s="8">
        <v>432.0</v>
      </c>
      <c r="C115" s="8">
        <v>1.0</v>
      </c>
      <c r="AF115" s="8">
        <v>1.0</v>
      </c>
      <c r="BM115" s="8">
        <v>1.0</v>
      </c>
    </row>
    <row r="116" ht="15.0" customHeight="1">
      <c r="A116" s="8" t="s">
        <v>217</v>
      </c>
      <c r="B116" s="8">
        <v>433.0</v>
      </c>
      <c r="C116" s="8">
        <v>1.0</v>
      </c>
    </row>
    <row r="117" ht="15.0" customHeight="1">
      <c r="A117" s="8" t="s">
        <v>106</v>
      </c>
      <c r="B117" s="8">
        <v>434.0</v>
      </c>
      <c r="AJ117" s="8">
        <v>1.0</v>
      </c>
      <c r="BU117" s="8">
        <v>1.0</v>
      </c>
    </row>
    <row r="118" ht="15.0" customHeight="1">
      <c r="A118" s="8" t="s">
        <v>106</v>
      </c>
      <c r="B118" s="8">
        <v>435.0</v>
      </c>
      <c r="AJ118" s="8">
        <v>1.0</v>
      </c>
    </row>
    <row r="119" ht="15.0" customHeight="1">
      <c r="A119" s="8" t="s">
        <v>106</v>
      </c>
      <c r="B119" s="8">
        <v>436.0</v>
      </c>
      <c r="C119" s="8">
        <v>1.0</v>
      </c>
      <c r="BM119" s="8">
        <v>1.0</v>
      </c>
      <c r="BU119" s="8">
        <v>1.0</v>
      </c>
    </row>
    <row r="120" ht="15.0" customHeight="1">
      <c r="A120" s="8" t="s">
        <v>107</v>
      </c>
      <c r="B120" s="8">
        <v>437.0</v>
      </c>
      <c r="C120" s="8">
        <v>1.0</v>
      </c>
      <c r="AJ120" s="8">
        <v>1.0</v>
      </c>
      <c r="AW120" s="8">
        <v>1.0</v>
      </c>
      <c r="AY120" s="8">
        <v>1.0</v>
      </c>
      <c r="BM120" s="8">
        <v>1.0</v>
      </c>
    </row>
    <row r="121" ht="15.0" customHeight="1">
      <c r="A121" s="8" t="s">
        <v>107</v>
      </c>
      <c r="B121" s="8">
        <v>438.0</v>
      </c>
      <c r="C121" s="8">
        <v>1.0</v>
      </c>
      <c r="AJ121" s="8">
        <v>1.0</v>
      </c>
      <c r="BP121" s="8">
        <v>1.0</v>
      </c>
      <c r="BU121" s="8">
        <v>1.0</v>
      </c>
      <c r="BV121" s="8">
        <v>1.0</v>
      </c>
    </row>
    <row r="122" ht="15.0" customHeight="1">
      <c r="A122" s="8" t="s">
        <v>254</v>
      </c>
      <c r="B122" s="8">
        <v>439.0</v>
      </c>
      <c r="AJ122" s="8">
        <v>1.0</v>
      </c>
    </row>
    <row r="123" ht="15.0" customHeight="1">
      <c r="A123" s="8" t="s">
        <v>225</v>
      </c>
      <c r="B123" s="8">
        <v>441.0</v>
      </c>
      <c r="C123" s="8">
        <v>1.0</v>
      </c>
      <c r="M123" s="8">
        <v>1.0</v>
      </c>
      <c r="T123" s="8">
        <v>1.0</v>
      </c>
      <c r="AT123" s="8">
        <v>1.0</v>
      </c>
      <c r="BH123" s="8">
        <v>1.0</v>
      </c>
      <c r="BV123" s="8">
        <v>1.0</v>
      </c>
    </row>
    <row r="124" ht="15.0" customHeight="1">
      <c r="A124" s="8" t="s">
        <v>221</v>
      </c>
      <c r="B124" s="8">
        <v>442.0</v>
      </c>
      <c r="C124" s="8">
        <v>1.0</v>
      </c>
      <c r="AW124" s="8">
        <v>1.0</v>
      </c>
      <c r="BM124" s="8">
        <v>1.0</v>
      </c>
    </row>
    <row r="125" ht="15.0" customHeight="1">
      <c r="A125" s="8" t="s">
        <v>221</v>
      </c>
      <c r="B125" s="8">
        <v>443.0</v>
      </c>
      <c r="C125" s="8">
        <v>1.0</v>
      </c>
      <c r="T125" s="8">
        <v>1.0</v>
      </c>
      <c r="AQ125" s="8">
        <v>1.0</v>
      </c>
      <c r="AT125" s="8">
        <v>1.0</v>
      </c>
      <c r="AW125" s="8">
        <v>1.0</v>
      </c>
    </row>
    <row r="126" ht="15.0" customHeight="1">
      <c r="A126" s="8" t="s">
        <v>108</v>
      </c>
      <c r="B126" s="8">
        <v>444.0</v>
      </c>
      <c r="C126" s="8">
        <v>1.0</v>
      </c>
      <c r="AO126" s="8">
        <v>1.0</v>
      </c>
      <c r="AW126" s="8">
        <v>1.0</v>
      </c>
      <c r="BK126" s="8">
        <v>1.0</v>
      </c>
    </row>
    <row r="127" ht="15.0" customHeight="1">
      <c r="A127" s="8" t="s">
        <v>108</v>
      </c>
      <c r="B127" s="8">
        <v>445.0</v>
      </c>
      <c r="AH127" s="8">
        <v>1.0</v>
      </c>
      <c r="BJ127" s="8">
        <v>1.0</v>
      </c>
      <c r="BM127" s="8">
        <v>1.0</v>
      </c>
      <c r="BV127" s="8">
        <v>1.0</v>
      </c>
    </row>
    <row r="128" ht="15.0" customHeight="1">
      <c r="A128" s="8" t="s">
        <v>108</v>
      </c>
      <c r="B128" s="8">
        <v>446.0</v>
      </c>
      <c r="AH128" s="8">
        <v>1.0</v>
      </c>
      <c r="BJ128" s="8">
        <v>1.0</v>
      </c>
      <c r="BM128" s="8">
        <v>1.0</v>
      </c>
      <c r="BV128" s="8">
        <v>1.0</v>
      </c>
    </row>
    <row r="129" ht="15.0" customHeight="1">
      <c r="A129" s="8" t="s">
        <v>108</v>
      </c>
      <c r="B129" s="8">
        <v>447.0</v>
      </c>
      <c r="C129" s="8">
        <v>1.0</v>
      </c>
      <c r="BG129" s="8">
        <v>1.0</v>
      </c>
      <c r="BH129" s="8">
        <v>1.0</v>
      </c>
      <c r="BM129" s="8">
        <v>1.0</v>
      </c>
      <c r="BV129" s="8">
        <v>1.0</v>
      </c>
    </row>
    <row r="130" ht="15.0" customHeight="1">
      <c r="A130" s="8" t="s">
        <v>108</v>
      </c>
      <c r="B130" s="8">
        <v>448.0</v>
      </c>
      <c r="C130" s="8">
        <v>1.0</v>
      </c>
      <c r="Q130" s="8">
        <v>1.0</v>
      </c>
      <c r="AS130" s="8">
        <v>1.0</v>
      </c>
    </row>
    <row r="131" ht="15.0" customHeight="1">
      <c r="A131" s="8" t="s">
        <v>109</v>
      </c>
      <c r="B131" s="8">
        <v>449.0</v>
      </c>
      <c r="AJ131" s="8">
        <v>1.0</v>
      </c>
    </row>
    <row r="132" ht="15.0" customHeight="1">
      <c r="A132" s="8" t="s">
        <v>191</v>
      </c>
      <c r="B132" s="8">
        <v>450.0</v>
      </c>
      <c r="C132" s="8">
        <v>1.0</v>
      </c>
      <c r="S132" s="8">
        <v>1.0</v>
      </c>
    </row>
    <row r="133" ht="15.0" customHeight="1">
      <c r="A133" s="8" t="s">
        <v>191</v>
      </c>
      <c r="B133" s="8">
        <v>451.0</v>
      </c>
      <c r="C133" s="8">
        <v>1.0</v>
      </c>
      <c r="S133" s="8">
        <v>1.0</v>
      </c>
      <c r="BF133" s="8">
        <v>1.0</v>
      </c>
    </row>
    <row r="134" ht="15.0" customHeight="1">
      <c r="A134" s="8" t="s">
        <v>191</v>
      </c>
      <c r="B134" s="8">
        <v>452.0</v>
      </c>
      <c r="C134" s="8">
        <v>1.0</v>
      </c>
    </row>
    <row r="135" ht="15.0" customHeight="1">
      <c r="A135" s="8" t="s">
        <v>110</v>
      </c>
      <c r="B135" s="8">
        <v>453.0</v>
      </c>
      <c r="C135" s="8">
        <v>1.0</v>
      </c>
      <c r="AJ135" s="8">
        <v>1.0</v>
      </c>
      <c r="BM135" s="8">
        <v>1.0</v>
      </c>
    </row>
    <row r="136" ht="15.0" customHeight="1">
      <c r="A136" s="8" t="s">
        <v>110</v>
      </c>
      <c r="B136" s="8">
        <v>454.0</v>
      </c>
      <c r="C136" s="8">
        <v>1.0</v>
      </c>
      <c r="U136" s="8">
        <v>1.0</v>
      </c>
      <c r="AP136" s="8">
        <v>1.0</v>
      </c>
      <c r="AT136" s="8">
        <v>1.0</v>
      </c>
      <c r="BM136" s="8">
        <v>1.0</v>
      </c>
      <c r="BP136" s="8">
        <v>1.0</v>
      </c>
    </row>
    <row r="137" ht="15.0" customHeight="1">
      <c r="A137" s="8" t="s">
        <v>110</v>
      </c>
      <c r="B137" s="8">
        <v>455.0</v>
      </c>
      <c r="C137" s="8">
        <v>1.0</v>
      </c>
    </row>
    <row r="138" ht="15.0" customHeight="1">
      <c r="A138" s="8" t="s">
        <v>111</v>
      </c>
      <c r="B138" s="8">
        <v>456.0</v>
      </c>
      <c r="AJ138" s="8">
        <v>1.0</v>
      </c>
    </row>
    <row r="139" ht="15.0" customHeight="1">
      <c r="A139" s="8" t="s">
        <v>111</v>
      </c>
      <c r="B139" s="8">
        <v>457.0</v>
      </c>
      <c r="C139" s="8">
        <v>1.0</v>
      </c>
      <c r="L139" s="8">
        <v>1.0</v>
      </c>
      <c r="Y139" s="8">
        <v>1.0</v>
      </c>
      <c r="AJ139" s="8">
        <v>1.0</v>
      </c>
      <c r="AS139" s="8">
        <v>1.0</v>
      </c>
      <c r="BJ139" s="8">
        <v>1.0</v>
      </c>
      <c r="BM139" s="8">
        <v>1.0</v>
      </c>
    </row>
    <row r="140" ht="15.0" customHeight="1">
      <c r="A140" s="8" t="s">
        <v>111</v>
      </c>
      <c r="B140" s="8">
        <v>458.0</v>
      </c>
      <c r="C140" s="8">
        <v>1.0</v>
      </c>
      <c r="BN140" s="8">
        <v>1.0</v>
      </c>
    </row>
    <row r="141" ht="15.0" customHeight="1">
      <c r="A141" s="8" t="s">
        <v>111</v>
      </c>
      <c r="B141" s="8">
        <v>459.0</v>
      </c>
      <c r="C141" s="8">
        <v>1.0</v>
      </c>
      <c r="BM141" s="8">
        <v>1.0</v>
      </c>
    </row>
    <row r="142" ht="15.0" customHeight="1">
      <c r="A142" s="8" t="s">
        <v>196</v>
      </c>
      <c r="B142" s="8">
        <v>460.0</v>
      </c>
      <c r="C142" s="8">
        <v>1.0</v>
      </c>
      <c r="H142" s="8">
        <v>1.0</v>
      </c>
      <c r="L142" s="8">
        <v>1.0</v>
      </c>
      <c r="M142" s="8">
        <v>1.0</v>
      </c>
      <c r="W142" s="8">
        <v>1.0</v>
      </c>
      <c r="AD142" s="8">
        <v>1.0</v>
      </c>
      <c r="AF142" s="8">
        <v>1.0</v>
      </c>
      <c r="AJ142" s="8">
        <v>1.0</v>
      </c>
      <c r="AM142" s="8">
        <v>1.0</v>
      </c>
      <c r="AO142" s="8">
        <v>1.0</v>
      </c>
      <c r="AT142" s="8">
        <v>1.0</v>
      </c>
      <c r="AW142" s="8">
        <v>1.0</v>
      </c>
      <c r="BD142" s="8">
        <v>1.0</v>
      </c>
      <c r="BK142" s="8">
        <v>1.0</v>
      </c>
      <c r="BM142" s="8">
        <v>1.0</v>
      </c>
      <c r="BR142" s="8">
        <v>1.0</v>
      </c>
      <c r="BU142" s="8">
        <v>1.0</v>
      </c>
    </row>
    <row r="143" ht="15.0" customHeight="1">
      <c r="A143" s="8" t="s">
        <v>112</v>
      </c>
      <c r="B143" s="8">
        <v>461.0</v>
      </c>
      <c r="BU143" s="8">
        <v>1.0</v>
      </c>
    </row>
    <row r="144" ht="15.0" customHeight="1">
      <c r="A144" s="8" t="s">
        <v>113</v>
      </c>
      <c r="B144" s="8">
        <v>462.0</v>
      </c>
      <c r="M144" s="8">
        <v>1.0</v>
      </c>
      <c r="AJ144" s="8">
        <v>1.0</v>
      </c>
      <c r="AT144" s="8">
        <v>1.0</v>
      </c>
      <c r="BH144" s="8">
        <v>1.0</v>
      </c>
      <c r="BU144" s="8">
        <v>1.0</v>
      </c>
    </row>
    <row r="145" ht="15.0" customHeight="1">
      <c r="A145" s="8" t="s">
        <v>113</v>
      </c>
      <c r="B145" s="8">
        <v>463.0</v>
      </c>
      <c r="C145" s="8">
        <v>1.0</v>
      </c>
      <c r="M145" s="8">
        <v>1.0</v>
      </c>
      <c r="AJ145" s="8">
        <v>1.0</v>
      </c>
      <c r="AO145" s="8">
        <v>1.0</v>
      </c>
      <c r="BP145" s="8">
        <v>1.0</v>
      </c>
      <c r="BV145" s="8">
        <v>1.0</v>
      </c>
      <c r="BW145" s="8">
        <v>1.0</v>
      </c>
    </row>
    <row r="146" ht="15.0" customHeight="1">
      <c r="A146" s="8" t="s">
        <v>113</v>
      </c>
      <c r="B146" s="8">
        <v>464.0</v>
      </c>
      <c r="C146" s="8">
        <v>1.0</v>
      </c>
      <c r="AO146" s="8">
        <v>1.0</v>
      </c>
      <c r="BV146" s="8">
        <v>1.0</v>
      </c>
    </row>
    <row r="147" ht="15.0" customHeight="1">
      <c r="A147" s="8" t="s">
        <v>113</v>
      </c>
      <c r="B147" s="8">
        <v>465.0</v>
      </c>
      <c r="C147" s="8">
        <v>1.0</v>
      </c>
      <c r="BV147" s="8">
        <v>1.0</v>
      </c>
    </row>
    <row r="148" ht="15.0" customHeight="1">
      <c r="A148" s="8" t="s">
        <v>114</v>
      </c>
      <c r="B148" s="8">
        <v>466.0</v>
      </c>
      <c r="C148" s="8">
        <v>1.0</v>
      </c>
      <c r="E148" s="8">
        <v>1.0</v>
      </c>
      <c r="J148" s="8">
        <v>1.0</v>
      </c>
      <c r="M148" s="8">
        <v>1.0</v>
      </c>
      <c r="AW148" s="8">
        <v>1.0</v>
      </c>
      <c r="BQ148" s="8">
        <v>1.0</v>
      </c>
    </row>
    <row r="149" ht="15.0" customHeight="1">
      <c r="A149" s="6" t="s">
        <v>229</v>
      </c>
      <c r="B149" s="8">
        <v>467.0</v>
      </c>
      <c r="C149" s="8">
        <v>1.0</v>
      </c>
      <c r="BM149" s="8">
        <v>1.0</v>
      </c>
    </row>
    <row r="150" ht="15.0" customHeight="1">
      <c r="A150" s="8" t="s">
        <v>229</v>
      </c>
      <c r="B150" s="8">
        <v>468.0</v>
      </c>
      <c r="C150" s="8">
        <v>1.0</v>
      </c>
      <c r="BM150" s="8">
        <v>1.0</v>
      </c>
    </row>
    <row r="151" ht="15.0" customHeight="1">
      <c r="A151" s="8" t="s">
        <v>229</v>
      </c>
      <c r="B151" s="8">
        <v>469.0</v>
      </c>
      <c r="C151" s="8">
        <v>1.0</v>
      </c>
      <c r="L151" s="8">
        <v>1.0</v>
      </c>
    </row>
    <row r="152" ht="15.0" customHeight="1">
      <c r="A152" s="8" t="s">
        <v>229</v>
      </c>
      <c r="B152" s="8">
        <v>470.0</v>
      </c>
      <c r="C152" s="8">
        <v>1.0</v>
      </c>
    </row>
    <row r="153" ht="15.0" customHeight="1">
      <c r="A153" s="8" t="s">
        <v>211</v>
      </c>
      <c r="B153" s="8">
        <v>471.0</v>
      </c>
      <c r="AQ153" s="8">
        <v>1.0</v>
      </c>
    </row>
    <row r="154" ht="15.0" customHeight="1">
      <c r="A154" s="8" t="s">
        <v>211</v>
      </c>
      <c r="B154" s="8">
        <v>472.0</v>
      </c>
      <c r="C154" s="8">
        <v>1.0</v>
      </c>
      <c r="H154" s="8">
        <v>1.0</v>
      </c>
      <c r="M154" s="8">
        <v>1.0</v>
      </c>
    </row>
    <row r="155" ht="15.0" customHeight="1">
      <c r="A155" s="8" t="s">
        <v>115</v>
      </c>
      <c r="B155" s="8">
        <v>474.0</v>
      </c>
      <c r="L155" s="8">
        <v>1.0</v>
      </c>
      <c r="M155" s="8">
        <v>1.0</v>
      </c>
      <c r="AJ155" s="8">
        <v>1.0</v>
      </c>
      <c r="AT155" s="8">
        <v>1.0</v>
      </c>
      <c r="BH155" s="8">
        <v>1.0</v>
      </c>
      <c r="BS155" s="8">
        <v>1.0</v>
      </c>
    </row>
    <row r="156" ht="15.0" customHeight="1">
      <c r="A156" s="8" t="s">
        <v>115</v>
      </c>
      <c r="B156" s="8">
        <v>475.0</v>
      </c>
      <c r="C156" s="8">
        <v>1.0</v>
      </c>
      <c r="M156" s="8">
        <v>1.0</v>
      </c>
      <c r="BA156" s="8">
        <v>1.0</v>
      </c>
      <c r="BH156" s="8">
        <v>1.0</v>
      </c>
      <c r="BO156" s="8">
        <v>1.0</v>
      </c>
      <c r="BV156" s="8">
        <v>1.0</v>
      </c>
      <c r="BY156" s="8">
        <v>1.0</v>
      </c>
    </row>
    <row r="157" ht="15.0" customHeight="1">
      <c r="A157" s="8" t="s">
        <v>115</v>
      </c>
      <c r="B157" s="8">
        <v>476.0</v>
      </c>
      <c r="BM157" s="8">
        <v>1.0</v>
      </c>
    </row>
    <row r="158" ht="15.0" customHeight="1">
      <c r="A158" s="8" t="s">
        <v>203</v>
      </c>
      <c r="B158" s="8">
        <v>477.0</v>
      </c>
      <c r="C158" s="8">
        <v>1.0</v>
      </c>
    </row>
    <row r="159" ht="15.0" customHeight="1">
      <c r="A159" s="8" t="s">
        <v>203</v>
      </c>
      <c r="B159" s="8">
        <v>478.0</v>
      </c>
      <c r="C159" s="8">
        <v>1.0</v>
      </c>
      <c r="AE159" s="8">
        <v>1.0</v>
      </c>
      <c r="BA159" s="8">
        <v>1.0</v>
      </c>
      <c r="BI159" s="8">
        <v>1.0</v>
      </c>
      <c r="BP159" s="8">
        <v>1.0</v>
      </c>
    </row>
    <row r="160" ht="15.0" customHeight="1">
      <c r="A160" s="8" t="s">
        <v>232</v>
      </c>
      <c r="B160" s="8">
        <v>479.0</v>
      </c>
      <c r="C160" s="8">
        <v>1.0</v>
      </c>
    </row>
    <row r="161" ht="15.0" customHeight="1">
      <c r="A161" s="8" t="s">
        <v>232</v>
      </c>
      <c r="B161" s="8">
        <v>480.0</v>
      </c>
      <c r="C161" s="8">
        <v>1.0</v>
      </c>
    </row>
    <row r="162" ht="15.0" customHeight="1">
      <c r="A162" s="8" t="s">
        <v>116</v>
      </c>
      <c r="B162" s="8">
        <v>481.0</v>
      </c>
      <c r="L162" s="8">
        <v>1.0</v>
      </c>
      <c r="AO162" s="8">
        <v>1.0</v>
      </c>
      <c r="AT162" s="8">
        <v>1.0</v>
      </c>
    </row>
    <row r="163" ht="15.0" customHeight="1">
      <c r="A163" s="8" t="s">
        <v>116</v>
      </c>
      <c r="B163" s="8">
        <v>482.0</v>
      </c>
      <c r="AJ163" s="8">
        <v>1.0</v>
      </c>
      <c r="BH163" s="8">
        <v>1.0</v>
      </c>
      <c r="BN163" s="8">
        <v>1.0</v>
      </c>
      <c r="BP163" s="8">
        <v>1.0</v>
      </c>
      <c r="BU163" s="8">
        <v>1.0</v>
      </c>
    </row>
    <row r="164" ht="15.0" customHeight="1">
      <c r="A164" s="8" t="s">
        <v>117</v>
      </c>
      <c r="B164" s="8">
        <v>483.0</v>
      </c>
      <c r="C164" s="8">
        <v>1.0</v>
      </c>
      <c r="AJ164" s="8">
        <v>1.0</v>
      </c>
      <c r="AW164" s="8">
        <v>1.0</v>
      </c>
    </row>
    <row r="165" ht="15.0" customHeight="1">
      <c r="A165" s="8" t="s">
        <v>117</v>
      </c>
      <c r="B165" s="8">
        <v>484.0</v>
      </c>
      <c r="C165" s="8">
        <v>1.0</v>
      </c>
      <c r="M165" s="8">
        <v>1.0</v>
      </c>
      <c r="BJ165" s="8">
        <v>1.0</v>
      </c>
      <c r="BV165" s="8">
        <v>1.0</v>
      </c>
    </row>
    <row r="166" ht="15.0" customHeight="1">
      <c r="A166" s="8" t="s">
        <v>223</v>
      </c>
      <c r="B166" s="8">
        <v>485.0</v>
      </c>
      <c r="C166" s="8">
        <v>1.0</v>
      </c>
      <c r="AF166" s="8">
        <v>1.0</v>
      </c>
      <c r="AJ166" s="8">
        <v>1.0</v>
      </c>
      <c r="AQ166" s="8">
        <v>1.0</v>
      </c>
      <c r="AT166" s="8">
        <v>1.0</v>
      </c>
      <c r="BO166" s="8">
        <v>1.0</v>
      </c>
    </row>
    <row r="167" ht="15.0" customHeight="1">
      <c r="A167" s="8" t="s">
        <v>118</v>
      </c>
      <c r="B167" s="8">
        <v>486.0</v>
      </c>
      <c r="C167" s="8">
        <v>1.0</v>
      </c>
    </row>
    <row r="168" ht="15.0" customHeight="1">
      <c r="A168" s="8" t="s">
        <v>118</v>
      </c>
      <c r="B168" s="8">
        <v>487.0</v>
      </c>
      <c r="L168" s="8">
        <v>1.0</v>
      </c>
      <c r="BM168" s="8">
        <v>1.0</v>
      </c>
    </row>
    <row r="169" ht="15.0" customHeight="1">
      <c r="A169" s="8" t="s">
        <v>118</v>
      </c>
      <c r="B169" s="8">
        <v>488.0</v>
      </c>
      <c r="L169" s="8">
        <v>1.0</v>
      </c>
      <c r="AF169" s="8">
        <v>1.0</v>
      </c>
      <c r="BM169" s="8">
        <v>1.0</v>
      </c>
    </row>
    <row r="170" ht="15.0" customHeight="1">
      <c r="A170" s="8" t="s">
        <v>119</v>
      </c>
      <c r="B170" s="8">
        <v>489.0</v>
      </c>
      <c r="BH170" s="8">
        <v>1.0</v>
      </c>
      <c r="BU170" s="8">
        <v>1.0</v>
      </c>
    </row>
    <row r="171" ht="15.0" customHeight="1">
      <c r="A171" s="8" t="s">
        <v>119</v>
      </c>
      <c r="B171" s="8">
        <v>490.0</v>
      </c>
      <c r="AF171" s="8">
        <v>1.0</v>
      </c>
      <c r="AJ171" s="8">
        <v>1.0</v>
      </c>
      <c r="BM171" s="8">
        <v>1.0</v>
      </c>
      <c r="BV171" s="8">
        <v>1.0</v>
      </c>
    </row>
    <row r="172" ht="15.0" customHeight="1">
      <c r="A172" s="8" t="s">
        <v>120</v>
      </c>
      <c r="B172" s="8">
        <v>491.0</v>
      </c>
      <c r="AJ172" s="8">
        <v>1.0</v>
      </c>
    </row>
    <row r="173" ht="15.0" customHeight="1">
      <c r="A173" s="8" t="s">
        <v>120</v>
      </c>
      <c r="B173" s="8">
        <v>492.0</v>
      </c>
      <c r="C173" s="8">
        <v>1.0</v>
      </c>
      <c r="L173" s="8">
        <v>1.0</v>
      </c>
      <c r="AW173" s="8">
        <v>1.0</v>
      </c>
      <c r="BU173" s="8">
        <v>1.0</v>
      </c>
      <c r="BV173" s="8">
        <v>1.0</v>
      </c>
    </row>
    <row r="174" ht="15.0" customHeight="1">
      <c r="A174" s="8" t="s">
        <v>120</v>
      </c>
      <c r="B174" s="8">
        <v>493.0</v>
      </c>
      <c r="C174" s="8">
        <v>1.0</v>
      </c>
      <c r="BM174" s="8">
        <v>1.0</v>
      </c>
    </row>
    <row r="175" ht="15.0" customHeight="1">
      <c r="A175" s="8" t="s">
        <v>120</v>
      </c>
      <c r="B175" s="8">
        <v>494.0</v>
      </c>
      <c r="C175" s="8">
        <v>1.0</v>
      </c>
      <c r="H175" s="8">
        <v>1.0</v>
      </c>
      <c r="M175" s="8">
        <v>1.0</v>
      </c>
      <c r="AW175" s="8">
        <v>1.0</v>
      </c>
      <c r="BF175" s="8">
        <v>1.0</v>
      </c>
      <c r="BM175" s="8">
        <v>1.0</v>
      </c>
      <c r="BN175" s="8">
        <v>1.0</v>
      </c>
      <c r="BV175" s="8">
        <v>1.0</v>
      </c>
    </row>
    <row r="176" ht="15.0" customHeight="1">
      <c r="A176" s="8" t="s">
        <v>120</v>
      </c>
      <c r="B176" s="8">
        <v>495.0</v>
      </c>
      <c r="C176" s="8">
        <v>1.0</v>
      </c>
      <c r="AT176" s="8">
        <v>1.0</v>
      </c>
      <c r="BM176" s="8">
        <v>1.0</v>
      </c>
    </row>
    <row r="177" ht="15.0" customHeight="1">
      <c r="A177" s="8" t="s">
        <v>121</v>
      </c>
      <c r="B177" s="8">
        <v>496.0</v>
      </c>
      <c r="L177" s="8">
        <v>1.0</v>
      </c>
      <c r="Q177" s="8">
        <v>1.0</v>
      </c>
      <c r="AJ177" s="8">
        <v>1.0</v>
      </c>
      <c r="AT177" s="8">
        <v>1.0</v>
      </c>
      <c r="BM177" s="8">
        <v>1.0</v>
      </c>
    </row>
    <row r="178" ht="15.0" customHeight="1">
      <c r="A178" s="8" t="s">
        <v>121</v>
      </c>
      <c r="B178" s="8">
        <v>497.0</v>
      </c>
      <c r="L178" s="8">
        <v>1.0</v>
      </c>
      <c r="Q178" s="8">
        <v>1.0</v>
      </c>
      <c r="AJ178" s="8">
        <v>1.0</v>
      </c>
    </row>
    <row r="179" ht="15.0" customHeight="1">
      <c r="A179" s="8" t="s">
        <v>121</v>
      </c>
      <c r="B179" s="8">
        <v>498.0</v>
      </c>
      <c r="Q179" s="8">
        <v>1.0</v>
      </c>
      <c r="AJ179" s="8">
        <v>1.0</v>
      </c>
      <c r="BM179" s="8">
        <v>1.0</v>
      </c>
    </row>
    <row r="180" ht="15.0" customHeight="1">
      <c r="A180" s="8" t="s">
        <v>122</v>
      </c>
      <c r="B180" s="8">
        <v>499.0</v>
      </c>
      <c r="C180" s="8">
        <v>1.0</v>
      </c>
      <c r="AA180" s="8">
        <v>1.0</v>
      </c>
      <c r="AJ180" s="8">
        <v>1.0</v>
      </c>
      <c r="AL180" s="8">
        <v>1.0</v>
      </c>
      <c r="AU180" s="8">
        <v>1.0</v>
      </c>
      <c r="BD180" s="8">
        <v>1.0</v>
      </c>
      <c r="BF180" s="8">
        <v>1.0</v>
      </c>
      <c r="BU180" s="8">
        <v>1.0</v>
      </c>
      <c r="BV180" s="8">
        <v>1.0</v>
      </c>
    </row>
    <row r="181" ht="15.0" customHeight="1">
      <c r="A181" s="8" t="s">
        <v>123</v>
      </c>
      <c r="B181" s="8">
        <v>500.0</v>
      </c>
      <c r="C181" s="8">
        <v>1.0</v>
      </c>
      <c r="H181" s="8">
        <v>1.0</v>
      </c>
      <c r="L181" s="8">
        <v>1.0</v>
      </c>
      <c r="AB181" s="8">
        <v>1.0</v>
      </c>
      <c r="AG181" s="8">
        <v>1.0</v>
      </c>
      <c r="AJ181" s="8">
        <v>1.0</v>
      </c>
      <c r="AO181" s="8">
        <v>1.0</v>
      </c>
      <c r="AW181" s="8">
        <v>1.0</v>
      </c>
      <c r="AY181" s="8">
        <v>1.0</v>
      </c>
      <c r="BD181" s="8">
        <v>1.0</v>
      </c>
      <c r="BK181" s="8">
        <v>1.0</v>
      </c>
      <c r="BM181" s="8">
        <v>1.0</v>
      </c>
    </row>
    <row r="182" ht="15.0" customHeight="1">
      <c r="A182" s="8" t="s">
        <v>123</v>
      </c>
      <c r="B182" s="8">
        <v>501.0</v>
      </c>
      <c r="C182" s="8">
        <v>1.0</v>
      </c>
      <c r="H182" s="8">
        <v>1.0</v>
      </c>
      <c r="L182" s="8">
        <v>1.0</v>
      </c>
      <c r="AB182" s="8">
        <v>1.0</v>
      </c>
      <c r="AG182" s="8">
        <v>1.0</v>
      </c>
      <c r="AJ182" s="8">
        <v>1.0</v>
      </c>
      <c r="AO182" s="8">
        <v>1.0</v>
      </c>
      <c r="AW182" s="8">
        <v>1.0</v>
      </c>
      <c r="AY182" s="8">
        <v>1.0</v>
      </c>
      <c r="BD182" s="8">
        <v>1.0</v>
      </c>
      <c r="BK182" s="8">
        <v>1.0</v>
      </c>
      <c r="BM182" s="8">
        <v>1.0</v>
      </c>
    </row>
    <row r="183" ht="15.0" customHeight="1">
      <c r="A183" s="8" t="s">
        <v>123</v>
      </c>
      <c r="B183" s="8">
        <v>502.0</v>
      </c>
      <c r="C183" s="8">
        <v>1.0</v>
      </c>
      <c r="G183" s="8">
        <v>1.0</v>
      </c>
      <c r="H183" s="8">
        <v>1.0</v>
      </c>
      <c r="L183" s="8">
        <v>1.0</v>
      </c>
      <c r="AB183" s="8">
        <v>1.0</v>
      </c>
      <c r="AG183" s="8">
        <v>1.0</v>
      </c>
      <c r="AH183" s="8">
        <v>1.0</v>
      </c>
      <c r="AJ183" s="8">
        <v>1.0</v>
      </c>
      <c r="AO183" s="8">
        <v>1.0</v>
      </c>
      <c r="AW183" s="8">
        <v>1.0</v>
      </c>
      <c r="AY183" s="8">
        <v>1.0</v>
      </c>
      <c r="BD183" s="8">
        <v>1.0</v>
      </c>
      <c r="BK183" s="8">
        <v>1.0</v>
      </c>
      <c r="BM183" s="8">
        <v>1.0</v>
      </c>
      <c r="BU183" s="8">
        <v>1.0</v>
      </c>
      <c r="BV183" s="8">
        <v>1.0</v>
      </c>
    </row>
    <row r="184" ht="15.0" customHeight="1">
      <c r="A184" s="8" t="s">
        <v>123</v>
      </c>
      <c r="B184" s="8">
        <v>503.0</v>
      </c>
      <c r="C184" s="8">
        <v>1.0</v>
      </c>
      <c r="BV184" s="8">
        <v>1.0</v>
      </c>
    </row>
    <row r="185" ht="15.0" customHeight="1">
      <c r="A185" s="8" t="s">
        <v>124</v>
      </c>
      <c r="B185" s="8">
        <v>504.0</v>
      </c>
      <c r="C185" s="8">
        <v>1.0</v>
      </c>
      <c r="G185" s="8">
        <v>1.0</v>
      </c>
      <c r="L185" s="8">
        <v>1.0</v>
      </c>
      <c r="AJ185" s="8">
        <v>1.0</v>
      </c>
      <c r="AQ185" s="8">
        <v>1.0</v>
      </c>
      <c r="AW185" s="8">
        <v>1.0</v>
      </c>
      <c r="BV185" s="8">
        <v>1.0</v>
      </c>
    </row>
    <row r="186" ht="15.0" customHeight="1">
      <c r="A186" s="8" t="s">
        <v>127</v>
      </c>
      <c r="B186" s="8">
        <v>505.0</v>
      </c>
      <c r="C186" s="8">
        <v>1.0</v>
      </c>
    </row>
    <row r="187" ht="15.0" customHeight="1">
      <c r="A187" s="8" t="s">
        <v>127</v>
      </c>
      <c r="B187" s="8">
        <v>506.0</v>
      </c>
      <c r="BM187" s="8">
        <v>1.0</v>
      </c>
    </row>
    <row r="188" ht="15.0" customHeight="1">
      <c r="A188" s="8" t="s">
        <v>128</v>
      </c>
      <c r="B188" s="8">
        <v>507.0</v>
      </c>
      <c r="C188" s="8">
        <v>1.0</v>
      </c>
      <c r="BA188" s="8">
        <v>1.0</v>
      </c>
      <c r="BI188" s="8">
        <v>1.0</v>
      </c>
    </row>
    <row r="189" ht="15.0" customHeight="1">
      <c r="A189" s="8" t="s">
        <v>200</v>
      </c>
      <c r="B189" s="8">
        <v>508.0</v>
      </c>
      <c r="C189" s="8">
        <v>1.0</v>
      </c>
      <c r="AJ189" s="8">
        <v>1.0</v>
      </c>
      <c r="BM189" s="8">
        <v>1.0</v>
      </c>
      <c r="BN189" s="8">
        <v>1.0</v>
      </c>
      <c r="BU189" s="8">
        <v>1.0</v>
      </c>
    </row>
    <row r="190" ht="15.0" customHeight="1">
      <c r="A190" s="8" t="s">
        <v>200</v>
      </c>
      <c r="B190" s="8">
        <v>509.0</v>
      </c>
      <c r="C190" s="8">
        <v>1.0</v>
      </c>
      <c r="AJ190" s="8">
        <v>1.0</v>
      </c>
      <c r="BV190" s="8">
        <v>1.0</v>
      </c>
    </row>
    <row r="191" ht="15.0" customHeight="1">
      <c r="A191" s="8" t="s">
        <v>206</v>
      </c>
      <c r="B191" s="8">
        <v>510.0</v>
      </c>
      <c r="C191" s="8">
        <v>1.0</v>
      </c>
      <c r="AF191" s="8">
        <v>1.0</v>
      </c>
      <c r="AJ191" s="8">
        <v>1.0</v>
      </c>
      <c r="BP191" s="8">
        <v>1.0</v>
      </c>
    </row>
    <row r="192" ht="15.0" customHeight="1">
      <c r="A192" s="8" t="s">
        <v>206</v>
      </c>
      <c r="B192" s="8">
        <v>511.0</v>
      </c>
      <c r="C192" s="8">
        <v>1.0</v>
      </c>
    </row>
    <row r="193" ht="15.0" customHeight="1">
      <c r="A193" s="8" t="s">
        <v>206</v>
      </c>
      <c r="B193" s="8">
        <v>512.0</v>
      </c>
      <c r="C193" s="8">
        <v>1.0</v>
      </c>
      <c r="BL193" s="8">
        <v>1.0</v>
      </c>
    </row>
    <row r="194" ht="15.0" customHeight="1">
      <c r="A194" s="8" t="s">
        <v>129</v>
      </c>
      <c r="B194" s="8">
        <v>513.0</v>
      </c>
      <c r="C194" s="8">
        <v>1.0</v>
      </c>
    </row>
    <row r="195" ht="15.0" customHeight="1">
      <c r="A195" s="8" t="s">
        <v>129</v>
      </c>
      <c r="B195" s="8">
        <v>514.0</v>
      </c>
      <c r="C195" s="8">
        <v>1.0</v>
      </c>
      <c r="L195" s="8">
        <v>1.0</v>
      </c>
      <c r="M195" s="8">
        <v>1.0</v>
      </c>
      <c r="AT195" s="8">
        <v>1.0</v>
      </c>
    </row>
    <row r="196" ht="15.0" customHeight="1">
      <c r="A196" s="8" t="s">
        <v>129</v>
      </c>
      <c r="B196" s="8">
        <v>515.0</v>
      </c>
      <c r="C196" s="8">
        <v>1.0</v>
      </c>
    </row>
    <row r="197" ht="15.0" customHeight="1">
      <c r="A197" s="8" t="s">
        <v>129</v>
      </c>
      <c r="B197" s="8">
        <v>516.0</v>
      </c>
      <c r="C197" s="8">
        <v>1.0</v>
      </c>
      <c r="L197" s="8">
        <v>1.0</v>
      </c>
    </row>
    <row r="198" ht="15.0" customHeight="1">
      <c r="A198" s="8" t="s">
        <v>255</v>
      </c>
      <c r="B198" s="8">
        <v>517.0</v>
      </c>
      <c r="C198" s="8">
        <v>1.0</v>
      </c>
      <c r="L198" s="8">
        <v>1.0</v>
      </c>
      <c r="M198" s="8">
        <v>1.0</v>
      </c>
      <c r="Q198" s="8">
        <v>1.0</v>
      </c>
      <c r="U198" s="8">
        <v>1.0</v>
      </c>
      <c r="BS198" s="8">
        <v>1.0</v>
      </c>
    </row>
    <row r="199" ht="15.0" customHeight="1">
      <c r="A199" s="8" t="s">
        <v>255</v>
      </c>
      <c r="B199" s="8">
        <v>518.0</v>
      </c>
      <c r="C199" s="8">
        <v>1.0</v>
      </c>
      <c r="L199" s="8">
        <v>1.0</v>
      </c>
      <c r="BI199" s="8">
        <v>1.0</v>
      </c>
    </row>
    <row r="200" ht="15.0" customHeight="1">
      <c r="A200" s="8" t="s">
        <v>216</v>
      </c>
      <c r="B200" s="8">
        <v>519.0</v>
      </c>
      <c r="C200" s="8">
        <v>1.0</v>
      </c>
    </row>
    <row r="201" ht="15.0" customHeight="1">
      <c r="A201" s="8" t="s">
        <v>216</v>
      </c>
      <c r="B201" s="8">
        <v>520.0</v>
      </c>
      <c r="C201" s="8">
        <v>1.0</v>
      </c>
      <c r="AT201" s="8">
        <v>1.0</v>
      </c>
      <c r="BV201" s="8">
        <v>1.0</v>
      </c>
    </row>
    <row r="202" ht="15.0" customHeight="1">
      <c r="A202" s="8" t="s">
        <v>216</v>
      </c>
      <c r="B202" s="8">
        <v>521.0</v>
      </c>
      <c r="C202" s="8">
        <v>1.0</v>
      </c>
    </row>
    <row r="203" ht="15.0" customHeight="1">
      <c r="A203" s="8" t="s">
        <v>216</v>
      </c>
      <c r="B203" s="8">
        <v>522.0</v>
      </c>
      <c r="AT203" s="8">
        <v>1.0</v>
      </c>
      <c r="BM203" s="8">
        <v>1.0</v>
      </c>
    </row>
    <row r="204" ht="15.0" customHeight="1">
      <c r="A204" s="8" t="s">
        <v>216</v>
      </c>
      <c r="B204" s="8">
        <v>523.0</v>
      </c>
      <c r="C204" s="8">
        <v>1.0</v>
      </c>
      <c r="M204" s="8">
        <v>1.0</v>
      </c>
    </row>
    <row r="205" ht="15.0" customHeight="1">
      <c r="A205" s="8" t="s">
        <v>130</v>
      </c>
      <c r="B205" s="8">
        <v>524.0</v>
      </c>
      <c r="C205" s="8">
        <v>1.0</v>
      </c>
      <c r="L205" s="8">
        <v>1.0</v>
      </c>
      <c r="T205" s="8">
        <v>1.0</v>
      </c>
      <c r="AG205" s="8">
        <v>1.0</v>
      </c>
      <c r="AO205" s="8">
        <v>1.0</v>
      </c>
      <c r="AT205" s="8">
        <v>1.0</v>
      </c>
      <c r="AY205" s="8">
        <v>1.0</v>
      </c>
      <c r="BG205" s="8">
        <v>1.0</v>
      </c>
    </row>
    <row r="206" ht="15.0" customHeight="1">
      <c r="A206" s="8" t="s">
        <v>130</v>
      </c>
      <c r="B206" s="8">
        <v>525.0</v>
      </c>
      <c r="C206" s="8">
        <v>1.0</v>
      </c>
      <c r="L206" s="8">
        <v>1.0</v>
      </c>
      <c r="AC206" s="8">
        <v>1.0</v>
      </c>
      <c r="AG206" s="8">
        <v>1.0</v>
      </c>
      <c r="AT206" s="8">
        <v>1.0</v>
      </c>
      <c r="AY206" s="8">
        <v>1.0</v>
      </c>
    </row>
    <row r="207" ht="15.0" customHeight="1">
      <c r="A207" s="8" t="s">
        <v>130</v>
      </c>
      <c r="B207" s="8">
        <v>528.0</v>
      </c>
      <c r="C207" s="8">
        <v>1.0</v>
      </c>
      <c r="L207" s="8">
        <v>1.0</v>
      </c>
      <c r="M207" s="8">
        <v>1.0</v>
      </c>
      <c r="AK207" s="8">
        <v>1.0</v>
      </c>
      <c r="AT207" s="8">
        <v>1.0</v>
      </c>
      <c r="BK207" s="8">
        <v>1.0</v>
      </c>
      <c r="BU207" s="8">
        <v>1.0</v>
      </c>
    </row>
    <row r="208" ht="15.0" customHeight="1">
      <c r="A208" s="8" t="s">
        <v>183</v>
      </c>
      <c r="B208" s="8">
        <v>529.0</v>
      </c>
      <c r="C208" s="8">
        <v>1.0</v>
      </c>
    </row>
    <row r="209" ht="15.0" customHeight="1">
      <c r="A209" s="8" t="s">
        <v>256</v>
      </c>
      <c r="B209" s="8">
        <v>530.0</v>
      </c>
      <c r="C209" s="8">
        <v>1.0</v>
      </c>
    </row>
    <row r="210" ht="15.0" customHeight="1">
      <c r="A210" s="8" t="s">
        <v>131</v>
      </c>
      <c r="B210" s="8">
        <v>531.0</v>
      </c>
      <c r="C210" s="8">
        <v>1.0</v>
      </c>
      <c r="L210" s="8">
        <v>1.0</v>
      </c>
      <c r="M210" s="8">
        <v>1.0</v>
      </c>
      <c r="AJ210" s="8">
        <v>1.0</v>
      </c>
      <c r="AK210" s="8">
        <v>1.0</v>
      </c>
      <c r="AR210" s="8">
        <v>1.0</v>
      </c>
      <c r="AT210" s="8">
        <v>1.0</v>
      </c>
      <c r="BE210" s="8">
        <v>1.0</v>
      </c>
      <c r="BM210" s="8">
        <v>1.0</v>
      </c>
      <c r="BN210" s="8">
        <v>1.0</v>
      </c>
      <c r="BO210" s="8">
        <v>1.0</v>
      </c>
      <c r="BP210" s="8">
        <v>1.0</v>
      </c>
      <c r="BQ210" s="8">
        <v>1.0</v>
      </c>
      <c r="BU210" s="8">
        <v>1.0</v>
      </c>
      <c r="BV210" s="8">
        <v>1.0</v>
      </c>
    </row>
    <row r="211" ht="15.0" customHeight="1">
      <c r="A211" s="8" t="s">
        <v>131</v>
      </c>
      <c r="B211" s="8">
        <v>532.0</v>
      </c>
      <c r="C211" s="8">
        <v>1.0</v>
      </c>
      <c r="BM211" s="8">
        <v>1.0</v>
      </c>
      <c r="BV211" s="8">
        <v>1.0</v>
      </c>
    </row>
    <row r="212" ht="15.0" customHeight="1">
      <c r="A212" s="8" t="s">
        <v>132</v>
      </c>
      <c r="B212" s="8">
        <v>533.0</v>
      </c>
      <c r="C212" s="8">
        <v>1.0</v>
      </c>
    </row>
    <row r="213" ht="15.0" customHeight="1">
      <c r="A213" s="8" t="s">
        <v>132</v>
      </c>
      <c r="B213" s="8">
        <v>534.0</v>
      </c>
      <c r="C213" s="8">
        <v>1.0</v>
      </c>
      <c r="T213" s="8">
        <v>1.0</v>
      </c>
    </row>
    <row r="214" ht="15.0" customHeight="1">
      <c r="A214" s="8" t="s">
        <v>132</v>
      </c>
      <c r="B214" s="8">
        <v>535.0</v>
      </c>
      <c r="C214" s="8">
        <v>1.0</v>
      </c>
      <c r="BA214" s="8">
        <v>1.0</v>
      </c>
      <c r="BH214" s="8">
        <v>1.0</v>
      </c>
      <c r="BV214" s="8">
        <v>1.0</v>
      </c>
    </row>
    <row r="215" ht="15.0" customHeight="1">
      <c r="A215" s="8" t="s">
        <v>132</v>
      </c>
      <c r="B215" s="8">
        <v>536.0</v>
      </c>
      <c r="C215" s="8">
        <v>1.0</v>
      </c>
      <c r="T215" s="8">
        <v>1.0</v>
      </c>
      <c r="AK215" s="8">
        <v>1.0</v>
      </c>
      <c r="BH215" s="8">
        <v>1.0</v>
      </c>
    </row>
    <row r="216" ht="15.0" customHeight="1">
      <c r="A216" s="8" t="s">
        <v>132</v>
      </c>
      <c r="B216" s="8">
        <v>537.0</v>
      </c>
      <c r="C216" s="8">
        <v>1.0</v>
      </c>
      <c r="E216" s="8">
        <v>1.0</v>
      </c>
      <c r="L216" s="8">
        <v>1.0</v>
      </c>
      <c r="M216" s="8">
        <v>1.0</v>
      </c>
      <c r="T216" s="8">
        <v>1.0</v>
      </c>
      <c r="BV216" s="8">
        <v>1.0</v>
      </c>
    </row>
    <row r="217" ht="15.0" customHeight="1">
      <c r="A217" s="8" t="s">
        <v>194</v>
      </c>
      <c r="B217" s="8">
        <v>538.0</v>
      </c>
      <c r="C217" s="8">
        <v>1.0</v>
      </c>
      <c r="AW217" s="8">
        <v>1.0</v>
      </c>
      <c r="BH217" s="8">
        <v>1.0</v>
      </c>
    </row>
    <row r="218" ht="15.0" customHeight="1">
      <c r="A218" s="8" t="s">
        <v>194</v>
      </c>
      <c r="B218" s="8">
        <v>539.0</v>
      </c>
      <c r="C218" s="8">
        <v>1.0</v>
      </c>
      <c r="L218" s="8">
        <v>1.0</v>
      </c>
      <c r="AT218" s="8">
        <v>1.0</v>
      </c>
      <c r="BA218" s="8">
        <v>1.0</v>
      </c>
      <c r="BD218" s="8">
        <v>1.0</v>
      </c>
      <c r="BH218" s="8">
        <v>1.0</v>
      </c>
      <c r="BN218" s="8">
        <v>1.0</v>
      </c>
      <c r="BS218" s="8">
        <v>1.0</v>
      </c>
      <c r="BV218" s="8">
        <v>1.0</v>
      </c>
    </row>
    <row r="219" ht="15.0" customHeight="1">
      <c r="A219" s="8" t="s">
        <v>194</v>
      </c>
      <c r="B219" s="8">
        <v>540.0</v>
      </c>
      <c r="C219" s="8">
        <v>1.0</v>
      </c>
      <c r="L219" s="8">
        <v>1.0</v>
      </c>
      <c r="BA219" s="8">
        <v>1.0</v>
      </c>
      <c r="BD219" s="8">
        <v>1.0</v>
      </c>
      <c r="BN219" s="8">
        <v>1.0</v>
      </c>
      <c r="BV219" s="8">
        <v>1.0</v>
      </c>
    </row>
    <row r="220" ht="15.0" customHeight="1">
      <c r="A220" s="8" t="s">
        <v>133</v>
      </c>
      <c r="B220" s="8">
        <v>541.0</v>
      </c>
      <c r="C220" s="8">
        <v>1.0</v>
      </c>
    </row>
    <row r="221" ht="15.0" customHeight="1">
      <c r="A221" s="8" t="s">
        <v>133</v>
      </c>
      <c r="B221" s="8">
        <v>542.0</v>
      </c>
      <c r="C221" s="8">
        <v>1.0</v>
      </c>
    </row>
    <row r="222" ht="15.0" customHeight="1">
      <c r="A222" s="8" t="s">
        <v>257</v>
      </c>
      <c r="B222" s="8">
        <v>543.0</v>
      </c>
      <c r="C222" s="8">
        <v>1.0</v>
      </c>
      <c r="L222" s="8">
        <v>1.0</v>
      </c>
      <c r="T222" s="8">
        <v>1.0</v>
      </c>
      <c r="BU222" s="8">
        <v>1.0</v>
      </c>
      <c r="BV222" s="8">
        <v>1.0</v>
      </c>
    </row>
    <row r="223" ht="15.0" customHeight="1">
      <c r="A223" s="8" t="s">
        <v>257</v>
      </c>
      <c r="B223" s="8">
        <v>544.0</v>
      </c>
      <c r="C223" s="8">
        <v>1.0</v>
      </c>
      <c r="L223" s="8">
        <v>1.0</v>
      </c>
      <c r="T223" s="8">
        <v>1.0</v>
      </c>
      <c r="BU223" s="8">
        <v>1.0</v>
      </c>
      <c r="BV223" s="8">
        <v>1.0</v>
      </c>
    </row>
    <row r="224" ht="15.0" customHeight="1">
      <c r="A224" s="8" t="s">
        <v>257</v>
      </c>
      <c r="B224" s="8">
        <v>545.0</v>
      </c>
      <c r="C224" s="8">
        <v>1.0</v>
      </c>
      <c r="G224" s="8">
        <v>1.0</v>
      </c>
      <c r="AV224" s="8">
        <v>1.0</v>
      </c>
      <c r="BI224" s="8">
        <v>1.0</v>
      </c>
      <c r="BV224" s="8">
        <v>1.0</v>
      </c>
    </row>
    <row r="225" ht="15.0" customHeight="1">
      <c r="A225" s="8" t="s">
        <v>257</v>
      </c>
      <c r="B225" s="8">
        <v>546.0</v>
      </c>
      <c r="C225" s="8">
        <v>1.0</v>
      </c>
      <c r="G225" s="8">
        <v>1.0</v>
      </c>
      <c r="AV225" s="8">
        <v>1.0</v>
      </c>
      <c r="BI225" s="8">
        <v>1.0</v>
      </c>
      <c r="BV225" s="8">
        <v>1.0</v>
      </c>
    </row>
    <row r="226" ht="15.0" customHeight="1">
      <c r="A226" s="8" t="s">
        <v>257</v>
      </c>
      <c r="B226" s="8">
        <v>547.0</v>
      </c>
      <c r="C226" s="8">
        <v>1.0</v>
      </c>
      <c r="G226" s="8">
        <v>1.0</v>
      </c>
      <c r="AV226" s="8">
        <v>1.0</v>
      </c>
      <c r="BI226" s="8">
        <v>1.0</v>
      </c>
      <c r="BV226" s="8">
        <v>1.0</v>
      </c>
    </row>
    <row r="227" ht="15.0" customHeight="1">
      <c r="A227" s="8" t="s">
        <v>257</v>
      </c>
      <c r="B227" s="8">
        <v>548.0</v>
      </c>
      <c r="C227" s="8">
        <v>1.0</v>
      </c>
      <c r="G227" s="8">
        <v>1.0</v>
      </c>
      <c r="L227" s="8">
        <v>1.0</v>
      </c>
      <c r="AR227" s="8">
        <v>1.0</v>
      </c>
      <c r="AV227" s="8">
        <v>1.0</v>
      </c>
      <c r="BF227" s="8">
        <v>1.0</v>
      </c>
      <c r="BP227" s="8">
        <v>1.0</v>
      </c>
      <c r="BQ227" s="8">
        <v>1.0</v>
      </c>
      <c r="BU227" s="8">
        <v>1.0</v>
      </c>
      <c r="BV227" s="8">
        <v>1.0</v>
      </c>
    </row>
    <row r="228" ht="15.0" customHeight="1">
      <c r="A228" s="8" t="s">
        <v>154</v>
      </c>
      <c r="B228" s="8">
        <v>549.0</v>
      </c>
      <c r="L228" s="8">
        <v>1.0</v>
      </c>
      <c r="AF228" s="8">
        <v>1.0</v>
      </c>
      <c r="AJ228" s="8">
        <v>1.0</v>
      </c>
    </row>
    <row r="229" ht="15.0" customHeight="1">
      <c r="A229" s="8" t="s">
        <v>154</v>
      </c>
      <c r="B229" s="8">
        <v>550.0</v>
      </c>
      <c r="L229" s="8">
        <v>1.0</v>
      </c>
      <c r="AJ229" s="8">
        <v>1.0</v>
      </c>
    </row>
    <row r="230" ht="15.0" customHeight="1">
      <c r="A230" s="8" t="s">
        <v>205</v>
      </c>
      <c r="B230" s="8">
        <v>551.0</v>
      </c>
      <c r="AJ230" s="8">
        <v>1.0</v>
      </c>
      <c r="AT230" s="8">
        <v>1.0</v>
      </c>
    </row>
    <row r="231" ht="15.0" customHeight="1">
      <c r="A231" s="8" t="s">
        <v>205</v>
      </c>
      <c r="B231" s="8">
        <v>552.0</v>
      </c>
      <c r="M231" s="8">
        <v>1.0</v>
      </c>
      <c r="AG231" s="8">
        <v>1.0</v>
      </c>
      <c r="AI231" s="8">
        <v>1.0</v>
      </c>
      <c r="AJ231" s="8">
        <v>1.0</v>
      </c>
      <c r="AO231" s="8">
        <v>1.0</v>
      </c>
      <c r="AT231" s="8">
        <v>1.0</v>
      </c>
      <c r="BM231" s="8">
        <v>1.0</v>
      </c>
      <c r="BV231" s="8">
        <v>1.0</v>
      </c>
    </row>
    <row r="232" ht="15.0" customHeight="1">
      <c r="A232" s="8" t="s">
        <v>135</v>
      </c>
      <c r="B232" s="8">
        <v>554.0</v>
      </c>
      <c r="AJ232" s="8">
        <v>1.0</v>
      </c>
      <c r="AQ232" s="8">
        <v>1.0</v>
      </c>
    </row>
    <row r="233" ht="15.0" customHeight="1">
      <c r="A233" s="8" t="s">
        <v>135</v>
      </c>
      <c r="B233" s="8">
        <v>555.0</v>
      </c>
      <c r="C233" s="8">
        <v>1.0</v>
      </c>
      <c r="M233" s="8">
        <v>1.0</v>
      </c>
      <c r="BM233" s="8">
        <v>1.0</v>
      </c>
    </row>
    <row r="234" ht="15.0" customHeight="1">
      <c r="A234" s="8" t="s">
        <v>135</v>
      </c>
      <c r="B234" s="8">
        <v>556.0</v>
      </c>
      <c r="C234" s="8">
        <v>1.0</v>
      </c>
      <c r="I234" s="8">
        <v>1.0</v>
      </c>
      <c r="M234" s="8">
        <v>1.0</v>
      </c>
      <c r="S234" s="8">
        <v>1.0</v>
      </c>
      <c r="X234" s="8">
        <v>1.0</v>
      </c>
      <c r="Y234" s="8">
        <v>1.0</v>
      </c>
      <c r="AF234" s="8">
        <v>1.0</v>
      </c>
      <c r="AN234" s="8">
        <v>1.0</v>
      </c>
      <c r="AQ234" s="8">
        <v>1.0</v>
      </c>
      <c r="AT234" s="8">
        <v>1.0</v>
      </c>
      <c r="AY234" s="8">
        <v>1.0</v>
      </c>
      <c r="BU234" s="8">
        <v>1.0</v>
      </c>
      <c r="BV234" s="8">
        <v>1.0</v>
      </c>
    </row>
    <row r="235" ht="15.0" customHeight="1">
      <c r="A235" s="8" t="s">
        <v>135</v>
      </c>
      <c r="B235" s="8">
        <v>557.0</v>
      </c>
      <c r="BU235" s="8">
        <v>1.0</v>
      </c>
    </row>
    <row r="236" ht="15.0" customHeight="1">
      <c r="A236" s="8" t="s">
        <v>135</v>
      </c>
      <c r="B236" s="8">
        <v>558.0</v>
      </c>
      <c r="BU236" s="8">
        <v>1.0</v>
      </c>
    </row>
    <row r="237" ht="15.0" customHeight="1">
      <c r="A237" s="8" t="s">
        <v>135</v>
      </c>
      <c r="B237" s="8">
        <v>559.0</v>
      </c>
      <c r="BU237" s="8">
        <v>1.0</v>
      </c>
    </row>
    <row r="238" ht="15.0" customHeight="1">
      <c r="A238" s="8" t="s">
        <v>237</v>
      </c>
      <c r="B238" s="8">
        <v>560.0</v>
      </c>
      <c r="C238" s="8">
        <v>1.0</v>
      </c>
      <c r="L238" s="8">
        <v>1.0</v>
      </c>
      <c r="AJ238" s="8">
        <v>1.0</v>
      </c>
      <c r="AQ238" s="8">
        <v>1.0</v>
      </c>
      <c r="AS238" s="8">
        <v>1.0</v>
      </c>
      <c r="BD238" s="8">
        <v>1.0</v>
      </c>
    </row>
    <row r="239" ht="15.0" customHeight="1">
      <c r="A239" s="8" t="s">
        <v>237</v>
      </c>
      <c r="B239" s="8">
        <v>561.0</v>
      </c>
      <c r="C239" s="8">
        <v>1.0</v>
      </c>
    </row>
    <row r="240" ht="15.0" customHeight="1">
      <c r="A240" s="8" t="s">
        <v>237</v>
      </c>
      <c r="B240" s="8">
        <v>562.0</v>
      </c>
      <c r="C240" s="8">
        <v>1.0</v>
      </c>
      <c r="AQ240" s="8">
        <v>1.0</v>
      </c>
      <c r="BW240" s="8">
        <v>1.0</v>
      </c>
    </row>
    <row r="241" ht="15.0" customHeight="1">
      <c r="A241" s="8" t="s">
        <v>237</v>
      </c>
      <c r="B241" s="8">
        <v>563.0</v>
      </c>
      <c r="C241" s="8">
        <v>1.0</v>
      </c>
    </row>
    <row r="242" ht="15.0" customHeight="1">
      <c r="A242" s="8" t="s">
        <v>152</v>
      </c>
      <c r="B242" s="8">
        <v>564.0</v>
      </c>
      <c r="C242" s="8">
        <v>1.0</v>
      </c>
      <c r="D242" s="8">
        <v>1.0</v>
      </c>
      <c r="AJ242" s="8">
        <v>1.0</v>
      </c>
      <c r="BK242" s="8">
        <v>1.0</v>
      </c>
    </row>
    <row r="243" ht="15.0" customHeight="1">
      <c r="A243" s="8" t="s">
        <v>218</v>
      </c>
      <c r="B243" s="8">
        <v>565.0</v>
      </c>
      <c r="C243" s="8">
        <v>1.0</v>
      </c>
      <c r="AJ243" s="8">
        <v>1.0</v>
      </c>
      <c r="BP243" s="8">
        <v>1.0</v>
      </c>
    </row>
    <row r="244" ht="15.0" customHeight="1">
      <c r="A244" s="8" t="s">
        <v>218</v>
      </c>
      <c r="B244" s="8">
        <v>566.0</v>
      </c>
      <c r="C244" s="8">
        <v>1.0</v>
      </c>
      <c r="L244" s="8">
        <v>1.0</v>
      </c>
      <c r="T244" s="8">
        <v>1.0</v>
      </c>
      <c r="AJ244" s="8">
        <v>1.0</v>
      </c>
      <c r="BD244" s="8">
        <v>1.0</v>
      </c>
      <c r="BF244" s="8">
        <v>1.0</v>
      </c>
      <c r="BK244" s="8">
        <v>1.0</v>
      </c>
      <c r="BM244" s="8">
        <v>1.0</v>
      </c>
      <c r="BP244" s="8">
        <v>1.0</v>
      </c>
      <c r="BR244" s="8">
        <v>1.0</v>
      </c>
      <c r="BV244" s="8">
        <v>1.0</v>
      </c>
    </row>
    <row r="245" ht="15.0" customHeight="1">
      <c r="A245" s="8" t="s">
        <v>218</v>
      </c>
      <c r="B245" s="8">
        <v>567.0</v>
      </c>
      <c r="C245" s="8">
        <v>1.0</v>
      </c>
      <c r="L245" s="8">
        <v>1.0</v>
      </c>
      <c r="BT245" s="8">
        <v>1.0</v>
      </c>
    </row>
    <row r="246" ht="15.0" customHeight="1">
      <c r="A246" s="8" t="s">
        <v>218</v>
      </c>
      <c r="B246" s="8">
        <v>568.0</v>
      </c>
      <c r="C246" s="8">
        <v>1.0</v>
      </c>
      <c r="W246" s="8">
        <v>1.0</v>
      </c>
      <c r="AP246" s="8">
        <v>1.0</v>
      </c>
      <c r="BQ246" s="8">
        <v>1.0</v>
      </c>
      <c r="BR246" s="8">
        <v>1.0</v>
      </c>
      <c r="BV246" s="8">
        <v>1.0</v>
      </c>
    </row>
    <row r="247" ht="15.0" customHeight="1">
      <c r="A247" s="8" t="s">
        <v>219</v>
      </c>
      <c r="B247" s="8">
        <v>569.0</v>
      </c>
      <c r="AJ247" s="8">
        <v>1.0</v>
      </c>
      <c r="BP247" s="8">
        <v>1.0</v>
      </c>
    </row>
    <row r="248" ht="15.0" customHeight="1">
      <c r="A248" s="8" t="s">
        <v>219</v>
      </c>
      <c r="B248" s="8">
        <v>570.0</v>
      </c>
      <c r="C248" s="8">
        <v>1.0</v>
      </c>
      <c r="BM248" s="8">
        <v>1.0</v>
      </c>
    </row>
    <row r="249" ht="15.0" customHeight="1">
      <c r="A249" s="8" t="s">
        <v>220</v>
      </c>
      <c r="B249" s="8">
        <v>571.0</v>
      </c>
      <c r="C249" s="8">
        <v>1.0</v>
      </c>
      <c r="L249" s="8">
        <v>1.0</v>
      </c>
      <c r="T249" s="8">
        <v>1.0</v>
      </c>
      <c r="AF249" s="8">
        <v>1.0</v>
      </c>
      <c r="AG249" s="8">
        <v>1.0</v>
      </c>
      <c r="AJ249" s="8">
        <v>1.0</v>
      </c>
      <c r="AO249" s="8">
        <v>1.0</v>
      </c>
      <c r="BQ249" s="8">
        <v>1.0</v>
      </c>
      <c r="BY249" s="8">
        <v>1.0</v>
      </c>
    </row>
    <row r="250" ht="15.0" customHeight="1">
      <c r="A250" s="8" t="s">
        <v>220</v>
      </c>
      <c r="B250" s="8">
        <v>572.0</v>
      </c>
      <c r="C250" s="8">
        <v>1.0</v>
      </c>
      <c r="L250" s="8">
        <v>1.0</v>
      </c>
      <c r="T250" s="8">
        <v>1.0</v>
      </c>
      <c r="AS250" s="8">
        <v>1.0</v>
      </c>
      <c r="BM250" s="8">
        <v>1.0</v>
      </c>
      <c r="BU250" s="8">
        <v>1.0</v>
      </c>
      <c r="BV250" s="8">
        <v>1.0</v>
      </c>
    </row>
    <row r="251" ht="15.0" customHeight="1">
      <c r="A251" s="8" t="s">
        <v>136</v>
      </c>
      <c r="B251" s="8">
        <v>573.0</v>
      </c>
      <c r="C251" s="8">
        <v>1.0</v>
      </c>
      <c r="AJ251" s="8">
        <v>1.0</v>
      </c>
    </row>
    <row r="252" ht="15.0" customHeight="1">
      <c r="A252" s="8" t="s">
        <v>136</v>
      </c>
      <c r="B252" s="8">
        <v>574.0</v>
      </c>
      <c r="C252" s="8">
        <v>1.0</v>
      </c>
      <c r="L252" s="8">
        <v>1.0</v>
      </c>
      <c r="AJ252" s="8">
        <v>1.0</v>
      </c>
      <c r="BG252" s="8">
        <v>1.0</v>
      </c>
      <c r="BJ252" s="8">
        <v>1.0</v>
      </c>
      <c r="BK252" s="8">
        <v>1.0</v>
      </c>
      <c r="BM252" s="8">
        <v>1.0</v>
      </c>
      <c r="BR252" s="8">
        <v>1.0</v>
      </c>
      <c r="BV252" s="8">
        <v>1.0</v>
      </c>
    </row>
    <row r="253" ht="15.0" customHeight="1">
      <c r="A253" s="8" t="s">
        <v>136</v>
      </c>
      <c r="B253" s="8">
        <v>575.0</v>
      </c>
      <c r="BM253" s="8">
        <v>1.0</v>
      </c>
    </row>
    <row r="254" ht="15.0" customHeight="1">
      <c r="A254" s="8" t="s">
        <v>190</v>
      </c>
      <c r="B254" s="8">
        <v>576.0</v>
      </c>
      <c r="C254" s="8">
        <v>1.0</v>
      </c>
      <c r="AG254" s="8">
        <v>1.0</v>
      </c>
      <c r="AO254" s="8">
        <v>1.0</v>
      </c>
      <c r="BG254" s="8">
        <v>1.0</v>
      </c>
      <c r="BM254" s="8">
        <v>1.0</v>
      </c>
    </row>
    <row r="255" ht="15.0" customHeight="1">
      <c r="A255" s="8" t="s">
        <v>190</v>
      </c>
      <c r="B255" s="8">
        <v>577.0</v>
      </c>
      <c r="C255" s="8">
        <v>1.0</v>
      </c>
      <c r="L255" s="8">
        <v>1.0</v>
      </c>
      <c r="S255" s="8">
        <v>1.0</v>
      </c>
      <c r="BI255" s="8">
        <v>1.0</v>
      </c>
    </row>
    <row r="256" ht="15.0" customHeight="1">
      <c r="A256" s="8" t="s">
        <v>190</v>
      </c>
      <c r="B256" s="8">
        <v>578.0</v>
      </c>
      <c r="C256" s="8">
        <v>1.0</v>
      </c>
      <c r="P256" s="8">
        <v>1.0</v>
      </c>
      <c r="S256" s="8">
        <v>1.0</v>
      </c>
      <c r="AF256" s="8">
        <v>1.0</v>
      </c>
      <c r="AJ256" s="8">
        <v>1.0</v>
      </c>
      <c r="AR256" s="8">
        <v>1.0</v>
      </c>
      <c r="BA256" s="8">
        <v>1.0</v>
      </c>
      <c r="BD256" s="8">
        <v>1.0</v>
      </c>
      <c r="BI256" s="8">
        <v>1.0</v>
      </c>
    </row>
    <row r="257" ht="15.0" customHeight="1">
      <c r="A257" s="8" t="s">
        <v>190</v>
      </c>
      <c r="B257" s="8">
        <v>579.0</v>
      </c>
      <c r="BI257" s="8">
        <v>1.0</v>
      </c>
      <c r="BM257" s="8">
        <v>1.0</v>
      </c>
    </row>
    <row r="258" ht="15.0" customHeight="1">
      <c r="A258" s="8" t="s">
        <v>193</v>
      </c>
      <c r="B258" s="8">
        <v>580.0</v>
      </c>
      <c r="C258" s="8">
        <v>1.0</v>
      </c>
    </row>
    <row r="259" ht="15.0" customHeight="1">
      <c r="A259" s="8" t="s">
        <v>193</v>
      </c>
      <c r="B259" s="8">
        <v>581.0</v>
      </c>
      <c r="AT259" s="8">
        <v>1.0</v>
      </c>
      <c r="BH259" s="8">
        <v>1.0</v>
      </c>
      <c r="BM259" s="8">
        <v>1.0</v>
      </c>
    </row>
    <row r="260" ht="15.0" customHeight="1">
      <c r="A260" s="8" t="s">
        <v>193</v>
      </c>
      <c r="B260" s="8">
        <v>582.0</v>
      </c>
      <c r="AJ260" s="8">
        <v>1.0</v>
      </c>
      <c r="AT260" s="8">
        <v>1.0</v>
      </c>
      <c r="BH260" s="8">
        <v>1.0</v>
      </c>
      <c r="BM260" s="8">
        <v>1.0</v>
      </c>
    </row>
    <row r="261" ht="15.0" customHeight="1">
      <c r="A261" s="8" t="s">
        <v>258</v>
      </c>
      <c r="B261" s="8">
        <v>583.0</v>
      </c>
      <c r="C261" s="8">
        <v>1.0</v>
      </c>
    </row>
    <row r="262" ht="15.0" customHeight="1">
      <c r="A262" s="8" t="s">
        <v>137</v>
      </c>
      <c r="B262" s="8">
        <v>584.0</v>
      </c>
      <c r="C262" s="8">
        <v>1.0</v>
      </c>
    </row>
    <row r="263" ht="15.0" customHeight="1">
      <c r="A263" s="8" t="s">
        <v>137</v>
      </c>
      <c r="B263" s="8">
        <v>585.0</v>
      </c>
      <c r="L263" s="8">
        <v>1.0</v>
      </c>
      <c r="AJ263" s="8">
        <v>1.0</v>
      </c>
    </row>
    <row r="264" ht="15.0" customHeight="1">
      <c r="A264" s="8" t="s">
        <v>137</v>
      </c>
      <c r="B264" s="8">
        <v>586.0</v>
      </c>
      <c r="C264" s="8">
        <v>1.0</v>
      </c>
      <c r="L264" s="8">
        <v>1.0</v>
      </c>
      <c r="S264" s="8">
        <v>1.0</v>
      </c>
      <c r="T264" s="8">
        <v>1.0</v>
      </c>
      <c r="AF264" s="8">
        <v>1.0</v>
      </c>
      <c r="AJ264" s="8">
        <v>1.0</v>
      </c>
      <c r="AQ264" s="8">
        <v>1.0</v>
      </c>
      <c r="AR264" s="8">
        <v>1.0</v>
      </c>
      <c r="AT264" s="8">
        <v>1.0</v>
      </c>
      <c r="BE264" s="8">
        <v>1.0</v>
      </c>
      <c r="BF264" s="8">
        <v>1.0</v>
      </c>
      <c r="BM264" s="8">
        <v>1.0</v>
      </c>
      <c r="BO264" s="8">
        <v>1.0</v>
      </c>
      <c r="BP264" s="8">
        <v>1.0</v>
      </c>
      <c r="BU264" s="8">
        <v>1.0</v>
      </c>
      <c r="BV264" s="8">
        <v>1.0</v>
      </c>
    </row>
    <row r="265" ht="15.0" customHeight="1">
      <c r="A265" s="8" t="s">
        <v>259</v>
      </c>
      <c r="B265" s="8">
        <v>589.0</v>
      </c>
      <c r="C265" s="8">
        <v>1.0</v>
      </c>
      <c r="N265" s="8">
        <v>1.0</v>
      </c>
      <c r="BM265" s="8">
        <v>1.0</v>
      </c>
      <c r="BQ265" s="8">
        <v>1.0</v>
      </c>
      <c r="BX265" s="8">
        <v>1.0</v>
      </c>
    </row>
    <row r="266" ht="15.0" customHeight="1">
      <c r="A266" s="8" t="s">
        <v>259</v>
      </c>
      <c r="B266" s="8">
        <v>590.0</v>
      </c>
      <c r="C266" s="8">
        <v>1.0</v>
      </c>
      <c r="BQ266" s="8">
        <v>1.0</v>
      </c>
    </row>
    <row r="267" ht="15.0" customHeight="1">
      <c r="A267" s="8" t="s">
        <v>260</v>
      </c>
      <c r="B267" s="8">
        <v>592.0</v>
      </c>
      <c r="C267" s="8">
        <v>1.0</v>
      </c>
    </row>
    <row r="268" ht="15.0" customHeight="1">
      <c r="A268" s="8" t="s">
        <v>260</v>
      </c>
      <c r="B268" s="8">
        <v>593.0</v>
      </c>
      <c r="C268" s="8">
        <v>1.0</v>
      </c>
    </row>
    <row r="269" ht="15.0" customHeight="1">
      <c r="A269" s="8" t="s">
        <v>260</v>
      </c>
      <c r="B269" s="8">
        <v>594.0</v>
      </c>
      <c r="C269" s="8">
        <v>1.0</v>
      </c>
      <c r="AJ269" s="8">
        <v>1.0</v>
      </c>
      <c r="BP269" s="8">
        <v>1.0</v>
      </c>
    </row>
    <row r="270" ht="15.0" customHeight="1">
      <c r="A270" s="8" t="s">
        <v>261</v>
      </c>
      <c r="B270" s="8">
        <v>595.0</v>
      </c>
      <c r="C270" s="8">
        <v>1.0</v>
      </c>
      <c r="M270" s="8">
        <v>1.0</v>
      </c>
    </row>
    <row r="271" ht="15.0" customHeight="1">
      <c r="A271" s="8" t="s">
        <v>261</v>
      </c>
      <c r="B271" s="8">
        <v>597.0</v>
      </c>
      <c r="AH271" s="8">
        <v>1.0</v>
      </c>
      <c r="AQ271" s="8">
        <v>1.0</v>
      </c>
      <c r="BI271" s="8">
        <v>1.0</v>
      </c>
      <c r="BM271" s="8">
        <v>1.0</v>
      </c>
      <c r="BU271" s="8">
        <v>1.0</v>
      </c>
    </row>
    <row r="272" ht="15.0" customHeight="1">
      <c r="A272" s="8" t="s">
        <v>261</v>
      </c>
      <c r="B272" s="8">
        <v>598.0</v>
      </c>
      <c r="C272" s="8">
        <v>1.0</v>
      </c>
      <c r="AQ272" s="8">
        <v>1.0</v>
      </c>
      <c r="AU272" s="8">
        <v>1.0</v>
      </c>
      <c r="BU272" s="8">
        <v>1.0</v>
      </c>
    </row>
    <row r="273" ht="15.0" customHeight="1">
      <c r="A273" s="8" t="s">
        <v>261</v>
      </c>
      <c r="B273" s="8">
        <v>599.0</v>
      </c>
      <c r="AR273" s="8">
        <v>1.0</v>
      </c>
      <c r="BU273" s="8">
        <v>1.0</v>
      </c>
    </row>
    <row r="274" ht="15.0" customHeight="1">
      <c r="A274" s="8" t="s">
        <v>261</v>
      </c>
      <c r="B274" s="8">
        <v>600.0</v>
      </c>
      <c r="C274" s="8">
        <v>1.0</v>
      </c>
      <c r="AK274" s="8">
        <v>1.0</v>
      </c>
      <c r="AR274" s="8">
        <v>1.0</v>
      </c>
      <c r="BH274" s="8">
        <v>1.0</v>
      </c>
      <c r="BN274" s="8">
        <v>1.0</v>
      </c>
      <c r="BV274" s="8">
        <v>1.0</v>
      </c>
    </row>
    <row r="275" ht="15.0" customHeight="1">
      <c r="A275" s="8" t="s">
        <v>138</v>
      </c>
      <c r="B275" s="8">
        <v>603.0</v>
      </c>
      <c r="AJ275" s="8">
        <v>1.0</v>
      </c>
    </row>
    <row r="276" ht="15.0" customHeight="1">
      <c r="A276" s="8" t="s">
        <v>138</v>
      </c>
      <c r="B276" s="8">
        <v>604.0</v>
      </c>
      <c r="C276" s="8">
        <v>1.0</v>
      </c>
      <c r="AJ276" s="8">
        <v>1.0</v>
      </c>
    </row>
    <row r="277" ht="15.0" customHeight="1">
      <c r="A277" s="8" t="s">
        <v>138</v>
      </c>
      <c r="B277" s="8">
        <v>605.0</v>
      </c>
      <c r="C277" s="8">
        <v>1.0</v>
      </c>
      <c r="I277" s="8">
        <v>1.0</v>
      </c>
      <c r="L277" s="8">
        <v>1.0</v>
      </c>
      <c r="M277" s="8">
        <v>1.0</v>
      </c>
      <c r="AF277" s="8">
        <v>1.0</v>
      </c>
      <c r="AJ277" s="8">
        <v>1.0</v>
      </c>
      <c r="AQ277" s="8">
        <v>1.0</v>
      </c>
      <c r="AR277" s="8">
        <v>1.0</v>
      </c>
      <c r="AT277" s="8">
        <v>1.0</v>
      </c>
      <c r="BA277" s="8">
        <v>1.0</v>
      </c>
      <c r="BF277" s="8">
        <v>1.0</v>
      </c>
      <c r="BH277" s="8">
        <v>1.0</v>
      </c>
    </row>
    <row r="278" ht="15.0" customHeight="1">
      <c r="A278" s="8" t="s">
        <v>138</v>
      </c>
      <c r="B278" s="8">
        <v>606.0</v>
      </c>
      <c r="AJ278" s="8">
        <v>1.0</v>
      </c>
    </row>
    <row r="279" ht="15.0" customHeight="1">
      <c r="A279" s="8" t="s">
        <v>204</v>
      </c>
      <c r="B279" s="8">
        <v>610.0</v>
      </c>
      <c r="C279" s="8">
        <v>1.0</v>
      </c>
      <c r="BQ279" s="8">
        <v>1.0</v>
      </c>
      <c r="BV279" s="8">
        <v>1.0</v>
      </c>
    </row>
    <row r="280" ht="15.0" customHeight="1">
      <c r="A280" s="8" t="s">
        <v>204</v>
      </c>
      <c r="B280" s="8">
        <v>611.0</v>
      </c>
      <c r="C280" s="8">
        <v>1.0</v>
      </c>
      <c r="BV280" s="8">
        <v>1.0</v>
      </c>
    </row>
    <row r="281" ht="15.0" customHeight="1">
      <c r="A281" s="8" t="s">
        <v>204</v>
      </c>
      <c r="B281" s="8">
        <v>612.0</v>
      </c>
      <c r="C281" s="8">
        <v>1.0</v>
      </c>
      <c r="BV281" s="8">
        <v>1.0</v>
      </c>
    </row>
    <row r="282" ht="15.0" customHeight="1">
      <c r="A282" s="8" t="s">
        <v>204</v>
      </c>
      <c r="B282" s="8">
        <v>613.0</v>
      </c>
      <c r="C282" s="8">
        <v>1.0</v>
      </c>
      <c r="AF282" s="8">
        <v>1.0</v>
      </c>
      <c r="AJ282" s="8">
        <v>1.0</v>
      </c>
      <c r="BF282" s="8">
        <v>1.0</v>
      </c>
      <c r="BI282" s="8">
        <v>1.0</v>
      </c>
      <c r="BV282" s="8">
        <v>1.0</v>
      </c>
    </row>
    <row r="283" ht="15.0" customHeight="1">
      <c r="A283" s="8" t="s">
        <v>204</v>
      </c>
      <c r="B283" s="8">
        <v>614.0</v>
      </c>
      <c r="M283" s="8">
        <v>1.0</v>
      </c>
      <c r="BJ283" s="8">
        <v>1.0</v>
      </c>
    </row>
    <row r="284" ht="15.0" customHeight="1">
      <c r="A284" s="8" t="s">
        <v>262</v>
      </c>
      <c r="B284" s="8">
        <v>616.0</v>
      </c>
      <c r="C284" s="8">
        <v>1.0</v>
      </c>
      <c r="L284" s="8">
        <v>1.0</v>
      </c>
      <c r="M284" s="8">
        <v>1.0</v>
      </c>
      <c r="R284" s="8">
        <v>1.0</v>
      </c>
      <c r="AK284" s="8">
        <v>1.0</v>
      </c>
      <c r="AQ284" s="8">
        <v>1.0</v>
      </c>
      <c r="AR284" s="8">
        <v>1.0</v>
      </c>
      <c r="AT284" s="8">
        <v>1.0</v>
      </c>
      <c r="BF284" s="8">
        <v>1.0</v>
      </c>
      <c r="BM284" s="8">
        <v>1.0</v>
      </c>
    </row>
    <row r="285" ht="15.0" customHeight="1">
      <c r="A285" s="8" t="s">
        <v>113</v>
      </c>
      <c r="B285" s="3" t="s">
        <v>263</v>
      </c>
      <c r="L285" s="8">
        <v>1.0</v>
      </c>
      <c r="AT285" s="8">
        <v>1.0</v>
      </c>
    </row>
    <row r="286" ht="15.0" customHeight="1">
      <c r="A286" s="8" t="s">
        <v>225</v>
      </c>
      <c r="B286" s="3" t="s">
        <v>264</v>
      </c>
      <c r="C286" s="8">
        <v>1.0</v>
      </c>
      <c r="T286" s="8">
        <v>1.0</v>
      </c>
      <c r="AS286" s="8">
        <v>1.0</v>
      </c>
      <c r="AT286" s="8">
        <v>1.0</v>
      </c>
      <c r="AY286" s="8">
        <v>1.0</v>
      </c>
      <c r="BH286" s="8">
        <v>1.0</v>
      </c>
      <c r="BV286" s="8">
        <v>1.0</v>
      </c>
    </row>
    <row r="287" ht="15.0" customHeight="1">
      <c r="A287" s="8" t="s">
        <v>89</v>
      </c>
      <c r="B287" s="3" t="s">
        <v>265</v>
      </c>
      <c r="K287" s="8">
        <v>1.0</v>
      </c>
      <c r="AO287" s="8">
        <v>1.0</v>
      </c>
      <c r="AT287" s="8">
        <v>1.0</v>
      </c>
      <c r="BI287" s="8">
        <v>1.0</v>
      </c>
    </row>
    <row r="288" ht="15.0" customHeight="1">
      <c r="A288" s="8" t="s">
        <v>90</v>
      </c>
      <c r="B288" s="3" t="s">
        <v>266</v>
      </c>
      <c r="K288" s="8">
        <v>1.0</v>
      </c>
      <c r="V288" s="8">
        <v>1.0</v>
      </c>
      <c r="AG288" s="8">
        <v>1.0</v>
      </c>
      <c r="AO288" s="8">
        <v>1.0</v>
      </c>
      <c r="AT288" s="8">
        <v>1.0</v>
      </c>
      <c r="BM288" s="8">
        <v>1.0</v>
      </c>
    </row>
    <row r="289" ht="15.0" customHeight="1">
      <c r="A289" s="8" t="s">
        <v>95</v>
      </c>
      <c r="B289" s="3" t="s">
        <v>267</v>
      </c>
      <c r="K289" s="8">
        <v>1.0</v>
      </c>
      <c r="V289" s="8">
        <v>1.0</v>
      </c>
      <c r="AO289" s="8">
        <v>1.0</v>
      </c>
      <c r="AT289" s="8">
        <v>1.0</v>
      </c>
      <c r="AW289" s="8">
        <v>1.0</v>
      </c>
      <c r="BI289" s="8">
        <v>1.0</v>
      </c>
    </row>
    <row r="290" ht="15.0" customHeight="1">
      <c r="A290" s="8" t="s">
        <v>268</v>
      </c>
      <c r="B290" s="3" t="s">
        <v>269</v>
      </c>
      <c r="K290" s="8">
        <v>1.0</v>
      </c>
      <c r="V290" s="8">
        <v>1.0</v>
      </c>
      <c r="BI290" s="8">
        <v>1.0</v>
      </c>
    </row>
    <row r="291" ht="15.0" customHeight="1">
      <c r="A291" s="8" t="s">
        <v>99</v>
      </c>
      <c r="B291" s="3" t="s">
        <v>270</v>
      </c>
      <c r="K291" s="8">
        <v>1.0</v>
      </c>
      <c r="V291" s="8">
        <v>1.0</v>
      </c>
      <c r="AO291" s="8">
        <v>1.0</v>
      </c>
      <c r="AT291" s="8">
        <v>1.0</v>
      </c>
      <c r="AW291" s="8">
        <v>1.0</v>
      </c>
      <c r="BM291" s="8">
        <v>1.0</v>
      </c>
    </row>
    <row r="292" ht="15.0" customHeight="1">
      <c r="A292" s="8" t="s">
        <v>101</v>
      </c>
      <c r="B292" s="3" t="s">
        <v>271</v>
      </c>
      <c r="K292" s="8">
        <v>1.0</v>
      </c>
      <c r="V292" s="8">
        <v>1.0</v>
      </c>
      <c r="AO292" s="8">
        <v>1.0</v>
      </c>
      <c r="BI292" s="8">
        <v>1.0</v>
      </c>
    </row>
    <row r="293" ht="15.0" customHeight="1">
      <c r="A293" s="8" t="s">
        <v>146</v>
      </c>
      <c r="B293" s="3" t="s">
        <v>272</v>
      </c>
      <c r="K293" s="8">
        <v>1.0</v>
      </c>
      <c r="V293" s="8">
        <v>1.0</v>
      </c>
      <c r="BM293" s="8">
        <v>1.0</v>
      </c>
    </row>
    <row r="294" ht="15.0" customHeight="1">
      <c r="A294" s="8" t="s">
        <v>104</v>
      </c>
      <c r="B294" s="3" t="s">
        <v>273</v>
      </c>
      <c r="K294" s="8">
        <v>1.0</v>
      </c>
      <c r="V294" s="8">
        <v>1.0</v>
      </c>
      <c r="AO294" s="8">
        <v>1.0</v>
      </c>
      <c r="AW294" s="8">
        <v>1.0</v>
      </c>
      <c r="BM294" s="8">
        <v>1.0</v>
      </c>
    </row>
    <row r="295" ht="15.0" customHeight="1">
      <c r="A295" s="8" t="s">
        <v>105</v>
      </c>
      <c r="B295" s="3" t="s">
        <v>274</v>
      </c>
      <c r="K295" s="8">
        <v>1.0</v>
      </c>
      <c r="BM295" s="8">
        <v>1.0</v>
      </c>
    </row>
    <row r="296" ht="15.0" customHeight="1">
      <c r="A296" s="8" t="s">
        <v>106</v>
      </c>
      <c r="B296" s="3" t="s">
        <v>275</v>
      </c>
      <c r="K296" s="8">
        <v>1.0</v>
      </c>
      <c r="AO296" s="8">
        <v>1.0</v>
      </c>
      <c r="BI296" s="8">
        <v>1.0</v>
      </c>
    </row>
    <row r="297" ht="15.0" customHeight="1">
      <c r="A297" s="8" t="s">
        <v>117</v>
      </c>
      <c r="B297" s="3" t="s">
        <v>276</v>
      </c>
      <c r="C297" s="8">
        <v>1.0</v>
      </c>
      <c r="J297" s="8">
        <v>1.0</v>
      </c>
      <c r="L297" s="8">
        <v>1.0</v>
      </c>
      <c r="T297" s="8">
        <v>1.0</v>
      </c>
      <c r="AV297" s="8">
        <v>1.0</v>
      </c>
      <c r="BH297" s="8">
        <v>1.0</v>
      </c>
      <c r="BV297" s="8">
        <v>1.0</v>
      </c>
    </row>
    <row r="298" ht="15.0" customHeight="1">
      <c r="A298" s="8" t="s">
        <v>108</v>
      </c>
      <c r="B298" s="3" t="s">
        <v>277</v>
      </c>
      <c r="H298" s="8">
        <v>1.0</v>
      </c>
      <c r="K298" s="8">
        <v>1.0</v>
      </c>
      <c r="AO298" s="8">
        <v>1.0</v>
      </c>
    </row>
    <row r="299" ht="15.0" customHeight="1">
      <c r="A299" s="8" t="s">
        <v>113</v>
      </c>
      <c r="B299" s="3" t="s">
        <v>278</v>
      </c>
      <c r="C299" s="8">
        <v>1.0</v>
      </c>
      <c r="K299" s="8">
        <v>1.0</v>
      </c>
      <c r="AO299" s="8">
        <v>1.0</v>
      </c>
      <c r="BF299" s="8">
        <v>1.0</v>
      </c>
      <c r="BI299" s="8">
        <v>1.0</v>
      </c>
    </row>
    <row r="300" ht="15.0" customHeight="1">
      <c r="A300" s="8" t="s">
        <v>115</v>
      </c>
      <c r="B300" s="3" t="s">
        <v>279</v>
      </c>
      <c r="K300" s="8">
        <v>1.0</v>
      </c>
      <c r="AG300" s="8">
        <v>1.0</v>
      </c>
      <c r="AO300" s="8">
        <v>1.0</v>
      </c>
      <c r="AW300" s="8">
        <v>1.0</v>
      </c>
      <c r="BM300" s="8">
        <v>1.0</v>
      </c>
    </row>
    <row r="301" ht="15.0" customHeight="1">
      <c r="A301" s="8" t="s">
        <v>117</v>
      </c>
      <c r="B301" s="3" t="s">
        <v>280</v>
      </c>
      <c r="C301" s="8">
        <v>1.0</v>
      </c>
      <c r="K301" s="8">
        <v>1.0</v>
      </c>
      <c r="AG301" s="8">
        <v>1.0</v>
      </c>
      <c r="AO301" s="8">
        <v>1.0</v>
      </c>
      <c r="BI301" s="8">
        <v>1.0</v>
      </c>
    </row>
    <row r="302" ht="15.0" customHeight="1">
      <c r="A302" s="8" t="s">
        <v>120</v>
      </c>
      <c r="B302" s="3" t="s">
        <v>281</v>
      </c>
      <c r="K302" s="8">
        <v>1.0</v>
      </c>
      <c r="Z302" s="8">
        <v>1.0</v>
      </c>
      <c r="AG302" s="8">
        <v>1.0</v>
      </c>
      <c r="AO302" s="8">
        <v>1.0</v>
      </c>
      <c r="BM302" s="8">
        <v>1.0</v>
      </c>
    </row>
    <row r="303" ht="15.0" customHeight="1">
      <c r="A303" s="8" t="s">
        <v>123</v>
      </c>
      <c r="B303" s="3" t="s">
        <v>282</v>
      </c>
      <c r="K303" s="8">
        <v>1.0</v>
      </c>
      <c r="AG303" s="8">
        <v>1.0</v>
      </c>
      <c r="AO303" s="8">
        <v>1.0</v>
      </c>
      <c r="AW303" s="8">
        <v>1.0</v>
      </c>
      <c r="BI303" s="8">
        <v>1.0</v>
      </c>
    </row>
    <row r="304" ht="15.0" customHeight="1">
      <c r="A304" s="8" t="s">
        <v>128</v>
      </c>
      <c r="B304" s="3" t="s">
        <v>283</v>
      </c>
      <c r="V304" s="8">
        <v>1.0</v>
      </c>
      <c r="Z304" s="8">
        <v>1.0</v>
      </c>
      <c r="AG304" s="8">
        <v>1.0</v>
      </c>
      <c r="AO304" s="8">
        <v>1.0</v>
      </c>
      <c r="AW304" s="8">
        <v>1.0</v>
      </c>
      <c r="BI304" s="8">
        <v>1.0</v>
      </c>
    </row>
    <row r="305" ht="15.0" customHeight="1">
      <c r="A305" s="8" t="s">
        <v>129</v>
      </c>
      <c r="B305" s="3" t="s">
        <v>284</v>
      </c>
      <c r="AO305" s="8">
        <v>1.0</v>
      </c>
      <c r="AW305" s="8">
        <v>1.0</v>
      </c>
      <c r="BI305" s="8">
        <v>1.0</v>
      </c>
    </row>
    <row r="306" ht="15.0" customHeight="1">
      <c r="A306" s="8" t="s">
        <v>128</v>
      </c>
      <c r="B306" s="3" t="s">
        <v>285</v>
      </c>
      <c r="C306" s="8">
        <v>1.0</v>
      </c>
      <c r="L306" s="8">
        <v>1.0</v>
      </c>
      <c r="T306" s="8">
        <v>1.0</v>
      </c>
      <c r="AV306" s="8">
        <v>1.0</v>
      </c>
      <c r="AY306" s="8">
        <v>1.0</v>
      </c>
      <c r="BH306" s="8">
        <v>1.0</v>
      </c>
      <c r="BU306" s="8">
        <v>1.0</v>
      </c>
      <c r="BV306" s="8">
        <v>1.0</v>
      </c>
    </row>
    <row r="307" ht="15.0" customHeight="1">
      <c r="A307" s="8" t="s">
        <v>99</v>
      </c>
      <c r="B307" s="3" t="s">
        <v>286</v>
      </c>
      <c r="AF307" s="8">
        <v>1.0</v>
      </c>
      <c r="BM307" s="8">
        <v>1.0</v>
      </c>
    </row>
    <row r="308" ht="15.0" customHeight="1">
      <c r="A308" s="8" t="s">
        <v>287</v>
      </c>
      <c r="B308" s="3" t="s">
        <v>288</v>
      </c>
      <c r="C308" s="8">
        <v>1.0</v>
      </c>
      <c r="L308" s="8">
        <v>1.0</v>
      </c>
      <c r="AK308" s="8">
        <v>1.0</v>
      </c>
      <c r="BS308" s="8">
        <v>1.0</v>
      </c>
      <c r="BU308" s="8">
        <v>1.0</v>
      </c>
      <c r="BV308" s="8">
        <v>1.0</v>
      </c>
    </row>
    <row r="309" ht="15.0" customHeight="1">
      <c r="A309" s="8" t="s">
        <v>87</v>
      </c>
      <c r="B309" s="3" t="s">
        <v>289</v>
      </c>
      <c r="M309" s="8">
        <v>1.0</v>
      </c>
      <c r="AW309" s="8">
        <v>1.0</v>
      </c>
    </row>
    <row r="310" ht="15.0" customHeight="1">
      <c r="A310" s="8" t="s">
        <v>287</v>
      </c>
      <c r="B310" s="3" t="s">
        <v>290</v>
      </c>
      <c r="C310" s="8">
        <v>1.0</v>
      </c>
      <c r="L310" s="8">
        <v>1.0</v>
      </c>
      <c r="AK310" s="8">
        <v>1.0</v>
      </c>
      <c r="BS310" s="8">
        <v>1.0</v>
      </c>
      <c r="BU310" s="8">
        <v>1.0</v>
      </c>
      <c r="BV310" s="8">
        <v>1.0</v>
      </c>
    </row>
    <row r="311" ht="15.0" customHeight="1">
      <c r="A311" s="8" t="s">
        <v>80</v>
      </c>
      <c r="B311" s="3" t="s">
        <v>291</v>
      </c>
      <c r="C311" s="8">
        <v>1.0</v>
      </c>
      <c r="K311" s="8">
        <v>1.0</v>
      </c>
      <c r="AG311" s="8">
        <v>1.0</v>
      </c>
      <c r="AO311" s="8">
        <v>1.0</v>
      </c>
      <c r="AT311" s="8">
        <v>1.0</v>
      </c>
      <c r="AW311" s="8">
        <v>1.0</v>
      </c>
      <c r="BJ311" s="8">
        <v>1.0</v>
      </c>
      <c r="BM311" s="8">
        <v>1.0</v>
      </c>
    </row>
    <row r="312" ht="15.0" customHeight="1">
      <c r="A312" s="8" t="s">
        <v>116</v>
      </c>
      <c r="B312" s="3" t="s">
        <v>292</v>
      </c>
      <c r="M312" s="8">
        <v>1.0</v>
      </c>
      <c r="BA312" s="8">
        <v>1.0</v>
      </c>
    </row>
    <row r="313" ht="15.0" customHeight="1">
      <c r="A313" s="8" t="s">
        <v>83</v>
      </c>
      <c r="B313" s="3" t="s">
        <v>293</v>
      </c>
      <c r="C313" s="8">
        <v>1.0</v>
      </c>
      <c r="AO313" s="8">
        <v>1.0</v>
      </c>
      <c r="AW313" s="8">
        <v>1.0</v>
      </c>
      <c r="BP313" s="8">
        <v>1.0</v>
      </c>
    </row>
    <row r="314" ht="15.0" customHeight="1">
      <c r="A314" s="8" t="s">
        <v>84</v>
      </c>
      <c r="B314" s="3" t="s">
        <v>294</v>
      </c>
      <c r="C314" s="8">
        <v>1.0</v>
      </c>
      <c r="K314" s="8">
        <v>1.0</v>
      </c>
      <c r="V314" s="8">
        <v>1.0</v>
      </c>
      <c r="AO314" s="8">
        <v>1.0</v>
      </c>
      <c r="AT314" s="8">
        <v>1.0</v>
      </c>
      <c r="BM314" s="8">
        <v>1.0</v>
      </c>
    </row>
    <row r="315" ht="15.0" customHeight="1">
      <c r="A315" s="8" t="s">
        <v>87</v>
      </c>
      <c r="B315" s="3" t="s">
        <v>295</v>
      </c>
      <c r="C315" s="8">
        <v>1.0</v>
      </c>
      <c r="K315" s="8">
        <v>1.0</v>
      </c>
      <c r="AG315" s="8">
        <v>1.0</v>
      </c>
      <c r="AO315" s="8">
        <v>1.0</v>
      </c>
      <c r="AT315" s="8">
        <v>1.0</v>
      </c>
      <c r="BI315" s="8">
        <v>1.0</v>
      </c>
    </row>
    <row r="316" ht="15.0" customHeight="1">
      <c r="A316" s="8" t="s">
        <v>205</v>
      </c>
      <c r="B316" s="3" t="s">
        <v>296</v>
      </c>
      <c r="M316" s="8">
        <v>1.0</v>
      </c>
    </row>
    <row r="317" ht="15.0" customHeight="1">
      <c r="A317" s="8" t="s">
        <v>237</v>
      </c>
      <c r="B317" s="3" t="s">
        <v>297</v>
      </c>
      <c r="C317" s="8">
        <v>1.0</v>
      </c>
      <c r="BF317" s="8">
        <v>1.0</v>
      </c>
    </row>
    <row r="318" ht="15.0" customHeight="1">
      <c r="A318" s="8" t="s">
        <v>208</v>
      </c>
      <c r="B318" s="3" t="s">
        <v>298</v>
      </c>
      <c r="C318" s="8">
        <v>1.0</v>
      </c>
      <c r="L318" s="8">
        <v>1.0</v>
      </c>
      <c r="M318" s="8">
        <v>1.0</v>
      </c>
      <c r="T318" s="8">
        <v>1.0</v>
      </c>
      <c r="AI318" s="8">
        <v>1.0</v>
      </c>
      <c r="AS318" s="8">
        <v>1.0</v>
      </c>
      <c r="AV318" s="8">
        <v>1.0</v>
      </c>
      <c r="BH318" s="8">
        <v>1.0</v>
      </c>
      <c r="BN318" s="8">
        <v>1.0</v>
      </c>
      <c r="BY318" s="8">
        <v>1.0</v>
      </c>
    </row>
    <row r="319" ht="15.0" customHeight="1">
      <c r="A319" s="8" t="s">
        <v>132</v>
      </c>
      <c r="B319" s="3" t="s">
        <v>299</v>
      </c>
      <c r="C319" s="8">
        <v>1.0</v>
      </c>
      <c r="L319" s="8">
        <v>1.0</v>
      </c>
      <c r="M319" s="8">
        <v>1.0</v>
      </c>
      <c r="T319" s="8">
        <v>1.0</v>
      </c>
      <c r="AB319" s="8">
        <v>1.0</v>
      </c>
      <c r="AK319" s="8">
        <v>1.0</v>
      </c>
      <c r="AV319" s="8">
        <v>1.0</v>
      </c>
      <c r="AY319" s="8">
        <v>1.0</v>
      </c>
      <c r="BH319" s="8">
        <v>1.0</v>
      </c>
      <c r="BM319" s="8">
        <v>1.0</v>
      </c>
      <c r="BY319" s="8">
        <v>1.0</v>
      </c>
    </row>
    <row r="320" ht="15.0" customHeight="1">
      <c r="A320" s="8" t="s">
        <v>300</v>
      </c>
      <c r="B320" s="3" t="s">
        <v>301</v>
      </c>
      <c r="C320" s="8">
        <v>1.0</v>
      </c>
      <c r="AO320" s="8">
        <v>1.0</v>
      </c>
      <c r="BI320" s="8">
        <v>1.0</v>
      </c>
      <c r="BM320" s="8">
        <v>1.0</v>
      </c>
    </row>
    <row r="321" ht="15.0" customHeight="1">
      <c r="A321" s="8" t="s">
        <v>190</v>
      </c>
      <c r="B321" s="3" t="s">
        <v>302</v>
      </c>
      <c r="C321" s="8">
        <v>1.0</v>
      </c>
      <c r="AG321" s="8">
        <v>1.0</v>
      </c>
      <c r="AO321" s="8">
        <v>1.0</v>
      </c>
      <c r="BI321" s="8">
        <v>1.0</v>
      </c>
    </row>
    <row r="322" ht="15.0" customHeight="1">
      <c r="A322" s="8" t="s">
        <v>137</v>
      </c>
      <c r="B322" s="3" t="s">
        <v>303</v>
      </c>
      <c r="C322" s="8">
        <v>1.0</v>
      </c>
      <c r="D322" s="8">
        <v>1.0</v>
      </c>
      <c r="K322" s="8">
        <v>1.0</v>
      </c>
      <c r="R322" s="8">
        <v>1.0</v>
      </c>
      <c r="Z322" s="8">
        <v>1.0</v>
      </c>
      <c r="AF322" s="8">
        <v>1.0</v>
      </c>
      <c r="AG322" s="8">
        <v>1.0</v>
      </c>
      <c r="AH322" s="8">
        <v>1.0</v>
      </c>
      <c r="AK322" s="8">
        <v>1.0</v>
      </c>
      <c r="AO322" s="8">
        <v>1.0</v>
      </c>
      <c r="AY322" s="8">
        <v>1.0</v>
      </c>
      <c r="BD322" s="8">
        <v>1.0</v>
      </c>
      <c r="BG322" s="8">
        <v>1.0</v>
      </c>
      <c r="BI322" s="8">
        <v>1.0</v>
      </c>
      <c r="BJ322" s="8">
        <v>1.0</v>
      </c>
      <c r="BM322" s="8">
        <v>1.0</v>
      </c>
      <c r="BN322" s="8">
        <v>1.0</v>
      </c>
      <c r="BQ322" s="8">
        <v>1.0</v>
      </c>
      <c r="BU322" s="8">
        <v>1.0</v>
      </c>
    </row>
    <row r="323" ht="15.0" customHeight="1">
      <c r="A323" s="8" t="s">
        <v>137</v>
      </c>
      <c r="B323" s="3" t="s">
        <v>304</v>
      </c>
      <c r="C323" s="8">
        <v>1.0</v>
      </c>
      <c r="K323" s="8">
        <v>1.0</v>
      </c>
      <c r="L323" s="8">
        <v>1.0</v>
      </c>
      <c r="AG323" s="8">
        <v>1.0</v>
      </c>
      <c r="AO323" s="8">
        <v>1.0</v>
      </c>
      <c r="BM323" s="8">
        <v>1.0</v>
      </c>
      <c r="BP323" s="8">
        <v>1.0</v>
      </c>
      <c r="BQ323" s="8">
        <v>1.0</v>
      </c>
      <c r="BU323" s="8">
        <v>1.0</v>
      </c>
    </row>
    <row r="324" ht="15.0" customHeight="1">
      <c r="A324" s="8" t="s">
        <v>305</v>
      </c>
      <c r="B324" s="3" t="s">
        <v>306</v>
      </c>
      <c r="C324" s="8">
        <v>1.0</v>
      </c>
      <c r="L324" s="8">
        <v>1.0</v>
      </c>
      <c r="T324" s="8">
        <v>1.0</v>
      </c>
      <c r="AO324" s="8">
        <v>1.0</v>
      </c>
      <c r="AV324" s="8">
        <v>1.0</v>
      </c>
      <c r="BM324" s="8">
        <v>1.0</v>
      </c>
      <c r="BN324" s="8">
        <v>1.0</v>
      </c>
      <c r="BQ324" s="8">
        <v>1.0</v>
      </c>
    </row>
    <row r="325" ht="15.0" customHeight="1">
      <c r="A325" s="8" t="s">
        <v>259</v>
      </c>
      <c r="B325" s="3" t="s">
        <v>307</v>
      </c>
      <c r="C325" s="8">
        <v>1.0</v>
      </c>
      <c r="H325" s="8">
        <v>1.0</v>
      </c>
      <c r="Z325" s="8">
        <v>1.0</v>
      </c>
      <c r="AG325" s="8">
        <v>1.0</v>
      </c>
      <c r="AK325" s="8">
        <v>1.0</v>
      </c>
      <c r="AO325" s="8">
        <v>1.0</v>
      </c>
      <c r="BF325" s="8">
        <v>1.0</v>
      </c>
      <c r="BI325" s="8">
        <v>1.0</v>
      </c>
      <c r="BM325" s="8">
        <v>1.0</v>
      </c>
      <c r="BN325" s="8">
        <v>1.0</v>
      </c>
      <c r="BQ325" s="8">
        <v>1.0</v>
      </c>
    </row>
    <row r="326" ht="15.0" customHeight="1">
      <c r="A326" s="8" t="s">
        <v>260</v>
      </c>
      <c r="B326" s="3" t="s">
        <v>308</v>
      </c>
      <c r="C326" s="8">
        <v>1.0</v>
      </c>
      <c r="H326" s="8">
        <v>1.0</v>
      </c>
      <c r="AG326" s="8">
        <v>1.0</v>
      </c>
      <c r="AK326" s="8">
        <v>1.0</v>
      </c>
      <c r="AO326" s="8">
        <v>1.0</v>
      </c>
      <c r="AV326" s="8">
        <v>1.0</v>
      </c>
      <c r="BF326" s="8">
        <v>1.0</v>
      </c>
      <c r="BI326" s="8">
        <v>1.0</v>
      </c>
      <c r="BM326" s="8">
        <v>1.0</v>
      </c>
      <c r="BN326" s="8">
        <v>1.0</v>
      </c>
      <c r="BQ326" s="8">
        <v>1.0</v>
      </c>
    </row>
    <row r="327" ht="15.0" customHeight="1">
      <c r="A327" s="8" t="s">
        <v>130</v>
      </c>
      <c r="B327" s="3" t="s">
        <v>309</v>
      </c>
      <c r="AG327" s="8">
        <v>1.0</v>
      </c>
      <c r="AO327" s="8">
        <v>1.0</v>
      </c>
      <c r="AT327" s="8">
        <v>1.0</v>
      </c>
      <c r="AW327" s="8">
        <v>1.0</v>
      </c>
      <c r="BI327" s="8">
        <v>1.0</v>
      </c>
      <c r="BM327" s="8">
        <v>1.0</v>
      </c>
    </row>
    <row r="328" ht="15.0" customHeight="1">
      <c r="A328" s="8" t="s">
        <v>194</v>
      </c>
      <c r="B328" s="3" t="s">
        <v>310</v>
      </c>
      <c r="Z328" s="8">
        <v>1.0</v>
      </c>
      <c r="AG328" s="8">
        <v>1.0</v>
      </c>
      <c r="AO328" s="8">
        <v>1.0</v>
      </c>
      <c r="AW328" s="8">
        <v>1.0</v>
      </c>
      <c r="BI328" s="8">
        <v>1.0</v>
      </c>
      <c r="BJ328" s="8">
        <v>1.0</v>
      </c>
    </row>
    <row r="329" ht="15.0" customHeight="1">
      <c r="A329" s="8" t="s">
        <v>257</v>
      </c>
      <c r="B329" s="3" t="s">
        <v>311</v>
      </c>
      <c r="AW329" s="8">
        <v>1.0</v>
      </c>
      <c r="BI329" s="8">
        <v>1.0</v>
      </c>
    </row>
    <row r="330" ht="15.0" customHeight="1">
      <c r="A330" s="8" t="s">
        <v>205</v>
      </c>
      <c r="B330" s="3" t="s">
        <v>312</v>
      </c>
      <c r="AW330" s="8">
        <v>1.0</v>
      </c>
      <c r="BI330" s="8">
        <v>1.0</v>
      </c>
    </row>
    <row r="331" ht="15.0" customHeight="1">
      <c r="A331" s="8" t="s">
        <v>313</v>
      </c>
      <c r="B331" s="3" t="s">
        <v>314</v>
      </c>
      <c r="AW331" s="8">
        <v>1.0</v>
      </c>
    </row>
    <row r="332" ht="15.0" customHeight="1">
      <c r="A332" s="8" t="s">
        <v>237</v>
      </c>
      <c r="B332" s="3" t="s">
        <v>315</v>
      </c>
      <c r="AO332" s="8">
        <v>1.0</v>
      </c>
      <c r="AW332" s="8">
        <v>1.0</v>
      </c>
      <c r="BI332" s="8">
        <v>1.0</v>
      </c>
    </row>
    <row r="333" ht="15.0" customHeight="1">
      <c r="A333" s="8" t="s">
        <v>261</v>
      </c>
      <c r="B333" s="3" t="s">
        <v>316</v>
      </c>
      <c r="AW333" s="8">
        <v>1.0</v>
      </c>
      <c r="BB333" s="8">
        <v>1.0</v>
      </c>
      <c r="BI333" s="8">
        <v>1.0</v>
      </c>
      <c r="BJ333" s="8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44.88"/>
    <col customWidth="1" min="3" max="72" width="10.25"/>
  </cols>
  <sheetData>
    <row r="1" ht="15.0" customHeight="1">
      <c r="A1" s="3" t="s">
        <v>0</v>
      </c>
      <c r="B1" s="3" t="s">
        <v>156</v>
      </c>
      <c r="C1" s="3" t="s">
        <v>45</v>
      </c>
      <c r="D1" s="3" t="s">
        <v>3</v>
      </c>
      <c r="E1" s="3" t="s">
        <v>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12</v>
      </c>
      <c r="M1" s="3" t="s">
        <v>13</v>
      </c>
      <c r="N1" s="3" t="s">
        <v>15</v>
      </c>
      <c r="O1" s="3" t="s">
        <v>16</v>
      </c>
      <c r="P1" s="3" t="s">
        <v>17</v>
      </c>
      <c r="Q1" s="3" t="s">
        <v>159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246</v>
      </c>
      <c r="X1" s="3" t="s">
        <v>25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34</v>
      </c>
      <c r="AE1" s="3" t="s">
        <v>35</v>
      </c>
      <c r="AF1" s="3" t="s">
        <v>162</v>
      </c>
      <c r="AG1" s="3" t="s">
        <v>163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164</v>
      </c>
      <c r="AM1" s="3" t="s">
        <v>42</v>
      </c>
      <c r="AN1" s="3" t="s">
        <v>165</v>
      </c>
      <c r="AO1" s="3" t="s">
        <v>43</v>
      </c>
      <c r="AP1" s="3" t="s">
        <v>167</v>
      </c>
      <c r="AQ1" s="3" t="s">
        <v>169</v>
      </c>
      <c r="AR1" s="3" t="s">
        <v>170</v>
      </c>
      <c r="AS1" s="3" t="s">
        <v>2</v>
      </c>
      <c r="AT1" s="3" t="s">
        <v>171</v>
      </c>
      <c r="AU1" s="3" t="s">
        <v>317</v>
      </c>
      <c r="AV1" s="3" t="s">
        <v>48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172</v>
      </c>
      <c r="BC1" s="3" t="s">
        <v>318</v>
      </c>
      <c r="BD1" s="3" t="s">
        <v>173</v>
      </c>
      <c r="BE1" s="3" t="s">
        <v>249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319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250</v>
      </c>
      <c r="BR1" s="3" t="s">
        <v>67</v>
      </c>
      <c r="BS1" s="3" t="s">
        <v>68</v>
      </c>
      <c r="BT1" s="3" t="s">
        <v>69</v>
      </c>
    </row>
    <row r="2" ht="15.0" customHeight="1">
      <c r="A2" s="3" t="s">
        <v>174</v>
      </c>
      <c r="B2" s="5">
        <f>COUNTA(B7:B204)</f>
        <v>198</v>
      </c>
    </row>
    <row r="3" ht="15.0" customHeight="1">
      <c r="A3" s="3" t="s">
        <v>71</v>
      </c>
      <c r="B3" s="5">
        <f>COUNTA(B7:B165)</f>
        <v>159</v>
      </c>
    </row>
    <row r="4" ht="15.0" customHeight="1">
      <c r="A4" s="3" t="s">
        <v>320</v>
      </c>
      <c r="C4" s="5">
        <f t="shared" ref="C4:BT4" si="1">SUM(C7:C204)</f>
        <v>40</v>
      </c>
      <c r="D4" s="5">
        <f t="shared" si="1"/>
        <v>1</v>
      </c>
      <c r="E4" s="5">
        <f t="shared" si="1"/>
        <v>1</v>
      </c>
      <c r="F4" s="5">
        <f t="shared" si="1"/>
        <v>3</v>
      </c>
      <c r="G4" s="5">
        <f t="shared" si="1"/>
        <v>7</v>
      </c>
      <c r="H4" s="5">
        <f t="shared" si="1"/>
        <v>21</v>
      </c>
      <c r="I4" s="5">
        <f t="shared" si="1"/>
        <v>36</v>
      </c>
      <c r="J4" s="5">
        <f t="shared" si="1"/>
        <v>4</v>
      </c>
      <c r="K4" s="5">
        <f t="shared" si="1"/>
        <v>1</v>
      </c>
      <c r="L4" s="5">
        <f t="shared" si="1"/>
        <v>104</v>
      </c>
      <c r="M4" s="5">
        <f t="shared" si="1"/>
        <v>1</v>
      </c>
      <c r="N4" s="5">
        <f t="shared" si="1"/>
        <v>11</v>
      </c>
      <c r="O4" s="5">
        <f t="shared" si="1"/>
        <v>11</v>
      </c>
      <c r="P4" s="5">
        <f t="shared" si="1"/>
        <v>8</v>
      </c>
      <c r="Q4" s="5">
        <f t="shared" si="1"/>
        <v>1</v>
      </c>
      <c r="R4" s="5">
        <f t="shared" si="1"/>
        <v>6</v>
      </c>
      <c r="S4" s="5">
        <f t="shared" si="1"/>
        <v>43</v>
      </c>
      <c r="T4" s="5">
        <f t="shared" si="1"/>
        <v>4</v>
      </c>
      <c r="U4" s="5">
        <f t="shared" si="1"/>
        <v>9</v>
      </c>
      <c r="V4" s="5">
        <f t="shared" si="1"/>
        <v>2</v>
      </c>
      <c r="W4" s="5">
        <f t="shared" si="1"/>
        <v>8</v>
      </c>
      <c r="X4" s="5">
        <f t="shared" si="1"/>
        <v>2</v>
      </c>
      <c r="Y4" s="5">
        <f t="shared" si="1"/>
        <v>5</v>
      </c>
      <c r="Z4" s="5">
        <f t="shared" si="1"/>
        <v>3</v>
      </c>
      <c r="AA4" s="5">
        <f t="shared" si="1"/>
        <v>6</v>
      </c>
      <c r="AB4" s="5">
        <f t="shared" si="1"/>
        <v>33</v>
      </c>
      <c r="AC4" s="5">
        <f t="shared" si="1"/>
        <v>4</v>
      </c>
      <c r="AD4" s="5">
        <f t="shared" si="1"/>
        <v>2</v>
      </c>
      <c r="AE4" s="5">
        <f t="shared" si="1"/>
        <v>1</v>
      </c>
      <c r="AF4" s="5">
        <f t="shared" si="1"/>
        <v>2</v>
      </c>
      <c r="AG4" s="5">
        <f t="shared" si="1"/>
        <v>9</v>
      </c>
      <c r="AH4" s="5">
        <f t="shared" si="1"/>
        <v>4</v>
      </c>
      <c r="AI4" s="5">
        <f t="shared" si="1"/>
        <v>91</v>
      </c>
      <c r="AJ4" s="5">
        <f t="shared" si="1"/>
        <v>1</v>
      </c>
      <c r="AK4" s="5">
        <f t="shared" si="1"/>
        <v>3</v>
      </c>
      <c r="AL4" s="5">
        <f t="shared" si="1"/>
        <v>2</v>
      </c>
      <c r="AM4" s="5">
        <f t="shared" si="1"/>
        <v>2</v>
      </c>
      <c r="AN4" s="5">
        <f t="shared" si="1"/>
        <v>3</v>
      </c>
      <c r="AO4" s="5">
        <f t="shared" si="1"/>
        <v>3</v>
      </c>
      <c r="AP4" s="5">
        <f t="shared" si="1"/>
        <v>11</v>
      </c>
      <c r="AQ4" s="5">
        <f t="shared" si="1"/>
        <v>9</v>
      </c>
      <c r="AR4" s="5">
        <f t="shared" si="1"/>
        <v>1</v>
      </c>
      <c r="AS4" s="5">
        <f t="shared" si="1"/>
        <v>5</v>
      </c>
      <c r="AT4" s="5">
        <f t="shared" si="1"/>
        <v>2</v>
      </c>
      <c r="AU4" s="5">
        <f t="shared" si="1"/>
        <v>1</v>
      </c>
      <c r="AV4" s="5">
        <f t="shared" si="1"/>
        <v>7</v>
      </c>
      <c r="AW4" s="5">
        <f t="shared" si="1"/>
        <v>1</v>
      </c>
      <c r="AX4" s="5">
        <f t="shared" si="1"/>
        <v>8</v>
      </c>
      <c r="AY4" s="5">
        <f t="shared" si="1"/>
        <v>2</v>
      </c>
      <c r="AZ4" s="5">
        <f t="shared" si="1"/>
        <v>5</v>
      </c>
      <c r="BA4" s="5">
        <f t="shared" si="1"/>
        <v>60</v>
      </c>
      <c r="BB4" s="5">
        <f t="shared" si="1"/>
        <v>3</v>
      </c>
      <c r="BC4" s="5">
        <f t="shared" si="1"/>
        <v>7</v>
      </c>
      <c r="BD4" s="5">
        <f t="shared" si="1"/>
        <v>1</v>
      </c>
      <c r="BE4" s="5">
        <f t="shared" si="1"/>
        <v>1</v>
      </c>
      <c r="BF4" s="5">
        <f t="shared" si="1"/>
        <v>38</v>
      </c>
      <c r="BG4" s="5">
        <f t="shared" si="1"/>
        <v>21</v>
      </c>
      <c r="BH4" s="5">
        <f t="shared" si="1"/>
        <v>4</v>
      </c>
      <c r="BI4" s="5">
        <f t="shared" si="1"/>
        <v>0</v>
      </c>
      <c r="BJ4" s="5">
        <f t="shared" si="1"/>
        <v>11</v>
      </c>
      <c r="BK4" s="5">
        <f t="shared" si="1"/>
        <v>22</v>
      </c>
      <c r="BL4" s="5">
        <f t="shared" si="1"/>
        <v>7</v>
      </c>
      <c r="BM4" s="5">
        <f t="shared" si="1"/>
        <v>1</v>
      </c>
      <c r="BN4" s="5">
        <f t="shared" si="1"/>
        <v>8</v>
      </c>
      <c r="BO4" s="5">
        <f t="shared" si="1"/>
        <v>2</v>
      </c>
      <c r="BP4" s="5">
        <f t="shared" si="1"/>
        <v>1</v>
      </c>
      <c r="BQ4" s="5">
        <f t="shared" si="1"/>
        <v>3</v>
      </c>
      <c r="BR4" s="5">
        <f t="shared" si="1"/>
        <v>1</v>
      </c>
      <c r="BS4" s="5">
        <f t="shared" si="1"/>
        <v>4</v>
      </c>
      <c r="BT4" s="5">
        <f t="shared" si="1"/>
        <v>1</v>
      </c>
    </row>
    <row r="5" ht="15.0" customHeight="1">
      <c r="A5" s="3" t="s">
        <v>73</v>
      </c>
      <c r="C5" s="5">
        <f t="shared" ref="C5:BT5" si="2">SUM(C7:C165)</f>
        <v>39</v>
      </c>
      <c r="D5" s="5">
        <f t="shared" si="2"/>
        <v>1</v>
      </c>
      <c r="E5" s="5">
        <f t="shared" si="2"/>
        <v>1</v>
      </c>
      <c r="F5" s="5">
        <f t="shared" si="2"/>
        <v>1</v>
      </c>
      <c r="G5" s="5">
        <f t="shared" si="2"/>
        <v>4</v>
      </c>
      <c r="H5" s="5">
        <f t="shared" si="2"/>
        <v>4</v>
      </c>
      <c r="I5" s="5">
        <f t="shared" si="2"/>
        <v>33</v>
      </c>
      <c r="J5" s="5">
        <f t="shared" si="2"/>
        <v>4</v>
      </c>
      <c r="K5" s="5">
        <f t="shared" si="2"/>
        <v>1</v>
      </c>
      <c r="L5" s="5">
        <f t="shared" si="2"/>
        <v>102</v>
      </c>
      <c r="M5" s="5">
        <f t="shared" si="2"/>
        <v>1</v>
      </c>
      <c r="N5" s="5">
        <f t="shared" si="2"/>
        <v>11</v>
      </c>
      <c r="O5" s="5">
        <f t="shared" si="2"/>
        <v>9</v>
      </c>
      <c r="P5" s="5">
        <f t="shared" si="2"/>
        <v>7</v>
      </c>
      <c r="Q5" s="5">
        <f t="shared" si="2"/>
        <v>1</v>
      </c>
      <c r="R5" s="5">
        <f t="shared" si="2"/>
        <v>6</v>
      </c>
      <c r="S5" s="5">
        <f t="shared" si="2"/>
        <v>40</v>
      </c>
      <c r="T5" s="5">
        <f t="shared" si="2"/>
        <v>4</v>
      </c>
      <c r="U5" s="5">
        <f t="shared" si="2"/>
        <v>9</v>
      </c>
      <c r="V5" s="5">
        <f t="shared" si="2"/>
        <v>2</v>
      </c>
      <c r="W5" s="5">
        <f t="shared" si="2"/>
        <v>6</v>
      </c>
      <c r="X5" s="5">
        <f t="shared" si="2"/>
        <v>2</v>
      </c>
      <c r="Y5" s="5">
        <f t="shared" si="2"/>
        <v>4</v>
      </c>
      <c r="Z5" s="5">
        <f t="shared" si="2"/>
        <v>2</v>
      </c>
      <c r="AA5" s="5">
        <f t="shared" si="2"/>
        <v>4</v>
      </c>
      <c r="AB5" s="5">
        <f t="shared" si="2"/>
        <v>27</v>
      </c>
      <c r="AC5" s="5">
        <f t="shared" si="2"/>
        <v>4</v>
      </c>
      <c r="AD5" s="5">
        <f t="shared" si="2"/>
        <v>2</v>
      </c>
      <c r="AE5" s="5">
        <f t="shared" si="2"/>
        <v>1</v>
      </c>
      <c r="AF5" s="5">
        <f t="shared" si="2"/>
        <v>2</v>
      </c>
      <c r="AG5" s="5">
        <f t="shared" si="2"/>
        <v>8</v>
      </c>
      <c r="AH5" s="5">
        <f t="shared" si="2"/>
        <v>4</v>
      </c>
      <c r="AI5" s="5">
        <f t="shared" si="2"/>
        <v>54</v>
      </c>
      <c r="AJ5" s="5">
        <f t="shared" si="2"/>
        <v>1</v>
      </c>
      <c r="AK5" s="5">
        <f t="shared" si="2"/>
        <v>3</v>
      </c>
      <c r="AL5" s="5">
        <f t="shared" si="2"/>
        <v>2</v>
      </c>
      <c r="AM5" s="5">
        <f t="shared" si="2"/>
        <v>2</v>
      </c>
      <c r="AN5" s="5">
        <f t="shared" si="2"/>
        <v>2</v>
      </c>
      <c r="AO5" s="5">
        <f t="shared" si="2"/>
        <v>3</v>
      </c>
      <c r="AP5" s="5">
        <f t="shared" si="2"/>
        <v>9</v>
      </c>
      <c r="AQ5" s="5">
        <f t="shared" si="2"/>
        <v>9</v>
      </c>
      <c r="AR5" s="5">
        <f t="shared" si="2"/>
        <v>1</v>
      </c>
      <c r="AS5" s="5">
        <f t="shared" si="2"/>
        <v>5</v>
      </c>
      <c r="AT5" s="5">
        <f t="shared" si="2"/>
        <v>2</v>
      </c>
      <c r="AU5" s="5">
        <f t="shared" si="2"/>
        <v>1</v>
      </c>
      <c r="AV5" s="5">
        <f t="shared" si="2"/>
        <v>5</v>
      </c>
      <c r="AW5" s="5">
        <f t="shared" si="2"/>
        <v>0</v>
      </c>
      <c r="AX5" s="5">
        <f t="shared" si="2"/>
        <v>6</v>
      </c>
      <c r="AY5" s="5">
        <f t="shared" si="2"/>
        <v>2</v>
      </c>
      <c r="AZ5" s="5">
        <f t="shared" si="2"/>
        <v>4</v>
      </c>
      <c r="BA5" s="5">
        <f t="shared" si="2"/>
        <v>53</v>
      </c>
      <c r="BB5" s="5">
        <f t="shared" si="2"/>
        <v>2</v>
      </c>
      <c r="BC5" s="5">
        <f t="shared" si="2"/>
        <v>7</v>
      </c>
      <c r="BD5" s="5">
        <f t="shared" si="2"/>
        <v>1</v>
      </c>
      <c r="BE5" s="5">
        <f t="shared" si="2"/>
        <v>1</v>
      </c>
      <c r="BF5" s="5">
        <f t="shared" si="2"/>
        <v>37</v>
      </c>
      <c r="BG5" s="5">
        <f t="shared" si="2"/>
        <v>19</v>
      </c>
      <c r="BH5" s="5">
        <f t="shared" si="2"/>
        <v>4</v>
      </c>
      <c r="BI5" s="5">
        <f t="shared" si="2"/>
        <v>0</v>
      </c>
      <c r="BJ5" s="5">
        <f t="shared" si="2"/>
        <v>11</v>
      </c>
      <c r="BK5" s="5">
        <f t="shared" si="2"/>
        <v>21</v>
      </c>
      <c r="BL5" s="5">
        <f t="shared" si="2"/>
        <v>7</v>
      </c>
      <c r="BM5" s="5">
        <f t="shared" si="2"/>
        <v>1</v>
      </c>
      <c r="BN5" s="5">
        <f t="shared" si="2"/>
        <v>7</v>
      </c>
      <c r="BO5" s="5">
        <f t="shared" si="2"/>
        <v>1</v>
      </c>
      <c r="BP5" s="5">
        <f t="shared" si="2"/>
        <v>1</v>
      </c>
      <c r="BQ5" s="5">
        <f t="shared" si="2"/>
        <v>2</v>
      </c>
      <c r="BR5" s="5">
        <f t="shared" si="2"/>
        <v>1</v>
      </c>
      <c r="BS5" s="5">
        <f t="shared" si="2"/>
        <v>4</v>
      </c>
      <c r="BT5" s="5">
        <f t="shared" si="2"/>
        <v>0</v>
      </c>
    </row>
    <row r="6" ht="15.0" customHeight="1">
      <c r="A6" s="3" t="s">
        <v>74</v>
      </c>
      <c r="C6" s="5">
        <f t="shared" ref="C6:BT6" si="3">C5/159</f>
        <v>0.2452830189</v>
      </c>
      <c r="D6" s="5">
        <f t="shared" si="3"/>
        <v>0.006289308176</v>
      </c>
      <c r="E6" s="5">
        <f t="shared" si="3"/>
        <v>0.006289308176</v>
      </c>
      <c r="F6" s="5">
        <f t="shared" si="3"/>
        <v>0.006289308176</v>
      </c>
      <c r="G6" s="5">
        <f t="shared" si="3"/>
        <v>0.0251572327</v>
      </c>
      <c r="H6" s="5">
        <f t="shared" si="3"/>
        <v>0.0251572327</v>
      </c>
      <c r="I6" s="5">
        <f t="shared" si="3"/>
        <v>0.2075471698</v>
      </c>
      <c r="J6" s="5">
        <f t="shared" si="3"/>
        <v>0.0251572327</v>
      </c>
      <c r="K6" s="5">
        <f t="shared" si="3"/>
        <v>0.006289308176</v>
      </c>
      <c r="L6" s="5">
        <f t="shared" si="3"/>
        <v>0.641509434</v>
      </c>
      <c r="M6" s="5">
        <f t="shared" si="3"/>
        <v>0.006289308176</v>
      </c>
      <c r="N6" s="5">
        <f t="shared" si="3"/>
        <v>0.06918238994</v>
      </c>
      <c r="O6" s="5">
        <f t="shared" si="3"/>
        <v>0.05660377358</v>
      </c>
      <c r="P6" s="5">
        <f t="shared" si="3"/>
        <v>0.04402515723</v>
      </c>
      <c r="Q6" s="5">
        <f t="shared" si="3"/>
        <v>0.006289308176</v>
      </c>
      <c r="R6" s="5">
        <f t="shared" si="3"/>
        <v>0.03773584906</v>
      </c>
      <c r="S6" s="5">
        <f t="shared" si="3"/>
        <v>0.251572327</v>
      </c>
      <c r="T6" s="5">
        <f t="shared" si="3"/>
        <v>0.0251572327</v>
      </c>
      <c r="U6" s="5">
        <f t="shared" si="3"/>
        <v>0.05660377358</v>
      </c>
      <c r="V6" s="5">
        <f t="shared" si="3"/>
        <v>0.01257861635</v>
      </c>
      <c r="W6" s="5">
        <f t="shared" si="3"/>
        <v>0.03773584906</v>
      </c>
      <c r="X6" s="5">
        <f t="shared" si="3"/>
        <v>0.01257861635</v>
      </c>
      <c r="Y6" s="5">
        <f t="shared" si="3"/>
        <v>0.0251572327</v>
      </c>
      <c r="Z6" s="5">
        <f t="shared" si="3"/>
        <v>0.01257861635</v>
      </c>
      <c r="AA6" s="5">
        <f t="shared" si="3"/>
        <v>0.0251572327</v>
      </c>
      <c r="AB6" s="5">
        <f t="shared" si="3"/>
        <v>0.1698113208</v>
      </c>
      <c r="AC6" s="5">
        <f t="shared" si="3"/>
        <v>0.0251572327</v>
      </c>
      <c r="AD6" s="5">
        <f t="shared" si="3"/>
        <v>0.01257861635</v>
      </c>
      <c r="AE6" s="5">
        <f t="shared" si="3"/>
        <v>0.006289308176</v>
      </c>
      <c r="AF6" s="5">
        <f t="shared" si="3"/>
        <v>0.01257861635</v>
      </c>
      <c r="AG6" s="5">
        <f t="shared" si="3"/>
        <v>0.05031446541</v>
      </c>
      <c r="AH6" s="5">
        <f t="shared" si="3"/>
        <v>0.0251572327</v>
      </c>
      <c r="AI6" s="5">
        <f t="shared" si="3"/>
        <v>0.3396226415</v>
      </c>
      <c r="AJ6" s="5">
        <f t="shared" si="3"/>
        <v>0.006289308176</v>
      </c>
      <c r="AK6" s="5">
        <f t="shared" si="3"/>
        <v>0.01886792453</v>
      </c>
      <c r="AL6" s="5">
        <f t="shared" si="3"/>
        <v>0.01257861635</v>
      </c>
      <c r="AM6" s="5">
        <f t="shared" si="3"/>
        <v>0.01257861635</v>
      </c>
      <c r="AN6" s="5">
        <f t="shared" si="3"/>
        <v>0.01257861635</v>
      </c>
      <c r="AO6" s="5">
        <f t="shared" si="3"/>
        <v>0.01886792453</v>
      </c>
      <c r="AP6" s="5">
        <f t="shared" si="3"/>
        <v>0.05660377358</v>
      </c>
      <c r="AQ6" s="5">
        <f t="shared" si="3"/>
        <v>0.05660377358</v>
      </c>
      <c r="AR6" s="5">
        <f t="shared" si="3"/>
        <v>0.006289308176</v>
      </c>
      <c r="AS6" s="5">
        <f t="shared" si="3"/>
        <v>0.03144654088</v>
      </c>
      <c r="AT6" s="5">
        <f t="shared" si="3"/>
        <v>0.01257861635</v>
      </c>
      <c r="AU6" s="5">
        <f t="shared" si="3"/>
        <v>0.006289308176</v>
      </c>
      <c r="AV6" s="5">
        <f t="shared" si="3"/>
        <v>0.03144654088</v>
      </c>
      <c r="AW6" s="5">
        <f t="shared" si="3"/>
        <v>0</v>
      </c>
      <c r="AX6" s="5">
        <f t="shared" si="3"/>
        <v>0.03773584906</v>
      </c>
      <c r="AY6" s="5">
        <f t="shared" si="3"/>
        <v>0.01257861635</v>
      </c>
      <c r="AZ6" s="5">
        <f t="shared" si="3"/>
        <v>0.0251572327</v>
      </c>
      <c r="BA6" s="5">
        <f t="shared" si="3"/>
        <v>0.3333333333</v>
      </c>
      <c r="BB6" s="5">
        <f t="shared" si="3"/>
        <v>0.01257861635</v>
      </c>
      <c r="BC6" s="5">
        <f t="shared" si="3"/>
        <v>0.04402515723</v>
      </c>
      <c r="BD6" s="5">
        <f t="shared" si="3"/>
        <v>0.006289308176</v>
      </c>
      <c r="BE6" s="5">
        <f t="shared" si="3"/>
        <v>0.006289308176</v>
      </c>
      <c r="BF6" s="5">
        <f t="shared" si="3"/>
        <v>0.2327044025</v>
      </c>
      <c r="BG6" s="5">
        <f t="shared" si="3"/>
        <v>0.1194968553</v>
      </c>
      <c r="BH6" s="5">
        <f t="shared" si="3"/>
        <v>0.0251572327</v>
      </c>
      <c r="BI6" s="5">
        <f t="shared" si="3"/>
        <v>0</v>
      </c>
      <c r="BJ6" s="5">
        <f t="shared" si="3"/>
        <v>0.06918238994</v>
      </c>
      <c r="BK6" s="5">
        <f t="shared" si="3"/>
        <v>0.1320754717</v>
      </c>
      <c r="BL6" s="5">
        <f t="shared" si="3"/>
        <v>0.04402515723</v>
      </c>
      <c r="BM6" s="5">
        <f t="shared" si="3"/>
        <v>0.006289308176</v>
      </c>
      <c r="BN6" s="5">
        <f t="shared" si="3"/>
        <v>0.04402515723</v>
      </c>
      <c r="BO6" s="5">
        <f t="shared" si="3"/>
        <v>0.006289308176</v>
      </c>
      <c r="BP6" s="5">
        <f t="shared" si="3"/>
        <v>0.006289308176</v>
      </c>
      <c r="BQ6" s="5">
        <f t="shared" si="3"/>
        <v>0.01257861635</v>
      </c>
      <c r="BR6" s="5">
        <f t="shared" si="3"/>
        <v>0.006289308176</v>
      </c>
      <c r="BS6" s="5">
        <f t="shared" si="3"/>
        <v>0.0251572327</v>
      </c>
      <c r="BT6" s="5">
        <f t="shared" si="3"/>
        <v>0</v>
      </c>
    </row>
    <row r="7" ht="15.0" customHeight="1">
      <c r="A7" s="8" t="s">
        <v>175</v>
      </c>
      <c r="B7" s="8">
        <v>262.0</v>
      </c>
      <c r="L7" s="8">
        <v>1.0</v>
      </c>
      <c r="AB7" s="8">
        <v>1.0</v>
      </c>
      <c r="AI7" s="8">
        <v>1.0</v>
      </c>
    </row>
    <row r="8" ht="15.0" customHeight="1">
      <c r="A8" s="8" t="s">
        <v>76</v>
      </c>
      <c r="B8" s="8">
        <v>263.0</v>
      </c>
      <c r="L8" s="8">
        <v>1.0</v>
      </c>
      <c r="AI8" s="8">
        <v>1.0</v>
      </c>
      <c r="BA8" s="8">
        <v>1.0</v>
      </c>
    </row>
    <row r="9" ht="15.0" customHeight="1">
      <c r="A9" s="8" t="s">
        <v>77</v>
      </c>
      <c r="B9" s="8">
        <v>264.0</v>
      </c>
      <c r="I9" s="8">
        <v>1.0</v>
      </c>
      <c r="L9" s="8">
        <v>1.0</v>
      </c>
      <c r="S9" s="8">
        <v>1.0</v>
      </c>
      <c r="BA9" s="8">
        <v>1.0</v>
      </c>
      <c r="BF9" s="8">
        <v>1.0</v>
      </c>
      <c r="BK9" s="8">
        <v>1.0</v>
      </c>
    </row>
    <row r="10" ht="15.0" customHeight="1">
      <c r="A10" s="8" t="s">
        <v>79</v>
      </c>
      <c r="B10" s="8">
        <v>265.0</v>
      </c>
      <c r="L10" s="8">
        <v>1.0</v>
      </c>
      <c r="O10" s="8">
        <v>1.0</v>
      </c>
    </row>
    <row r="11" ht="15.0" customHeight="1">
      <c r="A11" s="8" t="s">
        <v>79</v>
      </c>
      <c r="B11" s="8">
        <v>266.0</v>
      </c>
      <c r="L11" s="8">
        <v>1.0</v>
      </c>
    </row>
    <row r="12" ht="15.0" customHeight="1">
      <c r="A12" s="8" t="s">
        <v>80</v>
      </c>
      <c r="B12" s="8">
        <v>267.0</v>
      </c>
      <c r="I12" s="8">
        <v>1.0</v>
      </c>
      <c r="J12" s="8">
        <v>1.0</v>
      </c>
      <c r="L12" s="8">
        <v>1.0</v>
      </c>
      <c r="T12" s="8">
        <v>1.0</v>
      </c>
      <c r="V12" s="8">
        <v>1.0</v>
      </c>
      <c r="AC12" s="8">
        <v>1.0</v>
      </c>
      <c r="AE12" s="8">
        <v>1.0</v>
      </c>
      <c r="AL12" s="8">
        <v>1.0</v>
      </c>
      <c r="AR12" s="8">
        <v>1.0</v>
      </c>
      <c r="AX12" s="8">
        <v>1.0</v>
      </c>
      <c r="BF12" s="8">
        <v>1.0</v>
      </c>
      <c r="BH12" s="8">
        <v>1.0</v>
      </c>
    </row>
    <row r="13" ht="15.0" customHeight="1">
      <c r="A13" s="8" t="s">
        <v>80</v>
      </c>
      <c r="B13" s="8">
        <v>268.0</v>
      </c>
      <c r="L13" s="8">
        <v>1.0</v>
      </c>
      <c r="O13" s="8">
        <v>1.0</v>
      </c>
      <c r="AB13" s="8">
        <v>1.0</v>
      </c>
      <c r="BF13" s="8">
        <v>1.0</v>
      </c>
    </row>
    <row r="14" ht="15.0" customHeight="1">
      <c r="A14" s="8" t="s">
        <v>210</v>
      </c>
      <c r="B14" s="8">
        <v>269.0</v>
      </c>
      <c r="L14" s="8">
        <v>1.0</v>
      </c>
      <c r="S14" s="8">
        <v>1.0</v>
      </c>
      <c r="V14" s="8">
        <v>1.0</v>
      </c>
      <c r="AI14" s="8">
        <v>1.0</v>
      </c>
      <c r="AV14" s="8">
        <v>1.0</v>
      </c>
      <c r="AX14" s="8">
        <v>1.0</v>
      </c>
    </row>
    <row r="15" ht="15.0" customHeight="1">
      <c r="A15" s="8" t="s">
        <v>82</v>
      </c>
      <c r="B15" s="8">
        <v>270.0</v>
      </c>
      <c r="I15" s="8">
        <v>1.0</v>
      </c>
      <c r="L15" s="8">
        <v>1.0</v>
      </c>
      <c r="BF15" s="8">
        <v>1.0</v>
      </c>
      <c r="BG15" s="8">
        <v>1.0</v>
      </c>
    </row>
    <row r="16" ht="15.0" customHeight="1">
      <c r="A16" s="8" t="s">
        <v>82</v>
      </c>
      <c r="B16" s="8">
        <v>271.0</v>
      </c>
      <c r="I16" s="8">
        <v>1.0</v>
      </c>
      <c r="L16" s="8">
        <v>1.0</v>
      </c>
      <c r="AL16" s="8">
        <v>1.0</v>
      </c>
      <c r="BG16" s="8">
        <v>1.0</v>
      </c>
    </row>
    <row r="17" ht="15.0" customHeight="1">
      <c r="A17" s="8" t="s">
        <v>82</v>
      </c>
      <c r="B17" s="8">
        <v>272.0</v>
      </c>
      <c r="L17" s="8">
        <v>1.0</v>
      </c>
      <c r="Y17" s="8">
        <v>1.0</v>
      </c>
      <c r="AG17" s="8">
        <v>1.0</v>
      </c>
      <c r="AI17" s="8">
        <v>1.0</v>
      </c>
      <c r="BC17" s="8">
        <v>1.0</v>
      </c>
      <c r="BG17" s="8">
        <v>1.0</v>
      </c>
    </row>
    <row r="18" ht="15.0" customHeight="1">
      <c r="A18" s="8" t="s">
        <v>83</v>
      </c>
      <c r="B18" s="8">
        <v>273.0</v>
      </c>
      <c r="AI18" s="8">
        <v>1.0</v>
      </c>
      <c r="BF18" s="8">
        <v>1.0</v>
      </c>
    </row>
    <row r="19" ht="15.0" customHeight="1">
      <c r="A19" s="8" t="s">
        <v>214</v>
      </c>
      <c r="B19" s="8">
        <v>274.0</v>
      </c>
      <c r="I19" s="8">
        <v>1.0</v>
      </c>
      <c r="L19" s="8">
        <v>1.0</v>
      </c>
      <c r="BF19" s="8">
        <v>1.0</v>
      </c>
      <c r="BK19" s="8">
        <v>1.0</v>
      </c>
    </row>
    <row r="20" ht="15.0" customHeight="1">
      <c r="A20" s="8" t="s">
        <v>214</v>
      </c>
      <c r="B20" s="8">
        <v>275.0</v>
      </c>
      <c r="I20" s="8">
        <v>1.0</v>
      </c>
      <c r="L20" s="8">
        <v>1.0</v>
      </c>
      <c r="BF20" s="8">
        <v>1.0</v>
      </c>
    </row>
    <row r="21" ht="15.0" customHeight="1">
      <c r="A21" s="8" t="s">
        <v>176</v>
      </c>
      <c r="B21" s="8">
        <v>276.0</v>
      </c>
      <c r="L21" s="8">
        <v>1.0</v>
      </c>
      <c r="N21" s="8">
        <v>1.0</v>
      </c>
    </row>
    <row r="22" ht="15.0" customHeight="1">
      <c r="A22" s="8" t="s">
        <v>176</v>
      </c>
      <c r="B22" s="8">
        <v>277.0</v>
      </c>
      <c r="L22" s="8">
        <v>1.0</v>
      </c>
      <c r="N22" s="8">
        <v>1.0</v>
      </c>
      <c r="U22" s="8">
        <v>1.0</v>
      </c>
      <c r="AQ22" s="8">
        <v>1.0</v>
      </c>
      <c r="BA22" s="8">
        <v>1.0</v>
      </c>
    </row>
    <row r="23" ht="15.0" customHeight="1">
      <c r="A23" s="8" t="s">
        <v>176</v>
      </c>
      <c r="B23" s="8">
        <v>278.0</v>
      </c>
      <c r="I23" s="8">
        <v>1.0</v>
      </c>
      <c r="L23" s="8">
        <v>1.0</v>
      </c>
      <c r="BE23" s="8">
        <v>1.0</v>
      </c>
      <c r="BH23" s="8">
        <v>1.0</v>
      </c>
    </row>
    <row r="24" ht="15.0" customHeight="1">
      <c r="A24" s="8" t="s">
        <v>84</v>
      </c>
      <c r="B24" s="8">
        <v>279.0</v>
      </c>
      <c r="L24" s="8">
        <v>1.0</v>
      </c>
      <c r="AP24" s="8">
        <v>1.0</v>
      </c>
    </row>
    <row r="25" ht="15.0" customHeight="1">
      <c r="A25" s="8" t="s">
        <v>85</v>
      </c>
      <c r="B25" s="8">
        <v>280.0</v>
      </c>
      <c r="L25" s="8">
        <v>1.0</v>
      </c>
      <c r="P25" s="8">
        <v>1.0</v>
      </c>
      <c r="AI25" s="8">
        <v>1.0</v>
      </c>
      <c r="BA25" s="8">
        <v>1.0</v>
      </c>
    </row>
    <row r="26" ht="15.0" customHeight="1">
      <c r="A26" s="8" t="s">
        <v>86</v>
      </c>
      <c r="B26" s="8">
        <v>281.0</v>
      </c>
      <c r="L26" s="8">
        <v>1.0</v>
      </c>
      <c r="N26" s="8">
        <v>1.0</v>
      </c>
      <c r="S26" s="8">
        <v>1.0</v>
      </c>
      <c r="AK26" s="8">
        <v>1.0</v>
      </c>
    </row>
    <row r="27" ht="15.0" customHeight="1">
      <c r="A27" s="8" t="s">
        <v>86</v>
      </c>
      <c r="B27" s="8">
        <v>282.0</v>
      </c>
      <c r="L27" s="8">
        <v>1.0</v>
      </c>
      <c r="AB27" s="8">
        <v>1.0</v>
      </c>
      <c r="AI27" s="8">
        <v>1.0</v>
      </c>
    </row>
    <row r="28" ht="15.0" customHeight="1">
      <c r="A28" s="8" t="s">
        <v>87</v>
      </c>
      <c r="B28" s="8">
        <v>283.0</v>
      </c>
      <c r="L28" s="8">
        <v>1.0</v>
      </c>
      <c r="AB28" s="8">
        <v>1.0</v>
      </c>
      <c r="AI28" s="8">
        <v>1.0</v>
      </c>
    </row>
    <row r="29" ht="15.0" customHeight="1">
      <c r="A29" s="8" t="s">
        <v>198</v>
      </c>
      <c r="B29" s="8">
        <v>284.0</v>
      </c>
      <c r="L29" s="8">
        <v>1.0</v>
      </c>
      <c r="AI29" s="8">
        <v>1.0</v>
      </c>
      <c r="BN29" s="8">
        <v>1.0</v>
      </c>
    </row>
    <row r="30" ht="15.0" customHeight="1">
      <c r="A30" s="8" t="s">
        <v>88</v>
      </c>
      <c r="B30" s="8">
        <v>285.0</v>
      </c>
      <c r="I30" s="8">
        <v>1.0</v>
      </c>
      <c r="L30" s="8">
        <v>1.0</v>
      </c>
      <c r="S30" s="8">
        <v>1.0</v>
      </c>
      <c r="AI30" s="8">
        <v>1.0</v>
      </c>
      <c r="BF30" s="8">
        <v>1.0</v>
      </c>
      <c r="BK30" s="8">
        <v>1.0</v>
      </c>
    </row>
    <row r="31" ht="15.0" customHeight="1">
      <c r="A31" s="8" t="s">
        <v>89</v>
      </c>
      <c r="B31" s="8">
        <v>286.0</v>
      </c>
      <c r="L31" s="8">
        <v>1.0</v>
      </c>
      <c r="AI31" s="8">
        <v>1.0</v>
      </c>
      <c r="BF31" s="8">
        <v>1.0</v>
      </c>
    </row>
    <row r="32" ht="15.0" customHeight="1">
      <c r="A32" s="8" t="s">
        <v>89</v>
      </c>
      <c r="B32" s="8">
        <v>287.0</v>
      </c>
      <c r="L32" s="8">
        <v>1.0</v>
      </c>
      <c r="AI32" s="8">
        <v>1.0</v>
      </c>
      <c r="BA32" s="8">
        <v>1.0</v>
      </c>
    </row>
    <row r="33" ht="15.0" customHeight="1">
      <c r="A33" s="8" t="s">
        <v>212</v>
      </c>
      <c r="B33" s="8">
        <v>289.0</v>
      </c>
      <c r="L33" s="8">
        <v>1.0</v>
      </c>
      <c r="AB33" s="8">
        <v>1.0</v>
      </c>
      <c r="AI33" s="8">
        <v>1.0</v>
      </c>
      <c r="BN33" s="8">
        <v>1.0</v>
      </c>
    </row>
    <row r="34" ht="15.0" customHeight="1">
      <c r="A34" s="8" t="s">
        <v>212</v>
      </c>
      <c r="B34" s="8">
        <v>290.0</v>
      </c>
      <c r="L34" s="8">
        <v>1.0</v>
      </c>
      <c r="AI34" s="8">
        <v>1.0</v>
      </c>
    </row>
    <row r="35" ht="15.0" customHeight="1">
      <c r="A35" s="8" t="s">
        <v>90</v>
      </c>
      <c r="B35" s="8">
        <v>291.0</v>
      </c>
      <c r="L35" s="8">
        <v>1.0</v>
      </c>
      <c r="AQ35" s="8">
        <v>1.0</v>
      </c>
      <c r="AV35" s="8">
        <v>1.0</v>
      </c>
      <c r="BF35" s="8">
        <v>1.0</v>
      </c>
    </row>
    <row r="36" ht="15.0" customHeight="1">
      <c r="A36" s="8" t="s">
        <v>90</v>
      </c>
      <c r="B36" s="8">
        <v>292.0</v>
      </c>
      <c r="L36" s="8">
        <v>1.0</v>
      </c>
      <c r="S36" s="8">
        <v>1.0</v>
      </c>
      <c r="BF36" s="8">
        <v>1.0</v>
      </c>
    </row>
    <row r="37" ht="15.0" customHeight="1">
      <c r="A37" s="8" t="s">
        <v>91</v>
      </c>
      <c r="B37" s="8">
        <v>293.0</v>
      </c>
      <c r="L37" s="8">
        <v>1.0</v>
      </c>
      <c r="AI37" s="8">
        <v>1.0</v>
      </c>
    </row>
    <row r="38" ht="15.0" customHeight="1">
      <c r="A38" s="8" t="s">
        <v>94</v>
      </c>
      <c r="B38" s="8">
        <v>294.0</v>
      </c>
      <c r="I38" s="8">
        <v>1.0</v>
      </c>
      <c r="L38" s="8">
        <v>1.0</v>
      </c>
      <c r="S38" s="8">
        <v>1.0</v>
      </c>
      <c r="AB38" s="8">
        <v>1.0</v>
      </c>
      <c r="AI38" s="8">
        <v>1.0</v>
      </c>
      <c r="AP38" s="8">
        <v>1.0</v>
      </c>
      <c r="BK38" s="8">
        <v>1.0</v>
      </c>
      <c r="BL38" s="8">
        <v>1.0</v>
      </c>
      <c r="BN38" s="8">
        <v>1.0</v>
      </c>
    </row>
    <row r="39" ht="15.0" customHeight="1">
      <c r="A39" s="8" t="s">
        <v>95</v>
      </c>
      <c r="B39" s="8">
        <v>295.0</v>
      </c>
      <c r="L39" s="8">
        <v>1.0</v>
      </c>
    </row>
    <row r="40" ht="15.0" customHeight="1">
      <c r="A40" s="8" t="s">
        <v>95</v>
      </c>
      <c r="B40" s="8">
        <v>296.0</v>
      </c>
      <c r="L40" s="8">
        <v>1.0</v>
      </c>
      <c r="AI40" s="8">
        <v>1.0</v>
      </c>
      <c r="BA40" s="8">
        <v>1.0</v>
      </c>
      <c r="BJ40" s="8">
        <v>1.0</v>
      </c>
    </row>
    <row r="41" ht="15.0" customHeight="1">
      <c r="A41" s="8" t="s">
        <v>195</v>
      </c>
      <c r="B41" s="8">
        <v>297.0</v>
      </c>
      <c r="L41" s="8">
        <v>1.0</v>
      </c>
      <c r="AB41" s="8">
        <v>1.0</v>
      </c>
      <c r="AI41" s="8">
        <v>1.0</v>
      </c>
    </row>
    <row r="42" ht="15.0" customHeight="1">
      <c r="A42" s="8" t="s">
        <v>96</v>
      </c>
      <c r="B42" s="8">
        <v>298.0</v>
      </c>
      <c r="L42" s="8">
        <v>1.0</v>
      </c>
      <c r="BA42" s="8">
        <v>1.0</v>
      </c>
      <c r="BC42" s="8">
        <v>1.0</v>
      </c>
    </row>
    <row r="43" ht="15.0" customHeight="1">
      <c r="A43" s="8" t="s">
        <v>96</v>
      </c>
      <c r="B43" s="8">
        <v>299.0</v>
      </c>
      <c r="L43" s="8">
        <v>1.0</v>
      </c>
    </row>
    <row r="44" ht="15.0" customHeight="1">
      <c r="A44" s="8" t="s">
        <v>96</v>
      </c>
      <c r="B44" s="8">
        <v>300.0</v>
      </c>
      <c r="L44" s="8">
        <v>1.0</v>
      </c>
    </row>
    <row r="45" ht="15.0" customHeight="1">
      <c r="A45" s="8" t="s">
        <v>179</v>
      </c>
      <c r="B45" s="8">
        <v>301.0</v>
      </c>
      <c r="AI45" s="8">
        <v>1.0</v>
      </c>
      <c r="BF45" s="8">
        <v>1.0</v>
      </c>
    </row>
    <row r="46" ht="15.0" customHeight="1">
      <c r="A46" s="8" t="s">
        <v>97</v>
      </c>
      <c r="B46" s="8">
        <v>302.0</v>
      </c>
      <c r="L46" s="8">
        <v>1.0</v>
      </c>
      <c r="N46" s="8">
        <v>1.0</v>
      </c>
      <c r="R46" s="8">
        <v>1.0</v>
      </c>
      <c r="S46" s="8">
        <v>1.0</v>
      </c>
      <c r="U46" s="8">
        <v>1.0</v>
      </c>
      <c r="AD46" s="8">
        <v>1.0</v>
      </c>
      <c r="AG46" s="8">
        <v>1.0</v>
      </c>
      <c r="AK46" s="8">
        <v>1.0</v>
      </c>
    </row>
    <row r="47" ht="15.0" customHeight="1">
      <c r="A47" s="8" t="s">
        <v>268</v>
      </c>
      <c r="B47" s="8">
        <v>303.0</v>
      </c>
      <c r="L47" s="8">
        <v>1.0</v>
      </c>
      <c r="S47" s="8">
        <v>1.0</v>
      </c>
      <c r="BA47" s="8">
        <v>1.0</v>
      </c>
    </row>
    <row r="48" ht="15.0" customHeight="1">
      <c r="A48" s="8" t="s">
        <v>98</v>
      </c>
      <c r="B48" s="8">
        <v>304.0</v>
      </c>
      <c r="I48" s="8">
        <v>1.0</v>
      </c>
      <c r="L48" s="8">
        <v>1.0</v>
      </c>
      <c r="S48" s="8">
        <v>1.0</v>
      </c>
      <c r="AX48" s="8">
        <v>1.0</v>
      </c>
      <c r="BA48" s="8">
        <v>1.0</v>
      </c>
      <c r="BG48" s="8">
        <v>1.0</v>
      </c>
    </row>
    <row r="49" ht="15.0" customHeight="1">
      <c r="A49" s="8" t="s">
        <v>98</v>
      </c>
      <c r="B49" s="8">
        <v>305.0</v>
      </c>
      <c r="L49" s="8">
        <v>1.0</v>
      </c>
    </row>
    <row r="50" ht="15.0" customHeight="1">
      <c r="A50" s="8" t="s">
        <v>98</v>
      </c>
      <c r="B50" s="8">
        <v>306.0</v>
      </c>
      <c r="L50" s="8">
        <v>1.0</v>
      </c>
      <c r="AB50" s="8">
        <v>1.0</v>
      </c>
    </row>
    <row r="51" ht="15.0" customHeight="1">
      <c r="A51" s="8" t="s">
        <v>181</v>
      </c>
      <c r="B51" s="8">
        <v>307.0</v>
      </c>
      <c r="H51" s="8">
        <v>1.0</v>
      </c>
      <c r="N51" s="8">
        <v>1.0</v>
      </c>
      <c r="AI51" s="8">
        <v>1.0</v>
      </c>
    </row>
    <row r="52" ht="15.0" customHeight="1">
      <c r="A52" s="8" t="s">
        <v>98</v>
      </c>
      <c r="B52" s="8">
        <v>307.0</v>
      </c>
      <c r="I52" s="8">
        <v>1.0</v>
      </c>
      <c r="L52" s="8">
        <v>1.0</v>
      </c>
      <c r="T52" s="8">
        <v>1.0</v>
      </c>
      <c r="BL52" s="8">
        <v>1.0</v>
      </c>
    </row>
    <row r="53" ht="15.0" customHeight="1">
      <c r="A53" s="8" t="s">
        <v>99</v>
      </c>
      <c r="B53" s="8">
        <v>308.0</v>
      </c>
      <c r="L53" s="8">
        <v>1.0</v>
      </c>
      <c r="AI53" s="8">
        <v>1.0</v>
      </c>
      <c r="BK53" s="8">
        <v>1.0</v>
      </c>
    </row>
    <row r="54" ht="15.0" customHeight="1">
      <c r="A54" s="8" t="s">
        <v>100</v>
      </c>
      <c r="B54" s="8">
        <v>309.0</v>
      </c>
      <c r="I54" s="8">
        <v>1.0</v>
      </c>
      <c r="L54" s="8">
        <v>1.0</v>
      </c>
      <c r="AB54" s="8">
        <v>1.0</v>
      </c>
      <c r="BG54" s="8">
        <v>1.0</v>
      </c>
      <c r="BK54" s="8">
        <v>1.0</v>
      </c>
    </row>
    <row r="55" ht="15.0" customHeight="1">
      <c r="A55" s="8" t="s">
        <v>101</v>
      </c>
      <c r="B55" s="8">
        <v>310.0</v>
      </c>
      <c r="L55" s="8">
        <v>1.0</v>
      </c>
      <c r="BJ55" s="8">
        <v>1.0</v>
      </c>
    </row>
    <row r="56" ht="15.0" customHeight="1">
      <c r="A56" s="8" t="s">
        <v>99</v>
      </c>
      <c r="B56" s="8">
        <v>310.0</v>
      </c>
      <c r="L56" s="8">
        <v>1.0</v>
      </c>
      <c r="AI56" s="8">
        <v>1.0</v>
      </c>
      <c r="BK56" s="8">
        <v>1.0</v>
      </c>
    </row>
    <row r="57" ht="15.0" customHeight="1">
      <c r="A57" s="8" t="s">
        <v>101</v>
      </c>
      <c r="B57" s="8">
        <v>311.0</v>
      </c>
      <c r="L57" s="8">
        <v>1.0</v>
      </c>
    </row>
    <row r="58" ht="15.0" customHeight="1">
      <c r="A58" s="8" t="s">
        <v>180</v>
      </c>
      <c r="B58" s="8">
        <v>312.0</v>
      </c>
      <c r="I58" s="8">
        <v>1.0</v>
      </c>
      <c r="L58" s="8">
        <v>1.0</v>
      </c>
      <c r="O58" s="8">
        <v>1.0</v>
      </c>
      <c r="AB58" s="8">
        <v>1.0</v>
      </c>
      <c r="AG58" s="8">
        <v>1.0</v>
      </c>
      <c r="BA58" s="8">
        <v>1.0</v>
      </c>
      <c r="BF58" s="8">
        <v>1.0</v>
      </c>
      <c r="BG58" s="8">
        <v>1.0</v>
      </c>
      <c r="BK58" s="8">
        <v>1.0</v>
      </c>
      <c r="BM58" s="8">
        <v>1.0</v>
      </c>
    </row>
    <row r="59" ht="15.0" customHeight="1">
      <c r="A59" s="8" t="s">
        <v>180</v>
      </c>
      <c r="B59" s="8">
        <v>313.0</v>
      </c>
      <c r="I59" s="8">
        <v>1.0</v>
      </c>
      <c r="L59" s="8">
        <v>1.0</v>
      </c>
      <c r="O59" s="8">
        <v>1.0</v>
      </c>
      <c r="S59" s="8">
        <v>1.0</v>
      </c>
      <c r="Y59" s="8">
        <v>1.0</v>
      </c>
      <c r="AG59" s="8">
        <v>1.0</v>
      </c>
      <c r="AI59" s="8">
        <v>1.0</v>
      </c>
      <c r="BF59" s="8">
        <v>1.0</v>
      </c>
      <c r="BL59" s="8">
        <v>1.0</v>
      </c>
    </row>
    <row r="60" ht="15.0" customHeight="1">
      <c r="A60" s="8" t="s">
        <v>180</v>
      </c>
      <c r="B60" s="8">
        <v>314.0</v>
      </c>
      <c r="H60" s="8">
        <v>1.0</v>
      </c>
      <c r="L60" s="8">
        <v>1.0</v>
      </c>
      <c r="AG60" s="8">
        <v>1.0</v>
      </c>
      <c r="AI60" s="8">
        <v>1.0</v>
      </c>
    </row>
    <row r="61" ht="15.0" customHeight="1">
      <c r="A61" s="8" t="s">
        <v>146</v>
      </c>
      <c r="B61" s="8">
        <v>315.0</v>
      </c>
      <c r="S61" s="8">
        <v>1.0</v>
      </c>
      <c r="AI61" s="8">
        <v>1.0</v>
      </c>
      <c r="BA61" s="8">
        <v>1.0</v>
      </c>
    </row>
    <row r="62" ht="15.0" customHeight="1">
      <c r="A62" s="8" t="s">
        <v>187</v>
      </c>
      <c r="B62" s="8">
        <v>316.0</v>
      </c>
      <c r="L62" s="8">
        <v>1.0</v>
      </c>
      <c r="S62" s="8">
        <v>1.0</v>
      </c>
      <c r="AO62" s="8">
        <v>1.0</v>
      </c>
      <c r="AP62" s="8">
        <v>1.0</v>
      </c>
      <c r="BF62" s="8">
        <v>1.0</v>
      </c>
    </row>
    <row r="63" ht="15.0" customHeight="1">
      <c r="A63" s="8" t="s">
        <v>103</v>
      </c>
      <c r="B63" s="8">
        <v>317.0</v>
      </c>
      <c r="L63" s="8">
        <v>1.0</v>
      </c>
      <c r="S63" s="8">
        <v>1.0</v>
      </c>
      <c r="AB63" s="8">
        <v>1.0</v>
      </c>
      <c r="AI63" s="8">
        <v>1.0</v>
      </c>
      <c r="BF63" s="8">
        <v>1.0</v>
      </c>
      <c r="BK63" s="8">
        <v>1.0</v>
      </c>
      <c r="BR63" s="8">
        <v>1.0</v>
      </c>
    </row>
    <row r="64" ht="15.0" customHeight="1">
      <c r="A64" s="8" t="s">
        <v>104</v>
      </c>
      <c r="B64" s="8">
        <v>318.0</v>
      </c>
      <c r="I64" s="8">
        <v>1.0</v>
      </c>
      <c r="L64" s="8">
        <v>1.0</v>
      </c>
      <c r="BQ64" s="8">
        <v>1.0</v>
      </c>
    </row>
    <row r="65" ht="15.0" customHeight="1">
      <c r="A65" s="8" t="s">
        <v>201</v>
      </c>
      <c r="B65" s="8">
        <v>319.0</v>
      </c>
      <c r="L65" s="8">
        <v>1.0</v>
      </c>
      <c r="N65" s="8">
        <v>1.0</v>
      </c>
      <c r="S65" s="8">
        <v>1.0</v>
      </c>
      <c r="BA65" s="8">
        <v>1.0</v>
      </c>
      <c r="BD65" s="8">
        <v>1.0</v>
      </c>
      <c r="BF65" s="8">
        <v>1.0</v>
      </c>
    </row>
    <row r="66" ht="15.0" customHeight="1">
      <c r="A66" s="8" t="s">
        <v>181</v>
      </c>
      <c r="B66" s="8">
        <v>320.0</v>
      </c>
      <c r="I66" s="8">
        <v>1.0</v>
      </c>
      <c r="O66" s="8">
        <v>1.0</v>
      </c>
      <c r="S66" s="8">
        <v>1.0</v>
      </c>
      <c r="BF66" s="8">
        <v>1.0</v>
      </c>
    </row>
    <row r="67" ht="15.0" customHeight="1">
      <c r="A67" s="8" t="s">
        <v>105</v>
      </c>
      <c r="B67" s="8">
        <v>322.0</v>
      </c>
      <c r="S67" s="8">
        <v>1.0</v>
      </c>
      <c r="AI67" s="8">
        <v>1.0</v>
      </c>
      <c r="BF67" s="8">
        <v>1.0</v>
      </c>
    </row>
    <row r="68" ht="15.0" customHeight="1">
      <c r="A68" s="8" t="s">
        <v>105</v>
      </c>
      <c r="B68" s="8">
        <v>323.0</v>
      </c>
      <c r="F68" s="8">
        <v>1.0</v>
      </c>
      <c r="M68" s="8">
        <v>1.0</v>
      </c>
      <c r="P68" s="8">
        <v>1.0</v>
      </c>
      <c r="AA68" s="8">
        <v>1.0</v>
      </c>
      <c r="AB68" s="8">
        <v>1.0</v>
      </c>
      <c r="AH68" s="8">
        <v>1.0</v>
      </c>
      <c r="AI68" s="8">
        <v>1.0</v>
      </c>
      <c r="AP68" s="8">
        <v>1.0</v>
      </c>
      <c r="AU68" s="8">
        <v>1.0</v>
      </c>
      <c r="AX68" s="8">
        <v>1.0</v>
      </c>
      <c r="BF68" s="8">
        <v>1.0</v>
      </c>
      <c r="BJ68" s="8">
        <v>1.0</v>
      </c>
    </row>
    <row r="69" ht="15.0" customHeight="1">
      <c r="A69" s="8" t="s">
        <v>105</v>
      </c>
      <c r="B69" s="8">
        <v>324.0</v>
      </c>
      <c r="L69" s="8">
        <v>1.0</v>
      </c>
      <c r="N69" s="8">
        <v>1.0</v>
      </c>
      <c r="O69" s="8">
        <v>1.0</v>
      </c>
      <c r="U69" s="8">
        <v>1.0</v>
      </c>
      <c r="AG69" s="8">
        <v>1.0</v>
      </c>
      <c r="AI69" s="8">
        <v>1.0</v>
      </c>
      <c r="BJ69" s="8">
        <v>1.0</v>
      </c>
      <c r="BK69" s="8">
        <v>1.0</v>
      </c>
    </row>
    <row r="70" ht="15.0" customHeight="1">
      <c r="A70" s="8" t="s">
        <v>209</v>
      </c>
      <c r="B70" s="8">
        <v>325.0</v>
      </c>
      <c r="L70" s="8">
        <v>1.0</v>
      </c>
      <c r="N70" s="8">
        <v>1.0</v>
      </c>
      <c r="S70" s="8">
        <v>1.0</v>
      </c>
      <c r="U70" s="8">
        <v>1.0</v>
      </c>
      <c r="BA70" s="8">
        <v>1.0</v>
      </c>
    </row>
    <row r="71" ht="15.0" customHeight="1">
      <c r="A71" s="8" t="s">
        <v>217</v>
      </c>
      <c r="B71" s="8">
        <v>326.0</v>
      </c>
      <c r="J71" s="8">
        <v>1.0</v>
      </c>
      <c r="K71" s="8">
        <v>1.0</v>
      </c>
      <c r="L71" s="8">
        <v>1.0</v>
      </c>
      <c r="Z71" s="8">
        <v>1.0</v>
      </c>
      <c r="BA71" s="8">
        <v>1.0</v>
      </c>
    </row>
    <row r="72" ht="15.0" customHeight="1">
      <c r="A72" s="8" t="s">
        <v>106</v>
      </c>
      <c r="B72" s="8">
        <v>327.0</v>
      </c>
      <c r="BK72" s="8">
        <v>1.0</v>
      </c>
    </row>
    <row r="73" ht="15.0" customHeight="1">
      <c r="A73" s="8" t="s">
        <v>106</v>
      </c>
      <c r="B73" s="8">
        <v>328.0</v>
      </c>
      <c r="BK73" s="8">
        <v>1.0</v>
      </c>
    </row>
    <row r="74" ht="15.0" customHeight="1">
      <c r="A74" s="8" t="s">
        <v>221</v>
      </c>
      <c r="B74" s="8">
        <v>329.0</v>
      </c>
      <c r="L74" s="8">
        <v>1.0</v>
      </c>
      <c r="BB74" s="8">
        <v>1.0</v>
      </c>
      <c r="BF74" s="8">
        <v>1.0</v>
      </c>
    </row>
    <row r="75" ht="15.0" customHeight="1">
      <c r="A75" s="8" t="s">
        <v>108</v>
      </c>
      <c r="B75" s="8">
        <v>330.0</v>
      </c>
      <c r="L75" s="8">
        <v>1.0</v>
      </c>
      <c r="Q75" s="8">
        <v>1.0</v>
      </c>
      <c r="R75" s="8">
        <v>1.0</v>
      </c>
      <c r="BA75" s="8">
        <v>1.0</v>
      </c>
      <c r="BS75" s="8">
        <v>1.0</v>
      </c>
    </row>
    <row r="76" ht="15.0" customHeight="1">
      <c r="A76" s="8" t="s">
        <v>108</v>
      </c>
      <c r="B76" s="8">
        <v>331.0</v>
      </c>
      <c r="L76" s="8">
        <v>1.0</v>
      </c>
      <c r="AP76" s="8">
        <v>1.0</v>
      </c>
    </row>
    <row r="77" ht="15.0" customHeight="1">
      <c r="A77" s="8" t="s">
        <v>109</v>
      </c>
      <c r="B77" s="8">
        <v>332.0</v>
      </c>
      <c r="L77" s="8">
        <v>1.0</v>
      </c>
      <c r="S77" s="8">
        <v>1.0</v>
      </c>
      <c r="T77" s="8">
        <v>1.0</v>
      </c>
      <c r="AA77" s="8">
        <v>1.0</v>
      </c>
      <c r="AK77" s="8">
        <v>1.0</v>
      </c>
      <c r="AY77" s="8">
        <v>1.0</v>
      </c>
      <c r="BF77" s="8">
        <v>1.0</v>
      </c>
      <c r="BN77" s="8">
        <v>1.0</v>
      </c>
    </row>
    <row r="78" ht="15.0" customHeight="1">
      <c r="A78" s="8" t="s">
        <v>110</v>
      </c>
      <c r="B78" s="8">
        <v>333.0</v>
      </c>
      <c r="L78" s="8">
        <v>1.0</v>
      </c>
      <c r="S78" s="8">
        <v>1.0</v>
      </c>
      <c r="BA78" s="8">
        <v>1.0</v>
      </c>
    </row>
    <row r="79" ht="15.0" customHeight="1">
      <c r="A79" s="8" t="s">
        <v>110</v>
      </c>
      <c r="B79" s="8">
        <v>334.0</v>
      </c>
      <c r="I79" s="8">
        <v>1.0</v>
      </c>
      <c r="L79" s="8">
        <v>1.0</v>
      </c>
      <c r="S79" s="8">
        <v>1.0</v>
      </c>
      <c r="AI79" s="8">
        <v>1.0</v>
      </c>
      <c r="AN79" s="8">
        <v>1.0</v>
      </c>
    </row>
    <row r="80" ht="15.0" customHeight="1">
      <c r="A80" s="8" t="s">
        <v>111</v>
      </c>
      <c r="B80" s="8">
        <v>335.0</v>
      </c>
      <c r="L80" s="8">
        <v>1.0</v>
      </c>
      <c r="AF80" s="8">
        <v>1.0</v>
      </c>
    </row>
    <row r="81" ht="15.0" customHeight="1">
      <c r="A81" s="8" t="s">
        <v>196</v>
      </c>
      <c r="B81" s="8">
        <v>336.0</v>
      </c>
      <c r="L81" s="8">
        <v>1.0</v>
      </c>
      <c r="S81" s="8">
        <v>1.0</v>
      </c>
    </row>
    <row r="82" ht="15.0" customHeight="1">
      <c r="A82" s="8" t="s">
        <v>112</v>
      </c>
      <c r="B82" s="8">
        <v>337.0</v>
      </c>
      <c r="AB82" s="8">
        <v>1.0</v>
      </c>
      <c r="AP82" s="8">
        <v>1.0</v>
      </c>
      <c r="AZ82" s="8">
        <v>1.0</v>
      </c>
      <c r="BK82" s="8">
        <v>1.0</v>
      </c>
    </row>
    <row r="83" ht="15.0" customHeight="1">
      <c r="A83" s="8" t="s">
        <v>112</v>
      </c>
      <c r="B83" s="8">
        <v>338.0</v>
      </c>
      <c r="I83" s="8">
        <v>1.0</v>
      </c>
      <c r="BC83" s="8">
        <v>1.0</v>
      </c>
    </row>
    <row r="84" ht="15.0" customHeight="1">
      <c r="A84" s="8" t="s">
        <v>113</v>
      </c>
      <c r="B84" s="8">
        <v>339.0</v>
      </c>
      <c r="L84" s="8">
        <v>1.0</v>
      </c>
      <c r="AB84" s="8">
        <v>1.0</v>
      </c>
      <c r="AI84" s="8">
        <v>1.0</v>
      </c>
    </row>
    <row r="85" ht="15.0" customHeight="1">
      <c r="A85" s="8" t="s">
        <v>113</v>
      </c>
      <c r="B85" s="8">
        <v>340.0</v>
      </c>
      <c r="L85" s="8">
        <v>1.0</v>
      </c>
    </row>
    <row r="86" ht="15.0" customHeight="1">
      <c r="A86" s="8" t="s">
        <v>113</v>
      </c>
      <c r="B86" s="8">
        <v>341.0</v>
      </c>
      <c r="G86" s="8">
        <v>1.0</v>
      </c>
      <c r="L86" s="8">
        <v>1.0</v>
      </c>
      <c r="X86" s="8">
        <v>1.0</v>
      </c>
      <c r="AB86" s="8">
        <v>1.0</v>
      </c>
      <c r="AG86" s="8">
        <v>1.0</v>
      </c>
      <c r="AM86" s="8">
        <v>1.0</v>
      </c>
      <c r="BC86" s="8">
        <v>1.0</v>
      </c>
    </row>
    <row r="87" ht="15.0" customHeight="1">
      <c r="A87" s="8" t="s">
        <v>114</v>
      </c>
      <c r="B87" s="8">
        <v>342.0</v>
      </c>
      <c r="L87" s="8">
        <v>1.0</v>
      </c>
      <c r="AI87" s="8">
        <v>1.0</v>
      </c>
      <c r="AP87" s="8">
        <v>1.0</v>
      </c>
    </row>
    <row r="88" ht="15.0" customHeight="1">
      <c r="A88" s="8" t="s">
        <v>114</v>
      </c>
      <c r="B88" s="8">
        <v>343.0</v>
      </c>
      <c r="L88" s="8">
        <v>1.0</v>
      </c>
    </row>
    <row r="89" ht="15.0" customHeight="1">
      <c r="A89" s="8" t="s">
        <v>115</v>
      </c>
      <c r="B89" s="8">
        <v>344.0</v>
      </c>
      <c r="J89" s="8">
        <v>1.0</v>
      </c>
      <c r="L89" s="8">
        <v>1.0</v>
      </c>
    </row>
    <row r="90" ht="15.0" customHeight="1">
      <c r="A90" s="8" t="s">
        <v>211</v>
      </c>
      <c r="B90" s="8">
        <v>344.0</v>
      </c>
      <c r="I90" s="8">
        <v>1.0</v>
      </c>
      <c r="L90" s="8">
        <v>1.0</v>
      </c>
      <c r="S90" s="8">
        <v>1.0</v>
      </c>
      <c r="AI90" s="8">
        <v>1.0</v>
      </c>
      <c r="BJ90" s="8">
        <v>1.0</v>
      </c>
    </row>
    <row r="91" ht="15.0" customHeight="1">
      <c r="A91" s="8" t="s">
        <v>211</v>
      </c>
      <c r="B91" s="8">
        <v>345.0</v>
      </c>
      <c r="L91" s="8">
        <v>1.0</v>
      </c>
      <c r="U91" s="8">
        <v>1.0</v>
      </c>
      <c r="AQ91" s="8">
        <v>1.0</v>
      </c>
      <c r="AY91" s="8">
        <v>1.0</v>
      </c>
      <c r="BA91" s="8">
        <v>1.0</v>
      </c>
    </row>
    <row r="92" ht="15.0" customHeight="1">
      <c r="A92" s="8" t="s">
        <v>115</v>
      </c>
      <c r="B92" s="8">
        <v>346.0</v>
      </c>
      <c r="BG92" s="8">
        <v>1.0</v>
      </c>
    </row>
    <row r="93" ht="15.0" customHeight="1">
      <c r="A93" s="8" t="s">
        <v>115</v>
      </c>
      <c r="B93" s="8">
        <v>348.0</v>
      </c>
      <c r="L93" s="8">
        <v>1.0</v>
      </c>
    </row>
    <row r="94" ht="15.0" customHeight="1">
      <c r="A94" s="8" t="s">
        <v>203</v>
      </c>
      <c r="B94" s="8">
        <v>349.0</v>
      </c>
      <c r="BB94" s="8">
        <v>1.0</v>
      </c>
      <c r="BF94" s="8">
        <v>1.0</v>
      </c>
    </row>
    <row r="95" ht="15.0" customHeight="1">
      <c r="A95" s="8" t="s">
        <v>116</v>
      </c>
      <c r="B95" s="8">
        <v>350.0</v>
      </c>
      <c r="BG95" s="8">
        <v>1.0</v>
      </c>
    </row>
    <row r="96" ht="15.0" customHeight="1">
      <c r="A96" s="8" t="s">
        <v>117</v>
      </c>
      <c r="B96" s="8">
        <v>351.0</v>
      </c>
      <c r="L96" s="8">
        <v>1.0</v>
      </c>
      <c r="BA96" s="8">
        <v>1.0</v>
      </c>
    </row>
    <row r="97" ht="15.0" customHeight="1">
      <c r="A97" s="8" t="s">
        <v>117</v>
      </c>
      <c r="B97" s="8">
        <v>352.0</v>
      </c>
      <c r="L97" s="8">
        <v>1.0</v>
      </c>
    </row>
    <row r="98" ht="15.0" customHeight="1">
      <c r="A98" s="8" t="s">
        <v>223</v>
      </c>
      <c r="B98" s="8">
        <v>353.0</v>
      </c>
      <c r="L98" s="8">
        <v>1.0</v>
      </c>
      <c r="S98" s="8">
        <v>1.0</v>
      </c>
      <c r="BA98" s="8">
        <v>1.0</v>
      </c>
    </row>
    <row r="99" ht="15.0" customHeight="1">
      <c r="A99" s="8" t="s">
        <v>118</v>
      </c>
      <c r="B99" s="8">
        <v>354.0</v>
      </c>
      <c r="AI99" s="8">
        <v>1.0</v>
      </c>
    </row>
    <row r="100" ht="15.0" customHeight="1">
      <c r="A100" s="8" t="s">
        <v>118</v>
      </c>
      <c r="B100" s="8">
        <v>355.0</v>
      </c>
      <c r="AB100" s="8">
        <v>1.0</v>
      </c>
      <c r="AI100" s="8">
        <v>1.0</v>
      </c>
      <c r="BA100" s="8">
        <v>1.0</v>
      </c>
    </row>
    <row r="101" ht="15.0" customHeight="1">
      <c r="A101" s="8" t="s">
        <v>119</v>
      </c>
      <c r="B101" s="8">
        <v>356.0</v>
      </c>
      <c r="L101" s="8">
        <v>1.0</v>
      </c>
      <c r="BA101" s="8">
        <v>1.0</v>
      </c>
      <c r="BC101" s="8">
        <v>1.0</v>
      </c>
      <c r="BG101" s="8">
        <v>1.0</v>
      </c>
      <c r="BK101" s="8">
        <v>1.0</v>
      </c>
    </row>
    <row r="102" ht="15.0" customHeight="1">
      <c r="A102" s="8" t="s">
        <v>119</v>
      </c>
      <c r="B102" s="8">
        <v>357.0</v>
      </c>
      <c r="I102" s="8">
        <v>1.0</v>
      </c>
      <c r="L102" s="8">
        <v>1.0</v>
      </c>
    </row>
    <row r="103" ht="15.0" customHeight="1">
      <c r="A103" s="8" t="s">
        <v>119</v>
      </c>
      <c r="B103" s="8">
        <v>358.0</v>
      </c>
      <c r="L103" s="8">
        <v>1.0</v>
      </c>
      <c r="AI103" s="8">
        <v>1.0</v>
      </c>
      <c r="BA103" s="8">
        <v>1.0</v>
      </c>
      <c r="BF103" s="8">
        <v>1.0</v>
      </c>
    </row>
    <row r="104" ht="15.0" customHeight="1">
      <c r="A104" s="8" t="s">
        <v>121</v>
      </c>
      <c r="B104" s="8">
        <v>359.0</v>
      </c>
      <c r="I104" s="8">
        <v>1.0</v>
      </c>
      <c r="L104" s="8">
        <v>1.0</v>
      </c>
      <c r="N104" s="8">
        <v>1.0</v>
      </c>
      <c r="R104" s="8">
        <v>1.0</v>
      </c>
      <c r="S104" s="8">
        <v>1.0</v>
      </c>
      <c r="AD104" s="8">
        <v>1.0</v>
      </c>
      <c r="AI104" s="8">
        <v>1.0</v>
      </c>
      <c r="AQ104" s="8">
        <v>1.0</v>
      </c>
    </row>
    <row r="105" ht="15.0" customHeight="1">
      <c r="A105" s="8" t="s">
        <v>120</v>
      </c>
      <c r="B105" s="8">
        <v>360.0</v>
      </c>
      <c r="L105" s="8">
        <v>1.0</v>
      </c>
    </row>
    <row r="106" ht="15.0" customHeight="1">
      <c r="A106" s="8" t="s">
        <v>119</v>
      </c>
      <c r="B106" s="8">
        <v>360.0</v>
      </c>
      <c r="L106" s="8">
        <v>1.0</v>
      </c>
      <c r="BA106" s="8">
        <v>1.0</v>
      </c>
      <c r="BC106" s="8">
        <v>1.0</v>
      </c>
      <c r="BG106" s="8">
        <v>1.0</v>
      </c>
      <c r="BK106" s="8">
        <v>1.0</v>
      </c>
    </row>
    <row r="107" ht="15.0" customHeight="1">
      <c r="A107" s="8" t="s">
        <v>321</v>
      </c>
      <c r="B107" s="8">
        <v>361.0</v>
      </c>
      <c r="L107" s="8">
        <v>1.0</v>
      </c>
    </row>
    <row r="108" ht="15.0" customHeight="1">
      <c r="A108" s="8" t="s">
        <v>197</v>
      </c>
      <c r="B108" s="8">
        <v>361.0</v>
      </c>
      <c r="I108" s="8">
        <v>1.0</v>
      </c>
      <c r="L108" s="8">
        <v>1.0</v>
      </c>
      <c r="S108" s="8">
        <v>1.0</v>
      </c>
      <c r="BF108" s="8">
        <v>1.0</v>
      </c>
      <c r="BL108" s="8">
        <v>1.0</v>
      </c>
    </row>
    <row r="109" ht="15.0" customHeight="1">
      <c r="A109" s="8" t="s">
        <v>321</v>
      </c>
      <c r="B109" s="8">
        <v>363.0</v>
      </c>
      <c r="L109" s="8">
        <v>1.0</v>
      </c>
      <c r="BA109" s="8">
        <v>1.0</v>
      </c>
    </row>
    <row r="110" ht="15.0" customHeight="1">
      <c r="A110" s="8" t="s">
        <v>321</v>
      </c>
      <c r="B110" s="8">
        <v>364.0</v>
      </c>
      <c r="L110" s="8">
        <v>1.0</v>
      </c>
      <c r="BA110" s="8">
        <v>1.0</v>
      </c>
    </row>
    <row r="111" ht="15.0" customHeight="1">
      <c r="A111" s="8" t="s">
        <v>121</v>
      </c>
      <c r="B111" s="8">
        <v>366.0</v>
      </c>
      <c r="L111" s="8">
        <v>1.0</v>
      </c>
      <c r="AB111" s="8">
        <v>1.0</v>
      </c>
      <c r="AZ111" s="8">
        <v>1.0</v>
      </c>
      <c r="BA111" s="8">
        <v>1.0</v>
      </c>
      <c r="BG111" s="8">
        <v>1.0</v>
      </c>
      <c r="BJ111" s="8">
        <v>1.0</v>
      </c>
      <c r="BL111" s="8">
        <v>1.0</v>
      </c>
      <c r="BP111" s="8">
        <v>1.0</v>
      </c>
    </row>
    <row r="112" ht="15.0" customHeight="1">
      <c r="A112" s="8" t="s">
        <v>122</v>
      </c>
      <c r="B112" s="8">
        <v>368.0</v>
      </c>
      <c r="AI112" s="8">
        <v>1.0</v>
      </c>
      <c r="BA112" s="8">
        <v>1.0</v>
      </c>
    </row>
    <row r="113" ht="15.0" customHeight="1">
      <c r="A113" s="8" t="s">
        <v>122</v>
      </c>
      <c r="B113" s="8">
        <v>369.0</v>
      </c>
      <c r="L113" s="8">
        <v>1.0</v>
      </c>
      <c r="BF113" s="8">
        <v>1.0</v>
      </c>
    </row>
    <row r="114" ht="15.0" customHeight="1">
      <c r="A114" s="8" t="s">
        <v>122</v>
      </c>
      <c r="B114" s="8">
        <v>370.0</v>
      </c>
      <c r="I114" s="8">
        <v>1.0</v>
      </c>
      <c r="L114" s="8">
        <v>1.0</v>
      </c>
    </row>
    <row r="115" ht="15.0" customHeight="1">
      <c r="A115" s="8" t="s">
        <v>123</v>
      </c>
      <c r="B115" s="8">
        <v>371.0</v>
      </c>
      <c r="I115" s="8">
        <v>1.0</v>
      </c>
      <c r="L115" s="8">
        <v>1.0</v>
      </c>
      <c r="AB115" s="8">
        <v>1.0</v>
      </c>
      <c r="BG115" s="8">
        <v>1.0</v>
      </c>
      <c r="BJ115" s="8">
        <v>1.0</v>
      </c>
    </row>
    <row r="116" ht="15.0" customHeight="1">
      <c r="A116" s="8" t="s">
        <v>123</v>
      </c>
      <c r="B116" s="8">
        <v>372.0</v>
      </c>
      <c r="L116" s="8">
        <v>1.0</v>
      </c>
      <c r="BA116" s="8">
        <v>1.0</v>
      </c>
    </row>
    <row r="117" ht="15.0" customHeight="1">
      <c r="A117" s="8" t="s">
        <v>123</v>
      </c>
      <c r="B117" s="8">
        <v>373.0</v>
      </c>
      <c r="I117" s="8">
        <v>1.0</v>
      </c>
      <c r="L117" s="8">
        <v>1.0</v>
      </c>
      <c r="BA117" s="8">
        <v>1.0</v>
      </c>
    </row>
    <row r="118" ht="15.0" customHeight="1">
      <c r="A118" s="8" t="s">
        <v>123</v>
      </c>
      <c r="B118" s="8">
        <v>374.0</v>
      </c>
      <c r="G118" s="8">
        <v>1.0</v>
      </c>
      <c r="L118" s="8">
        <v>1.0</v>
      </c>
      <c r="N118" s="8">
        <v>1.0</v>
      </c>
      <c r="P118" s="8">
        <v>1.0</v>
      </c>
      <c r="R118" s="8">
        <v>1.0</v>
      </c>
      <c r="S118" s="8">
        <v>1.0</v>
      </c>
      <c r="U118" s="8">
        <v>1.0</v>
      </c>
      <c r="AH118" s="8">
        <v>1.0</v>
      </c>
      <c r="AS118" s="8">
        <v>1.0</v>
      </c>
      <c r="BJ118" s="8">
        <v>1.0</v>
      </c>
      <c r="BS118" s="8">
        <v>1.0</v>
      </c>
    </row>
    <row r="119" ht="15.0" customHeight="1">
      <c r="A119" s="8" t="s">
        <v>123</v>
      </c>
      <c r="B119" s="8">
        <v>375.0</v>
      </c>
      <c r="I119" s="8">
        <v>1.0</v>
      </c>
      <c r="L119" s="8">
        <v>1.0</v>
      </c>
      <c r="AB119" s="8">
        <v>1.0</v>
      </c>
      <c r="AI119" s="8">
        <v>1.0</v>
      </c>
      <c r="BA119" s="8">
        <v>1.0</v>
      </c>
      <c r="BF119" s="8">
        <v>1.0</v>
      </c>
      <c r="BG119" s="8">
        <v>1.0</v>
      </c>
      <c r="BJ119" s="8">
        <v>1.0</v>
      </c>
      <c r="BK119" s="8">
        <v>1.0</v>
      </c>
      <c r="BN119" s="8">
        <v>1.0</v>
      </c>
    </row>
    <row r="120" ht="15.0" customHeight="1">
      <c r="A120" s="8" t="s">
        <v>123</v>
      </c>
      <c r="B120" s="8">
        <v>376.0</v>
      </c>
      <c r="I120" s="8">
        <v>1.0</v>
      </c>
      <c r="L120" s="8">
        <v>1.0</v>
      </c>
      <c r="S120" s="8">
        <v>1.0</v>
      </c>
      <c r="AB120" s="8">
        <v>1.0</v>
      </c>
      <c r="BA120" s="8">
        <v>1.0</v>
      </c>
    </row>
    <row r="121" ht="15.0" customHeight="1">
      <c r="A121" s="8" t="s">
        <v>124</v>
      </c>
      <c r="B121" s="8">
        <v>377.0</v>
      </c>
      <c r="L121" s="8">
        <v>1.0</v>
      </c>
      <c r="W121" s="8">
        <v>1.0</v>
      </c>
      <c r="AC121" s="8">
        <v>1.0</v>
      </c>
      <c r="BA121" s="8">
        <v>1.0</v>
      </c>
      <c r="BF121" s="8">
        <v>1.0</v>
      </c>
    </row>
    <row r="122" ht="15.0" customHeight="1">
      <c r="A122" s="8" t="s">
        <v>322</v>
      </c>
      <c r="B122" s="8">
        <v>378.0</v>
      </c>
      <c r="L122" s="8">
        <v>1.0</v>
      </c>
      <c r="BA122" s="8">
        <v>1.0</v>
      </c>
    </row>
    <row r="123" ht="15.0" customHeight="1">
      <c r="A123" s="8" t="s">
        <v>322</v>
      </c>
      <c r="B123" s="8">
        <v>379.0</v>
      </c>
      <c r="L123" s="8">
        <v>1.0</v>
      </c>
      <c r="AI123" s="8">
        <v>1.0</v>
      </c>
      <c r="BA123" s="8">
        <v>1.0</v>
      </c>
    </row>
    <row r="124" ht="15.0" customHeight="1">
      <c r="A124" s="8" t="s">
        <v>200</v>
      </c>
      <c r="B124" s="8">
        <v>380.0</v>
      </c>
      <c r="C124" s="8">
        <v>1.0</v>
      </c>
      <c r="I124" s="8">
        <v>1.0</v>
      </c>
      <c r="L124" s="8">
        <v>1.0</v>
      </c>
      <c r="S124" s="8">
        <v>1.0</v>
      </c>
      <c r="W124" s="8">
        <v>1.0</v>
      </c>
      <c r="AB124" s="8">
        <v>1.0</v>
      </c>
      <c r="AI124" s="8">
        <v>1.0</v>
      </c>
      <c r="AS124" s="8">
        <v>1.0</v>
      </c>
      <c r="BA124" s="8">
        <v>1.0</v>
      </c>
      <c r="BF124" s="8">
        <v>1.0</v>
      </c>
      <c r="BG124" s="8">
        <v>1.0</v>
      </c>
      <c r="BK124" s="8">
        <v>1.0</v>
      </c>
    </row>
    <row r="125" ht="15.0" customHeight="1">
      <c r="A125" s="8" t="s">
        <v>206</v>
      </c>
      <c r="B125" s="8">
        <v>381.0</v>
      </c>
      <c r="C125" s="8">
        <v>1.0</v>
      </c>
      <c r="I125" s="8">
        <v>1.0</v>
      </c>
      <c r="P125" s="8">
        <v>1.0</v>
      </c>
      <c r="AB125" s="8">
        <v>1.0</v>
      </c>
      <c r="AX125" s="8">
        <v>1.0</v>
      </c>
      <c r="BA125" s="8">
        <v>1.0</v>
      </c>
      <c r="BK125" s="8">
        <v>1.0</v>
      </c>
      <c r="BS125" s="8">
        <v>1.0</v>
      </c>
    </row>
    <row r="126" ht="15.0" customHeight="1">
      <c r="A126" s="8" t="s">
        <v>206</v>
      </c>
      <c r="B126" s="8">
        <v>382.0</v>
      </c>
      <c r="C126" s="8">
        <v>1.0</v>
      </c>
    </row>
    <row r="127" ht="15.0" customHeight="1">
      <c r="A127" s="8" t="s">
        <v>206</v>
      </c>
      <c r="B127" s="8">
        <v>383.0</v>
      </c>
      <c r="C127" s="8">
        <v>1.0</v>
      </c>
    </row>
    <row r="128" ht="15.0" customHeight="1">
      <c r="A128" s="8" t="s">
        <v>129</v>
      </c>
      <c r="B128" s="8">
        <v>384.0</v>
      </c>
      <c r="C128" s="8">
        <v>1.0</v>
      </c>
      <c r="D128" s="8">
        <v>1.0</v>
      </c>
      <c r="AI128" s="8">
        <v>1.0</v>
      </c>
      <c r="AV128" s="8">
        <v>1.0</v>
      </c>
    </row>
    <row r="129" ht="15.0" customHeight="1">
      <c r="A129" s="8" t="s">
        <v>129</v>
      </c>
      <c r="B129" s="8">
        <v>385.0</v>
      </c>
      <c r="C129" s="8">
        <v>1.0</v>
      </c>
      <c r="S129" s="8">
        <v>1.0</v>
      </c>
    </row>
    <row r="130" ht="15.0" customHeight="1">
      <c r="A130" s="8" t="s">
        <v>208</v>
      </c>
      <c r="B130" s="8">
        <v>386.0</v>
      </c>
      <c r="C130" s="8">
        <v>1.0</v>
      </c>
      <c r="W130" s="8">
        <v>1.0</v>
      </c>
      <c r="AI130" s="8">
        <v>1.0</v>
      </c>
    </row>
    <row r="131" ht="15.0" customHeight="1">
      <c r="A131" s="8" t="s">
        <v>216</v>
      </c>
      <c r="B131" s="8">
        <v>387.0</v>
      </c>
      <c r="C131" s="8">
        <v>1.0</v>
      </c>
      <c r="N131" s="8">
        <v>1.0</v>
      </c>
      <c r="R131" s="8">
        <v>1.0</v>
      </c>
      <c r="U131" s="8">
        <v>1.0</v>
      </c>
      <c r="BA131" s="8">
        <v>1.0</v>
      </c>
    </row>
    <row r="132" ht="15.0" customHeight="1">
      <c r="A132" s="8" t="s">
        <v>216</v>
      </c>
      <c r="B132" s="8">
        <v>388.0</v>
      </c>
      <c r="C132" s="8">
        <v>1.0</v>
      </c>
      <c r="S132" s="8">
        <v>1.0</v>
      </c>
      <c r="BA132" s="8">
        <v>1.0</v>
      </c>
      <c r="BF132" s="8">
        <v>1.0</v>
      </c>
      <c r="BL132" s="8">
        <v>1.0</v>
      </c>
    </row>
    <row r="133" ht="15.0" customHeight="1">
      <c r="A133" s="8" t="s">
        <v>130</v>
      </c>
      <c r="B133" s="8">
        <v>389.0</v>
      </c>
      <c r="C133" s="8">
        <v>1.0</v>
      </c>
      <c r="S133" s="8">
        <v>1.0</v>
      </c>
      <c r="BA133" s="8">
        <v>1.0</v>
      </c>
    </row>
    <row r="134" ht="15.0" customHeight="1">
      <c r="A134" s="8" t="s">
        <v>183</v>
      </c>
      <c r="B134" s="8">
        <v>391.0</v>
      </c>
      <c r="C134" s="8">
        <v>1.0</v>
      </c>
      <c r="G134" s="8">
        <v>1.0</v>
      </c>
      <c r="O134" s="8">
        <v>1.0</v>
      </c>
      <c r="AI134" s="8">
        <v>1.0</v>
      </c>
      <c r="AQ134" s="8">
        <v>1.0</v>
      </c>
    </row>
    <row r="135" ht="15.0" customHeight="1">
      <c r="A135" s="8" t="s">
        <v>131</v>
      </c>
      <c r="B135" s="8">
        <v>392.0</v>
      </c>
      <c r="C135" s="8">
        <v>1.0</v>
      </c>
      <c r="AB135" s="8">
        <v>1.0</v>
      </c>
      <c r="AI135" s="8">
        <v>1.0</v>
      </c>
    </row>
    <row r="136" ht="15.0" customHeight="1">
      <c r="A136" s="8" t="s">
        <v>131</v>
      </c>
      <c r="B136" s="8">
        <v>393.0</v>
      </c>
      <c r="C136" s="8">
        <v>1.0</v>
      </c>
      <c r="W136" s="8">
        <v>1.0</v>
      </c>
      <c r="AB136" s="8">
        <v>1.0</v>
      </c>
      <c r="AI136" s="8">
        <v>1.0</v>
      </c>
      <c r="AQ136" s="8">
        <v>1.0</v>
      </c>
    </row>
    <row r="137" ht="15.0" customHeight="1">
      <c r="A137" s="8" t="s">
        <v>132</v>
      </c>
      <c r="B137" s="8">
        <v>396.0</v>
      </c>
      <c r="E137" s="8">
        <v>1.0</v>
      </c>
      <c r="I137" s="8">
        <v>1.0</v>
      </c>
      <c r="S137" s="8">
        <v>1.0</v>
      </c>
      <c r="AO137" s="8">
        <v>1.0</v>
      </c>
      <c r="AS137" s="8">
        <v>1.0</v>
      </c>
      <c r="AV137" s="8">
        <v>1.0</v>
      </c>
      <c r="BF137" s="8">
        <v>1.0</v>
      </c>
      <c r="BG137" s="8">
        <v>1.0</v>
      </c>
      <c r="BH137" s="8">
        <v>1.0</v>
      </c>
    </row>
    <row r="138" ht="15.0" customHeight="1">
      <c r="A138" s="8" t="s">
        <v>194</v>
      </c>
      <c r="B138" s="8">
        <v>397.0</v>
      </c>
      <c r="C138" s="8">
        <v>1.0</v>
      </c>
      <c r="BA138" s="8">
        <v>1.0</v>
      </c>
    </row>
    <row r="139" ht="15.0" customHeight="1">
      <c r="A139" s="8" t="s">
        <v>194</v>
      </c>
      <c r="B139" s="8">
        <v>398.0</v>
      </c>
      <c r="C139" s="8">
        <v>1.0</v>
      </c>
    </row>
    <row r="140" ht="15.0" customHeight="1">
      <c r="A140" s="8" t="s">
        <v>133</v>
      </c>
      <c r="B140" s="8">
        <v>399.0</v>
      </c>
      <c r="C140" s="8">
        <v>1.0</v>
      </c>
      <c r="O140" s="8">
        <v>1.0</v>
      </c>
      <c r="P140" s="8">
        <v>1.0</v>
      </c>
      <c r="R140" s="8">
        <v>1.0</v>
      </c>
      <c r="S140" s="8">
        <v>1.0</v>
      </c>
      <c r="U140" s="8">
        <v>1.0</v>
      </c>
      <c r="AA140" s="8">
        <v>1.0</v>
      </c>
      <c r="AH140" s="8">
        <v>1.0</v>
      </c>
      <c r="BG140" s="8">
        <v>1.0</v>
      </c>
      <c r="BS140" s="8">
        <v>1.0</v>
      </c>
    </row>
    <row r="141" ht="15.0" customHeight="1">
      <c r="A141" s="8" t="s">
        <v>154</v>
      </c>
      <c r="B141" s="8">
        <v>400.0</v>
      </c>
      <c r="C141" s="8">
        <v>1.0</v>
      </c>
      <c r="I141" s="8">
        <v>1.0</v>
      </c>
      <c r="BA141" s="8">
        <v>1.0</v>
      </c>
      <c r="BF141" s="8">
        <v>1.0</v>
      </c>
    </row>
    <row r="142" ht="15.0" customHeight="1">
      <c r="A142" s="8" t="s">
        <v>154</v>
      </c>
      <c r="B142" s="8">
        <v>401.0</v>
      </c>
      <c r="C142" s="8">
        <v>1.0</v>
      </c>
      <c r="T142" s="8">
        <v>1.0</v>
      </c>
      <c r="AB142" s="8">
        <v>1.0</v>
      </c>
      <c r="AS142" s="8">
        <v>1.0</v>
      </c>
      <c r="BA142" s="8">
        <v>1.0</v>
      </c>
      <c r="BF142" s="8">
        <v>1.0</v>
      </c>
    </row>
    <row r="143" ht="15.0" customHeight="1">
      <c r="A143" s="8" t="s">
        <v>205</v>
      </c>
      <c r="B143" s="8">
        <v>402.0</v>
      </c>
      <c r="C143" s="8">
        <v>1.0</v>
      </c>
      <c r="I143" s="8">
        <v>1.0</v>
      </c>
      <c r="P143" s="8">
        <v>1.0</v>
      </c>
      <c r="S143" s="8">
        <v>1.0</v>
      </c>
      <c r="Y143" s="8">
        <v>1.0</v>
      </c>
      <c r="AA143" s="8">
        <v>1.0</v>
      </c>
      <c r="AB143" s="8">
        <v>1.0</v>
      </c>
      <c r="AI143" s="8">
        <v>1.0</v>
      </c>
      <c r="AN143" s="8">
        <v>1.0</v>
      </c>
      <c r="AP143" s="8">
        <v>1.0</v>
      </c>
      <c r="AS143" s="8">
        <v>1.0</v>
      </c>
      <c r="BG143" s="8">
        <v>1.0</v>
      </c>
      <c r="BK143" s="8">
        <v>1.0</v>
      </c>
    </row>
    <row r="144" ht="15.0" customHeight="1">
      <c r="A144" s="8" t="s">
        <v>134</v>
      </c>
      <c r="B144" s="8">
        <v>404.0</v>
      </c>
      <c r="C144" s="8">
        <v>1.0</v>
      </c>
      <c r="G144" s="8">
        <v>1.0</v>
      </c>
      <c r="S144" s="8">
        <v>1.0</v>
      </c>
      <c r="W144" s="8">
        <v>1.0</v>
      </c>
      <c r="Y144" s="8">
        <v>1.0</v>
      </c>
      <c r="AF144" s="8">
        <v>1.0</v>
      </c>
      <c r="AI144" s="8">
        <v>1.0</v>
      </c>
      <c r="AM144" s="8">
        <v>1.0</v>
      </c>
      <c r="BJ144" s="8">
        <v>1.0</v>
      </c>
    </row>
    <row r="145" ht="15.0" customHeight="1">
      <c r="A145" s="8" t="s">
        <v>135</v>
      </c>
      <c r="B145" s="8">
        <v>405.0</v>
      </c>
      <c r="O145" s="8">
        <v>1.0</v>
      </c>
      <c r="BA145" s="8">
        <v>1.0</v>
      </c>
    </row>
    <row r="146" ht="15.0" customHeight="1">
      <c r="A146" s="8" t="s">
        <v>237</v>
      </c>
      <c r="B146" s="8">
        <v>406.0</v>
      </c>
      <c r="C146" s="8">
        <v>1.0</v>
      </c>
      <c r="AG146" s="8">
        <v>1.0</v>
      </c>
      <c r="AI146" s="8">
        <v>1.0</v>
      </c>
      <c r="BJ146" s="8">
        <v>1.0</v>
      </c>
    </row>
    <row r="147" ht="15.0" customHeight="1">
      <c r="A147" s="8" t="s">
        <v>237</v>
      </c>
      <c r="B147" s="8">
        <v>407.0</v>
      </c>
      <c r="C147" s="8">
        <v>1.0</v>
      </c>
      <c r="AI147" s="8">
        <v>1.0</v>
      </c>
    </row>
    <row r="148" ht="15.0" customHeight="1">
      <c r="A148" s="8" t="s">
        <v>152</v>
      </c>
      <c r="B148" s="8">
        <v>408.0</v>
      </c>
      <c r="C148" s="8">
        <v>1.0</v>
      </c>
      <c r="H148" s="8">
        <v>1.0</v>
      </c>
      <c r="P148" s="8">
        <v>1.0</v>
      </c>
      <c r="AC148" s="8">
        <v>1.0</v>
      </c>
      <c r="AJ148" s="8">
        <v>1.0</v>
      </c>
      <c r="AO148" s="8">
        <v>1.0</v>
      </c>
      <c r="AQ148" s="8">
        <v>1.0</v>
      </c>
      <c r="AV148" s="8">
        <v>1.0</v>
      </c>
      <c r="BG148" s="8">
        <v>1.0</v>
      </c>
      <c r="BH148" s="8">
        <v>1.0</v>
      </c>
    </row>
    <row r="149" ht="15.0" customHeight="1">
      <c r="A149" s="8" t="s">
        <v>218</v>
      </c>
      <c r="B149" s="8">
        <v>409.0</v>
      </c>
      <c r="C149" s="8">
        <v>1.0</v>
      </c>
      <c r="S149" s="8">
        <v>1.0</v>
      </c>
      <c r="Z149" s="8">
        <v>1.0</v>
      </c>
      <c r="BA149" s="8">
        <v>1.0</v>
      </c>
    </row>
    <row r="150" ht="15.0" customHeight="1">
      <c r="A150" s="8" t="s">
        <v>218</v>
      </c>
      <c r="B150" s="8">
        <v>411.0</v>
      </c>
      <c r="C150" s="8">
        <v>1.0</v>
      </c>
    </row>
    <row r="151" ht="15.0" customHeight="1">
      <c r="A151" s="8" t="s">
        <v>219</v>
      </c>
      <c r="B151" s="8">
        <v>412.0</v>
      </c>
      <c r="C151" s="8">
        <v>1.0</v>
      </c>
      <c r="S151" s="8">
        <v>1.0</v>
      </c>
      <c r="AI151" s="8">
        <v>1.0</v>
      </c>
    </row>
    <row r="152" ht="15.0" customHeight="1">
      <c r="A152" s="8" t="s">
        <v>220</v>
      </c>
      <c r="B152" s="8">
        <v>413.0</v>
      </c>
      <c r="C152" s="8">
        <v>1.0</v>
      </c>
      <c r="I152" s="8">
        <v>1.0</v>
      </c>
      <c r="AI152" s="8">
        <v>1.0</v>
      </c>
      <c r="BF152" s="8">
        <v>1.0</v>
      </c>
    </row>
    <row r="153" ht="15.0" customHeight="1">
      <c r="A153" s="8" t="s">
        <v>136</v>
      </c>
      <c r="B153" s="8">
        <v>414.0</v>
      </c>
      <c r="C153" s="8">
        <v>1.0</v>
      </c>
      <c r="AI153" s="8">
        <v>1.0</v>
      </c>
      <c r="BA153" s="8">
        <v>1.0</v>
      </c>
    </row>
    <row r="154" ht="15.0" customHeight="1">
      <c r="A154" s="8" t="s">
        <v>136</v>
      </c>
      <c r="B154" s="8">
        <v>415.0</v>
      </c>
      <c r="C154" s="8">
        <v>1.0</v>
      </c>
      <c r="J154" s="8">
        <v>1.0</v>
      </c>
      <c r="U154" s="8">
        <v>1.0</v>
      </c>
      <c r="AH154" s="8">
        <v>1.0</v>
      </c>
      <c r="AQ154" s="8">
        <v>1.0</v>
      </c>
      <c r="AX154" s="8">
        <v>1.0</v>
      </c>
      <c r="BA154" s="8">
        <v>1.0</v>
      </c>
    </row>
    <row r="155" ht="15.0" customHeight="1">
      <c r="A155" s="8" t="s">
        <v>193</v>
      </c>
      <c r="B155" s="8">
        <v>416.0</v>
      </c>
      <c r="BA155" s="8">
        <v>1.0</v>
      </c>
      <c r="BK155" s="8">
        <v>1.0</v>
      </c>
    </row>
    <row r="156" ht="15.0" customHeight="1">
      <c r="A156" s="8" t="s">
        <v>260</v>
      </c>
      <c r="B156" s="8">
        <v>419.0</v>
      </c>
      <c r="C156" s="8">
        <v>1.0</v>
      </c>
      <c r="X156" s="8">
        <v>1.0</v>
      </c>
      <c r="AQ156" s="8">
        <v>1.0</v>
      </c>
      <c r="BQ156" s="8">
        <v>1.0</v>
      </c>
    </row>
    <row r="157" ht="15.0" customHeight="1">
      <c r="A157" s="8" t="s">
        <v>261</v>
      </c>
      <c r="B157" s="8">
        <v>420.0</v>
      </c>
      <c r="C157" s="8">
        <v>1.0</v>
      </c>
      <c r="L157" s="8">
        <v>1.0</v>
      </c>
      <c r="AC157" s="8">
        <v>1.0</v>
      </c>
      <c r="AT157" s="8">
        <v>1.0</v>
      </c>
      <c r="AZ157" s="8">
        <v>1.0</v>
      </c>
      <c r="BA157" s="8">
        <v>1.0</v>
      </c>
      <c r="BF157" s="8">
        <v>1.0</v>
      </c>
      <c r="BG157" s="8">
        <v>1.0</v>
      </c>
      <c r="BK157" s="8">
        <v>1.0</v>
      </c>
      <c r="BL157" s="8">
        <v>1.0</v>
      </c>
      <c r="BN157" s="8">
        <v>1.0</v>
      </c>
    </row>
    <row r="158" ht="15.0" customHeight="1">
      <c r="A158" s="8" t="s">
        <v>323</v>
      </c>
      <c r="B158" s="8">
        <v>422.0</v>
      </c>
      <c r="C158" s="8">
        <v>1.0</v>
      </c>
      <c r="BA158" s="8">
        <v>1.0</v>
      </c>
    </row>
    <row r="159" ht="15.0" customHeight="1">
      <c r="A159" s="8" t="s">
        <v>323</v>
      </c>
      <c r="B159" s="8">
        <v>423.0</v>
      </c>
      <c r="C159" s="8">
        <v>1.0</v>
      </c>
      <c r="BA159" s="8">
        <v>1.0</v>
      </c>
    </row>
    <row r="160" ht="15.0" customHeight="1">
      <c r="A160" s="8" t="s">
        <v>323</v>
      </c>
      <c r="B160" s="8">
        <v>424.0</v>
      </c>
      <c r="C160" s="8">
        <v>1.0</v>
      </c>
      <c r="BA160" s="8">
        <v>1.0</v>
      </c>
    </row>
    <row r="161" ht="15.0" customHeight="1">
      <c r="A161" s="8" t="s">
        <v>138</v>
      </c>
      <c r="B161" s="8">
        <v>428.0</v>
      </c>
      <c r="C161" s="8">
        <v>1.0</v>
      </c>
      <c r="H161" s="8">
        <v>1.0</v>
      </c>
      <c r="W161" s="8">
        <v>1.0</v>
      </c>
      <c r="AP161" s="8">
        <v>1.0</v>
      </c>
      <c r="BA161" s="8">
        <v>1.0</v>
      </c>
      <c r="BC161" s="8">
        <v>1.0</v>
      </c>
      <c r="BF161" s="8">
        <v>1.0</v>
      </c>
      <c r="BO161" s="8">
        <v>1.0</v>
      </c>
    </row>
    <row r="162" ht="15.0" customHeight="1">
      <c r="A162" s="8" t="s">
        <v>138</v>
      </c>
      <c r="B162" s="8">
        <v>430.0</v>
      </c>
      <c r="C162" s="8">
        <v>1.0</v>
      </c>
      <c r="AB162" s="8">
        <v>1.0</v>
      </c>
      <c r="AI162" s="8">
        <v>1.0</v>
      </c>
      <c r="AT162" s="8">
        <v>1.0</v>
      </c>
      <c r="AZ162" s="8">
        <v>1.0</v>
      </c>
      <c r="BA162" s="8">
        <v>1.0</v>
      </c>
      <c r="BF162" s="8">
        <v>1.0</v>
      </c>
      <c r="BN162" s="8">
        <v>1.0</v>
      </c>
    </row>
    <row r="163" ht="15.0" customHeight="1">
      <c r="A163" s="8" t="s">
        <v>262</v>
      </c>
      <c r="B163" s="8">
        <v>431.0</v>
      </c>
      <c r="C163" s="8">
        <v>1.0</v>
      </c>
      <c r="S163" s="8">
        <v>1.0</v>
      </c>
    </row>
    <row r="164" ht="15.0" customHeight="1">
      <c r="A164" s="8" t="s">
        <v>262</v>
      </c>
      <c r="B164" s="8">
        <v>432.0</v>
      </c>
      <c r="C164" s="8">
        <v>1.0</v>
      </c>
      <c r="S164" s="8">
        <v>1.0</v>
      </c>
    </row>
    <row r="165" ht="15.0" customHeight="1">
      <c r="A165" s="8" t="s">
        <v>262</v>
      </c>
      <c r="B165" s="8">
        <v>433.0</v>
      </c>
      <c r="C165" s="8">
        <v>1.0</v>
      </c>
      <c r="S165" s="8">
        <v>1.0</v>
      </c>
    </row>
    <row r="166" ht="15.0" customHeight="1">
      <c r="A166" s="8" t="s">
        <v>324</v>
      </c>
      <c r="B166" s="3" t="s">
        <v>325</v>
      </c>
      <c r="P166" s="8">
        <v>1.0</v>
      </c>
      <c r="AX166" s="8">
        <v>1.0</v>
      </c>
      <c r="BO166" s="8">
        <v>1.0</v>
      </c>
    </row>
    <row r="167" ht="15.0" customHeight="1">
      <c r="A167" s="8" t="s">
        <v>76</v>
      </c>
      <c r="B167" s="3" t="s">
        <v>326</v>
      </c>
      <c r="L167" s="8">
        <v>1.0</v>
      </c>
    </row>
    <row r="168" ht="15.0" customHeight="1">
      <c r="A168" s="8" t="s">
        <v>113</v>
      </c>
      <c r="B168" s="3" t="s">
        <v>327</v>
      </c>
      <c r="L168" s="8">
        <v>1.0</v>
      </c>
      <c r="AI168" s="8">
        <v>1.0</v>
      </c>
      <c r="AX168" s="8">
        <v>1.0</v>
      </c>
      <c r="BA168" s="8">
        <v>1.0</v>
      </c>
      <c r="BN168" s="8">
        <v>1.0</v>
      </c>
    </row>
    <row r="169" ht="15.0" customHeight="1">
      <c r="A169" s="8" t="s">
        <v>122</v>
      </c>
      <c r="B169" s="3" t="s">
        <v>328</v>
      </c>
      <c r="AI169" s="8">
        <v>1.0</v>
      </c>
      <c r="BA169" s="8">
        <v>1.0</v>
      </c>
    </row>
    <row r="170" ht="15.0" customHeight="1">
      <c r="A170" s="8" t="s">
        <v>216</v>
      </c>
      <c r="B170" s="3" t="s">
        <v>329</v>
      </c>
      <c r="W170" s="8">
        <v>1.0</v>
      </c>
      <c r="AI170" s="8">
        <v>1.0</v>
      </c>
    </row>
    <row r="171" ht="15.0" customHeight="1">
      <c r="A171" s="8" t="s">
        <v>194</v>
      </c>
      <c r="B171" s="3" t="s">
        <v>330</v>
      </c>
      <c r="AI171" s="8">
        <v>1.0</v>
      </c>
    </row>
    <row r="172" ht="15.0" customHeight="1">
      <c r="A172" s="8" t="s">
        <v>135</v>
      </c>
      <c r="B172" s="3" t="s">
        <v>331</v>
      </c>
      <c r="H172" s="8">
        <v>1.0</v>
      </c>
      <c r="I172" s="8">
        <v>1.0</v>
      </c>
      <c r="S172" s="8">
        <v>1.0</v>
      </c>
      <c r="AI172" s="8">
        <v>1.0</v>
      </c>
      <c r="AN172" s="8">
        <v>1.0</v>
      </c>
    </row>
    <row r="173" ht="15.0" customHeight="1">
      <c r="A173" s="8" t="s">
        <v>135</v>
      </c>
      <c r="B173" s="3" t="s">
        <v>332</v>
      </c>
      <c r="H173" s="8">
        <v>1.0</v>
      </c>
      <c r="I173" s="8">
        <v>1.0</v>
      </c>
      <c r="Z173" s="8">
        <v>1.0</v>
      </c>
      <c r="AA173" s="8">
        <v>1.0</v>
      </c>
      <c r="AI173" s="8">
        <v>1.0</v>
      </c>
      <c r="BA173" s="8">
        <v>1.0</v>
      </c>
    </row>
    <row r="174" ht="15.0" customHeight="1">
      <c r="A174" s="8" t="s">
        <v>218</v>
      </c>
      <c r="B174" s="3" t="s">
        <v>333</v>
      </c>
      <c r="C174" s="8">
        <v>1.0</v>
      </c>
      <c r="AI174" s="8">
        <v>1.0</v>
      </c>
      <c r="BA174" s="8">
        <v>1.0</v>
      </c>
    </row>
    <row r="175" ht="15.0" customHeight="1">
      <c r="A175" s="8" t="s">
        <v>190</v>
      </c>
      <c r="B175" s="3" t="s">
        <v>334</v>
      </c>
      <c r="F175" s="8">
        <v>1.0</v>
      </c>
      <c r="AB175" s="8">
        <v>1.0</v>
      </c>
      <c r="AI175" s="8">
        <v>1.0</v>
      </c>
      <c r="AV175" s="8">
        <v>1.0</v>
      </c>
      <c r="BA175" s="8">
        <v>1.0</v>
      </c>
    </row>
    <row r="176" ht="15.0" customHeight="1">
      <c r="A176" s="8" t="s">
        <v>190</v>
      </c>
      <c r="B176" s="3" t="s">
        <v>335</v>
      </c>
      <c r="F176" s="8">
        <v>1.0</v>
      </c>
      <c r="H176" s="8">
        <v>1.0</v>
      </c>
      <c r="W176" s="8">
        <v>1.0</v>
      </c>
      <c r="AA176" s="8">
        <v>1.0</v>
      </c>
      <c r="AI176" s="8">
        <v>1.0</v>
      </c>
      <c r="AV176" s="8">
        <v>1.0</v>
      </c>
      <c r="BT176" s="8">
        <v>1.0</v>
      </c>
    </row>
    <row r="177" ht="15.0" customHeight="1">
      <c r="A177" s="8" t="s">
        <v>190</v>
      </c>
      <c r="B177" s="3" t="s">
        <v>336</v>
      </c>
      <c r="H177" s="8">
        <v>1.0</v>
      </c>
      <c r="AI177" s="8">
        <v>1.0</v>
      </c>
    </row>
    <row r="178" ht="15.0" customHeight="1">
      <c r="A178" s="8" t="s">
        <v>305</v>
      </c>
      <c r="B178" s="3" t="s">
        <v>337</v>
      </c>
      <c r="H178" s="8">
        <v>1.0</v>
      </c>
      <c r="AI178" s="8">
        <v>1.0</v>
      </c>
    </row>
    <row r="179" ht="15.0" customHeight="1">
      <c r="A179" s="8" t="s">
        <v>211</v>
      </c>
      <c r="B179" s="3" t="s">
        <v>338</v>
      </c>
      <c r="I179" s="8">
        <v>1.0</v>
      </c>
      <c r="O179" s="8">
        <v>1.0</v>
      </c>
      <c r="AB179" s="8">
        <v>1.0</v>
      </c>
      <c r="AI179" s="8">
        <v>1.0</v>
      </c>
    </row>
    <row r="180" ht="15.0" customHeight="1">
      <c r="A180" s="8" t="s">
        <v>76</v>
      </c>
      <c r="B180" s="3" t="s">
        <v>339</v>
      </c>
      <c r="AI180" s="8">
        <v>1.0</v>
      </c>
    </row>
    <row r="181" ht="15.0" customHeight="1">
      <c r="A181" s="8" t="s">
        <v>82</v>
      </c>
      <c r="B181" s="3" t="s">
        <v>340</v>
      </c>
      <c r="H181" s="8">
        <v>1.0</v>
      </c>
      <c r="AI181" s="8">
        <v>1.0</v>
      </c>
      <c r="BG181" s="8">
        <v>1.0</v>
      </c>
    </row>
    <row r="182" ht="15.0" customHeight="1">
      <c r="A182" s="8" t="s">
        <v>84</v>
      </c>
      <c r="B182" s="3" t="s">
        <v>341</v>
      </c>
      <c r="AI182" s="8">
        <v>1.0</v>
      </c>
    </row>
    <row r="183" ht="15.0" customHeight="1">
      <c r="A183" s="8" t="s">
        <v>88</v>
      </c>
      <c r="B183" s="3" t="s">
        <v>342</v>
      </c>
      <c r="AI183" s="8">
        <v>1.0</v>
      </c>
    </row>
    <row r="184" ht="15.0" customHeight="1">
      <c r="A184" s="8" t="s">
        <v>212</v>
      </c>
      <c r="B184" s="3" t="s">
        <v>343</v>
      </c>
      <c r="G184" s="8">
        <v>1.0</v>
      </c>
      <c r="H184" s="8">
        <v>1.0</v>
      </c>
      <c r="AI184" s="8">
        <v>1.0</v>
      </c>
      <c r="AW184" s="8">
        <v>1.0</v>
      </c>
    </row>
    <row r="185" ht="15.0" customHeight="1">
      <c r="A185" s="8" t="s">
        <v>93</v>
      </c>
      <c r="B185" s="3" t="s">
        <v>344</v>
      </c>
      <c r="AI185" s="8">
        <v>1.0</v>
      </c>
    </row>
    <row r="186" ht="15.0" customHeight="1">
      <c r="A186" s="8" t="s">
        <v>93</v>
      </c>
      <c r="B186" s="3" t="s">
        <v>345</v>
      </c>
      <c r="AI186" s="8">
        <v>1.0</v>
      </c>
      <c r="BG186" s="8">
        <v>1.0</v>
      </c>
    </row>
    <row r="187" ht="15.0" customHeight="1">
      <c r="A187" s="8" t="s">
        <v>222</v>
      </c>
      <c r="B187" s="3" t="s">
        <v>346</v>
      </c>
      <c r="H187" s="8">
        <v>1.0</v>
      </c>
      <c r="AI187" s="8">
        <v>1.0</v>
      </c>
      <c r="AP187" s="8">
        <v>1.0</v>
      </c>
    </row>
    <row r="188" ht="15.0" customHeight="1">
      <c r="A188" s="8" t="s">
        <v>94</v>
      </c>
      <c r="B188" s="3" t="s">
        <v>347</v>
      </c>
      <c r="H188" s="8">
        <v>1.0</v>
      </c>
      <c r="AI188" s="8">
        <v>1.0</v>
      </c>
      <c r="AP188" s="8">
        <v>1.0</v>
      </c>
    </row>
    <row r="189" ht="15.0" customHeight="1">
      <c r="A189" s="8" t="s">
        <v>96</v>
      </c>
      <c r="B189" s="3" t="s">
        <v>348</v>
      </c>
      <c r="H189" s="8">
        <v>1.0</v>
      </c>
      <c r="AI189" s="8">
        <v>1.0</v>
      </c>
    </row>
    <row r="190" ht="15.0" customHeight="1">
      <c r="A190" s="8" t="s">
        <v>98</v>
      </c>
      <c r="B190" s="3" t="s">
        <v>349</v>
      </c>
      <c r="H190" s="8">
        <v>1.0</v>
      </c>
      <c r="S190" s="8">
        <v>1.0</v>
      </c>
      <c r="AB190" s="8">
        <v>1.0</v>
      </c>
      <c r="AI190" s="8">
        <v>1.0</v>
      </c>
    </row>
    <row r="191" ht="15.0" customHeight="1">
      <c r="A191" s="8" t="s">
        <v>100</v>
      </c>
      <c r="B191" s="3" t="s">
        <v>350</v>
      </c>
      <c r="AB191" s="8">
        <v>1.0</v>
      </c>
      <c r="AI191" s="8">
        <v>1.0</v>
      </c>
      <c r="BK191" s="8">
        <v>1.0</v>
      </c>
    </row>
    <row r="192" ht="15.0" customHeight="1">
      <c r="A192" s="8" t="s">
        <v>180</v>
      </c>
      <c r="B192" s="3" t="s">
        <v>351</v>
      </c>
      <c r="H192" s="8">
        <v>1.0</v>
      </c>
      <c r="AI192" s="8">
        <v>1.0</v>
      </c>
    </row>
    <row r="193" ht="15.0" customHeight="1">
      <c r="A193" s="8" t="s">
        <v>103</v>
      </c>
      <c r="B193" s="3" t="s">
        <v>352</v>
      </c>
      <c r="AI193" s="8">
        <v>1.0</v>
      </c>
    </row>
    <row r="194" ht="15.0" customHeight="1">
      <c r="A194" s="8" t="s">
        <v>181</v>
      </c>
      <c r="B194" s="3" t="s">
        <v>353</v>
      </c>
      <c r="H194" s="8">
        <v>1.0</v>
      </c>
      <c r="AI194" s="8">
        <v>1.0</v>
      </c>
    </row>
    <row r="195" ht="15.0" customHeight="1">
      <c r="A195" s="8" t="s">
        <v>217</v>
      </c>
      <c r="B195" s="3" t="s">
        <v>354</v>
      </c>
      <c r="AI195" s="8">
        <v>1.0</v>
      </c>
    </row>
    <row r="196" ht="15.0" customHeight="1">
      <c r="A196" s="8" t="s">
        <v>221</v>
      </c>
      <c r="B196" s="3" t="s">
        <v>355</v>
      </c>
      <c r="H196" s="8">
        <v>1.0</v>
      </c>
      <c r="S196" s="8">
        <v>1.0</v>
      </c>
      <c r="AI196" s="8">
        <v>1.0</v>
      </c>
      <c r="BB196" s="8">
        <v>1.0</v>
      </c>
      <c r="BF196" s="8">
        <v>1.0</v>
      </c>
    </row>
    <row r="197" ht="15.0" customHeight="1">
      <c r="A197" s="8" t="s">
        <v>221</v>
      </c>
      <c r="B197" s="3" t="s">
        <v>356</v>
      </c>
      <c r="G197" s="8">
        <v>1.0</v>
      </c>
      <c r="H197" s="8">
        <v>1.0</v>
      </c>
      <c r="AI197" s="8">
        <v>1.0</v>
      </c>
      <c r="BQ197" s="8">
        <v>1.0</v>
      </c>
    </row>
    <row r="198" ht="15.0" customHeight="1">
      <c r="A198" s="8" t="s">
        <v>110</v>
      </c>
      <c r="B198" s="3" t="s">
        <v>357</v>
      </c>
      <c r="AI198" s="8">
        <v>1.0</v>
      </c>
    </row>
    <row r="199" ht="15.0" customHeight="1">
      <c r="A199" s="8" t="s">
        <v>112</v>
      </c>
      <c r="B199" s="3" t="s">
        <v>358</v>
      </c>
      <c r="AI199" s="8">
        <v>1.0</v>
      </c>
      <c r="AZ199" s="8">
        <v>1.0</v>
      </c>
    </row>
    <row r="200" ht="15.0" customHeight="1">
      <c r="A200" s="8" t="s">
        <v>116</v>
      </c>
      <c r="B200" s="3" t="s">
        <v>359</v>
      </c>
      <c r="G200" s="8">
        <v>1.0</v>
      </c>
      <c r="O200" s="8">
        <v>1.0</v>
      </c>
      <c r="Y200" s="8">
        <v>1.0</v>
      </c>
      <c r="AG200" s="8">
        <v>1.0</v>
      </c>
      <c r="AI200" s="8">
        <v>1.0</v>
      </c>
    </row>
    <row r="201" ht="15.0" customHeight="1">
      <c r="A201" s="8" t="s">
        <v>117</v>
      </c>
      <c r="B201" s="3" t="s">
        <v>360</v>
      </c>
      <c r="AI201" s="8">
        <v>1.0</v>
      </c>
    </row>
    <row r="202" ht="15.0" customHeight="1">
      <c r="A202" s="8" t="s">
        <v>127</v>
      </c>
      <c r="B202" s="3" t="s">
        <v>361</v>
      </c>
      <c r="H202" s="8">
        <v>1.0</v>
      </c>
      <c r="AB202" s="8">
        <v>1.0</v>
      </c>
      <c r="AI202" s="8">
        <v>1.0</v>
      </c>
      <c r="BA202" s="8">
        <v>1.0</v>
      </c>
    </row>
    <row r="203" ht="15.0" customHeight="1">
      <c r="A203" s="8" t="s">
        <v>206</v>
      </c>
      <c r="B203" s="3" t="s">
        <v>362</v>
      </c>
      <c r="H203" s="8">
        <v>1.0</v>
      </c>
      <c r="AB203" s="8">
        <v>1.0</v>
      </c>
      <c r="AI203" s="8">
        <v>1.0</v>
      </c>
      <c r="BA203" s="8">
        <v>1.0</v>
      </c>
    </row>
    <row r="204" ht="15.0" customHeight="1">
      <c r="A204" s="8" t="s">
        <v>84</v>
      </c>
      <c r="B204" s="3" t="s">
        <v>363</v>
      </c>
      <c r="AI204" s="8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63.13"/>
    <col customWidth="1" min="3" max="75" width="10.25"/>
  </cols>
  <sheetData>
    <row r="1" ht="15.0" customHeight="1">
      <c r="A1" s="3" t="s">
        <v>0</v>
      </c>
      <c r="B1" s="3" t="s">
        <v>156</v>
      </c>
      <c r="C1" s="3" t="s">
        <v>62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14</v>
      </c>
      <c r="M1" s="3" t="s">
        <v>13</v>
      </c>
      <c r="N1" s="3" t="s">
        <v>15</v>
      </c>
      <c r="O1" s="3" t="s">
        <v>16</v>
      </c>
      <c r="P1" s="3" t="s">
        <v>17</v>
      </c>
      <c r="Q1" s="3" t="s">
        <v>159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364</v>
      </c>
      <c r="W1" s="3" t="s">
        <v>22</v>
      </c>
      <c r="X1" s="3" t="s">
        <v>23</v>
      </c>
      <c r="Y1" s="3" t="s">
        <v>24</v>
      </c>
      <c r="Z1" s="3" t="s">
        <v>246</v>
      </c>
      <c r="AA1" s="3" t="s">
        <v>25</v>
      </c>
      <c r="AB1" s="3" t="s">
        <v>161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365</v>
      </c>
      <c r="AH1" s="3" t="s">
        <v>31</v>
      </c>
      <c r="AI1" s="3" t="s">
        <v>33</v>
      </c>
      <c r="AJ1" s="3" t="s">
        <v>34</v>
      </c>
      <c r="AK1" s="3" t="s">
        <v>35</v>
      </c>
      <c r="AL1" s="3" t="s">
        <v>162</v>
      </c>
      <c r="AM1" s="3" t="s">
        <v>163</v>
      </c>
      <c r="AN1" s="3" t="s">
        <v>37</v>
      </c>
      <c r="AO1" s="3" t="s">
        <v>38</v>
      </c>
      <c r="AP1" s="3" t="s">
        <v>40</v>
      </c>
      <c r="AQ1" s="3" t="s">
        <v>164</v>
      </c>
      <c r="AR1" s="3" t="s">
        <v>42</v>
      </c>
      <c r="AS1" s="3" t="s">
        <v>165</v>
      </c>
      <c r="AT1" s="3" t="s">
        <v>43</v>
      </c>
      <c r="AU1" s="3" t="s">
        <v>167</v>
      </c>
      <c r="AV1" s="3" t="s">
        <v>45</v>
      </c>
      <c r="AW1" s="3" t="s">
        <v>169</v>
      </c>
      <c r="AX1" s="3" t="s">
        <v>170</v>
      </c>
      <c r="AY1" s="3" t="s">
        <v>2</v>
      </c>
      <c r="AZ1" s="3" t="s">
        <v>317</v>
      </c>
      <c r="BA1" s="3" t="s">
        <v>48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172</v>
      </c>
      <c r="BH1" s="3" t="s">
        <v>318</v>
      </c>
      <c r="BI1" s="3" t="s">
        <v>173</v>
      </c>
      <c r="BJ1" s="3" t="s">
        <v>249</v>
      </c>
      <c r="BK1" s="3" t="s">
        <v>56</v>
      </c>
      <c r="BL1" s="3" t="s">
        <v>57</v>
      </c>
      <c r="BM1" s="3" t="s">
        <v>58</v>
      </c>
      <c r="BN1" s="3" t="s">
        <v>59</v>
      </c>
      <c r="BO1" s="3" t="s">
        <v>319</v>
      </c>
      <c r="BP1" s="3" t="s">
        <v>60</v>
      </c>
      <c r="BQ1" s="3" t="s">
        <v>61</v>
      </c>
      <c r="BR1" s="3" t="s">
        <v>63</v>
      </c>
      <c r="BS1" s="3" t="s">
        <v>64</v>
      </c>
      <c r="BT1" s="3" t="s">
        <v>65</v>
      </c>
      <c r="BU1" s="3" t="s">
        <v>250</v>
      </c>
      <c r="BV1" s="3" t="s">
        <v>67</v>
      </c>
      <c r="BW1" s="3" t="s">
        <v>68</v>
      </c>
    </row>
    <row r="2" ht="15.0" customHeight="1">
      <c r="A2" s="3" t="s">
        <v>174</v>
      </c>
      <c r="B2" s="5">
        <f>COUNTA(B5:B186)</f>
        <v>182</v>
      </c>
    </row>
    <row r="3" ht="15.0" customHeight="1">
      <c r="A3" s="3" t="s">
        <v>72</v>
      </c>
      <c r="C3" s="5">
        <f t="shared" ref="C3:BW3" si="1">SUM(C5:C186)</f>
        <v>168</v>
      </c>
      <c r="D3" s="5">
        <f t="shared" si="1"/>
        <v>3</v>
      </c>
      <c r="E3" s="5">
        <f t="shared" si="1"/>
        <v>0</v>
      </c>
      <c r="F3" s="5">
        <f t="shared" si="1"/>
        <v>2</v>
      </c>
      <c r="G3" s="5">
        <f t="shared" si="1"/>
        <v>0</v>
      </c>
      <c r="H3" s="5">
        <f t="shared" si="1"/>
        <v>22</v>
      </c>
      <c r="I3" s="5">
        <f t="shared" si="1"/>
        <v>5</v>
      </c>
      <c r="J3" s="5">
        <f t="shared" si="1"/>
        <v>10</v>
      </c>
      <c r="K3" s="5">
        <f t="shared" si="1"/>
        <v>1</v>
      </c>
      <c r="L3" s="5">
        <f t="shared" si="1"/>
        <v>3</v>
      </c>
      <c r="M3" s="5">
        <f t="shared" si="1"/>
        <v>1</v>
      </c>
      <c r="N3" s="5">
        <f t="shared" si="1"/>
        <v>2</v>
      </c>
      <c r="O3" s="5">
        <f t="shared" si="1"/>
        <v>18</v>
      </c>
      <c r="P3" s="5">
        <f t="shared" si="1"/>
        <v>5</v>
      </c>
      <c r="Q3" s="5">
        <f t="shared" si="1"/>
        <v>2</v>
      </c>
      <c r="R3" s="5">
        <f t="shared" si="1"/>
        <v>7</v>
      </c>
      <c r="S3" s="5">
        <f t="shared" si="1"/>
        <v>1</v>
      </c>
      <c r="T3" s="5">
        <f t="shared" si="1"/>
        <v>1</v>
      </c>
      <c r="U3" s="5">
        <f t="shared" si="1"/>
        <v>0</v>
      </c>
      <c r="V3" s="5">
        <f t="shared" si="1"/>
        <v>0</v>
      </c>
      <c r="W3" s="5">
        <f t="shared" si="1"/>
        <v>1</v>
      </c>
      <c r="X3" s="5">
        <f t="shared" si="1"/>
        <v>15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2</v>
      </c>
      <c r="AC3" s="5">
        <f t="shared" si="1"/>
        <v>1</v>
      </c>
      <c r="AD3" s="5">
        <f t="shared" si="1"/>
        <v>3</v>
      </c>
      <c r="AE3" s="5">
        <f t="shared" si="1"/>
        <v>3</v>
      </c>
      <c r="AF3" s="5">
        <f t="shared" si="1"/>
        <v>6</v>
      </c>
      <c r="AG3" s="5">
        <f t="shared" si="1"/>
        <v>4</v>
      </c>
      <c r="AH3" s="5">
        <f t="shared" si="1"/>
        <v>0</v>
      </c>
      <c r="AI3" s="5">
        <f t="shared" si="1"/>
        <v>1</v>
      </c>
      <c r="AJ3" s="5">
        <f t="shared" si="1"/>
        <v>4</v>
      </c>
      <c r="AK3" s="5">
        <f t="shared" si="1"/>
        <v>4</v>
      </c>
      <c r="AL3" s="5">
        <f t="shared" si="1"/>
        <v>2</v>
      </c>
      <c r="AM3" s="5">
        <f t="shared" si="1"/>
        <v>3</v>
      </c>
      <c r="AN3" s="5">
        <f t="shared" si="1"/>
        <v>7</v>
      </c>
      <c r="AO3" s="5">
        <f t="shared" si="1"/>
        <v>9</v>
      </c>
      <c r="AP3" s="5">
        <f t="shared" si="1"/>
        <v>0</v>
      </c>
      <c r="AQ3" s="5">
        <f t="shared" si="1"/>
        <v>2</v>
      </c>
      <c r="AR3" s="5">
        <f t="shared" si="1"/>
        <v>3</v>
      </c>
      <c r="AS3" s="5">
        <f t="shared" si="1"/>
        <v>1</v>
      </c>
      <c r="AT3" s="5">
        <f t="shared" si="1"/>
        <v>4</v>
      </c>
      <c r="AU3" s="5">
        <f t="shared" si="1"/>
        <v>14</v>
      </c>
      <c r="AV3" s="5">
        <f t="shared" si="1"/>
        <v>0</v>
      </c>
      <c r="AW3" s="5">
        <f t="shared" si="1"/>
        <v>2</v>
      </c>
      <c r="AX3" s="5">
        <f t="shared" si="1"/>
        <v>3</v>
      </c>
      <c r="AY3" s="5">
        <f t="shared" si="1"/>
        <v>12</v>
      </c>
      <c r="AZ3" s="5">
        <f t="shared" si="1"/>
        <v>1</v>
      </c>
      <c r="BA3" s="5">
        <f t="shared" si="1"/>
        <v>13</v>
      </c>
      <c r="BB3" s="5">
        <f t="shared" si="1"/>
        <v>2</v>
      </c>
      <c r="BC3" s="5">
        <f t="shared" si="1"/>
        <v>56</v>
      </c>
      <c r="BD3" s="5">
        <f t="shared" si="1"/>
        <v>1</v>
      </c>
      <c r="BE3" s="5">
        <f t="shared" si="1"/>
        <v>0</v>
      </c>
      <c r="BF3" s="5">
        <f t="shared" si="1"/>
        <v>55</v>
      </c>
      <c r="BG3" s="5">
        <f t="shared" si="1"/>
        <v>1</v>
      </c>
      <c r="BH3" s="5">
        <f t="shared" si="1"/>
        <v>13</v>
      </c>
      <c r="BI3" s="5">
        <f t="shared" si="1"/>
        <v>0</v>
      </c>
      <c r="BJ3" s="5">
        <f t="shared" si="1"/>
        <v>0</v>
      </c>
      <c r="BK3" s="5">
        <f t="shared" si="1"/>
        <v>3</v>
      </c>
      <c r="BL3" s="5">
        <f t="shared" si="1"/>
        <v>4</v>
      </c>
      <c r="BM3" s="5">
        <f t="shared" si="1"/>
        <v>8</v>
      </c>
      <c r="BN3" s="5">
        <f t="shared" si="1"/>
        <v>0</v>
      </c>
      <c r="BO3" s="5">
        <f t="shared" si="1"/>
        <v>0</v>
      </c>
      <c r="BP3" s="5">
        <f t="shared" si="1"/>
        <v>1</v>
      </c>
      <c r="BQ3" s="5">
        <f t="shared" si="1"/>
        <v>0</v>
      </c>
      <c r="BR3" s="5">
        <f t="shared" si="1"/>
        <v>3</v>
      </c>
      <c r="BS3" s="5">
        <f t="shared" si="1"/>
        <v>0</v>
      </c>
      <c r="BT3" s="5">
        <f t="shared" si="1"/>
        <v>4</v>
      </c>
      <c r="BU3" s="5">
        <f t="shared" si="1"/>
        <v>0</v>
      </c>
      <c r="BV3" s="5">
        <f t="shared" si="1"/>
        <v>0</v>
      </c>
      <c r="BW3" s="5">
        <f t="shared" si="1"/>
        <v>4</v>
      </c>
    </row>
    <row r="4" ht="15.0" customHeight="1">
      <c r="A4" s="3" t="s">
        <v>74</v>
      </c>
      <c r="C4" s="5">
        <f t="shared" ref="C4:BW4" si="2">C3/182</f>
        <v>0.9230769231</v>
      </c>
      <c r="D4" s="5">
        <f t="shared" si="2"/>
        <v>0.01648351648</v>
      </c>
      <c r="E4" s="5">
        <f t="shared" si="2"/>
        <v>0</v>
      </c>
      <c r="F4" s="5">
        <f t="shared" si="2"/>
        <v>0.01098901099</v>
      </c>
      <c r="G4" s="5">
        <f t="shared" si="2"/>
        <v>0</v>
      </c>
      <c r="H4" s="5">
        <f t="shared" si="2"/>
        <v>0.1208791209</v>
      </c>
      <c r="I4" s="5">
        <f t="shared" si="2"/>
        <v>0.02747252747</v>
      </c>
      <c r="J4" s="5">
        <f t="shared" si="2"/>
        <v>0.05494505495</v>
      </c>
      <c r="K4" s="5">
        <f t="shared" si="2"/>
        <v>0.005494505495</v>
      </c>
      <c r="L4" s="5">
        <f t="shared" si="2"/>
        <v>0.01648351648</v>
      </c>
      <c r="M4" s="5">
        <f t="shared" si="2"/>
        <v>0.005494505495</v>
      </c>
      <c r="N4" s="5">
        <f t="shared" si="2"/>
        <v>0.01098901099</v>
      </c>
      <c r="O4" s="5">
        <f t="shared" si="2"/>
        <v>0.0989010989</v>
      </c>
      <c r="P4" s="5">
        <f t="shared" si="2"/>
        <v>0.02747252747</v>
      </c>
      <c r="Q4" s="5">
        <f t="shared" si="2"/>
        <v>0.01098901099</v>
      </c>
      <c r="R4" s="5">
        <f t="shared" si="2"/>
        <v>0.03846153846</v>
      </c>
      <c r="S4" s="5">
        <f t="shared" si="2"/>
        <v>0.005494505495</v>
      </c>
      <c r="T4" s="5">
        <f t="shared" si="2"/>
        <v>0.005494505495</v>
      </c>
      <c r="U4" s="5">
        <f t="shared" si="2"/>
        <v>0</v>
      </c>
      <c r="V4" s="5">
        <f t="shared" si="2"/>
        <v>0</v>
      </c>
      <c r="W4" s="5">
        <f t="shared" si="2"/>
        <v>0.005494505495</v>
      </c>
      <c r="X4" s="5">
        <f t="shared" si="2"/>
        <v>0.08241758242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0.01098901099</v>
      </c>
      <c r="AC4" s="5">
        <f t="shared" si="2"/>
        <v>0.005494505495</v>
      </c>
      <c r="AD4" s="5">
        <f t="shared" si="2"/>
        <v>0.01648351648</v>
      </c>
      <c r="AE4" s="5">
        <f t="shared" si="2"/>
        <v>0.01648351648</v>
      </c>
      <c r="AF4" s="5">
        <f t="shared" si="2"/>
        <v>0.03296703297</v>
      </c>
      <c r="AG4" s="5">
        <f t="shared" si="2"/>
        <v>0.02197802198</v>
      </c>
      <c r="AH4" s="5">
        <f t="shared" si="2"/>
        <v>0</v>
      </c>
      <c r="AI4" s="5">
        <f t="shared" si="2"/>
        <v>0.005494505495</v>
      </c>
      <c r="AJ4" s="5">
        <f t="shared" si="2"/>
        <v>0.02197802198</v>
      </c>
      <c r="AK4" s="5">
        <f t="shared" si="2"/>
        <v>0.02197802198</v>
      </c>
      <c r="AL4" s="5">
        <f t="shared" si="2"/>
        <v>0.01098901099</v>
      </c>
      <c r="AM4" s="5">
        <f t="shared" si="2"/>
        <v>0.01648351648</v>
      </c>
      <c r="AN4" s="5">
        <f t="shared" si="2"/>
        <v>0.03846153846</v>
      </c>
      <c r="AO4" s="5">
        <f t="shared" si="2"/>
        <v>0.04945054945</v>
      </c>
      <c r="AP4" s="5">
        <f t="shared" si="2"/>
        <v>0</v>
      </c>
      <c r="AQ4" s="5">
        <f t="shared" si="2"/>
        <v>0.01098901099</v>
      </c>
      <c r="AR4" s="5">
        <f t="shared" si="2"/>
        <v>0.01648351648</v>
      </c>
      <c r="AS4" s="5">
        <f t="shared" si="2"/>
        <v>0.005494505495</v>
      </c>
      <c r="AT4" s="5">
        <f t="shared" si="2"/>
        <v>0.02197802198</v>
      </c>
      <c r="AU4" s="5">
        <f t="shared" si="2"/>
        <v>0.07692307692</v>
      </c>
      <c r="AV4" s="5">
        <f t="shared" si="2"/>
        <v>0</v>
      </c>
      <c r="AW4" s="5">
        <f t="shared" si="2"/>
        <v>0.01098901099</v>
      </c>
      <c r="AX4" s="5">
        <f t="shared" si="2"/>
        <v>0.01648351648</v>
      </c>
      <c r="AY4" s="5">
        <f t="shared" si="2"/>
        <v>0.06593406593</v>
      </c>
      <c r="AZ4" s="5">
        <f t="shared" si="2"/>
        <v>0.005494505495</v>
      </c>
      <c r="BA4" s="5">
        <f t="shared" si="2"/>
        <v>0.07142857143</v>
      </c>
      <c r="BB4" s="5">
        <f t="shared" si="2"/>
        <v>0.01098901099</v>
      </c>
      <c r="BC4" s="5">
        <f t="shared" si="2"/>
        <v>0.3076923077</v>
      </c>
      <c r="BD4" s="5">
        <f t="shared" si="2"/>
        <v>0.005494505495</v>
      </c>
      <c r="BE4" s="5">
        <f t="shared" si="2"/>
        <v>0</v>
      </c>
      <c r="BF4" s="5">
        <f t="shared" si="2"/>
        <v>0.3021978022</v>
      </c>
      <c r="BG4" s="5">
        <f t="shared" si="2"/>
        <v>0.005494505495</v>
      </c>
      <c r="BH4" s="5">
        <f t="shared" si="2"/>
        <v>0.07142857143</v>
      </c>
      <c r="BI4" s="5">
        <f t="shared" si="2"/>
        <v>0</v>
      </c>
      <c r="BJ4" s="5">
        <f t="shared" si="2"/>
        <v>0</v>
      </c>
      <c r="BK4" s="5">
        <f t="shared" si="2"/>
        <v>0.01648351648</v>
      </c>
      <c r="BL4" s="5">
        <f t="shared" si="2"/>
        <v>0.02197802198</v>
      </c>
      <c r="BM4" s="5">
        <f t="shared" si="2"/>
        <v>0.04395604396</v>
      </c>
      <c r="BN4" s="5">
        <f t="shared" si="2"/>
        <v>0</v>
      </c>
      <c r="BO4" s="5">
        <f t="shared" si="2"/>
        <v>0</v>
      </c>
      <c r="BP4" s="5">
        <f t="shared" si="2"/>
        <v>0.005494505495</v>
      </c>
      <c r="BQ4" s="5">
        <f t="shared" si="2"/>
        <v>0</v>
      </c>
      <c r="BR4" s="5">
        <f t="shared" si="2"/>
        <v>0.01648351648</v>
      </c>
      <c r="BS4" s="5">
        <f t="shared" si="2"/>
        <v>0</v>
      </c>
      <c r="BT4" s="5">
        <f t="shared" si="2"/>
        <v>0.02197802198</v>
      </c>
      <c r="BU4" s="5">
        <f t="shared" si="2"/>
        <v>0</v>
      </c>
      <c r="BV4" s="5">
        <f t="shared" si="2"/>
        <v>0</v>
      </c>
      <c r="BW4" s="5">
        <f t="shared" si="2"/>
        <v>0.02197802198</v>
      </c>
    </row>
    <row r="5" ht="15.0" customHeight="1">
      <c r="A5" s="8" t="s">
        <v>366</v>
      </c>
      <c r="B5" s="8">
        <v>445.0</v>
      </c>
      <c r="C5" s="8">
        <v>1.0</v>
      </c>
      <c r="BF5" s="8">
        <v>1.0</v>
      </c>
    </row>
    <row r="6" ht="15.0" customHeight="1">
      <c r="A6" s="8" t="s">
        <v>367</v>
      </c>
      <c r="B6" s="8">
        <v>443.0</v>
      </c>
      <c r="C6" s="8">
        <v>1.0</v>
      </c>
      <c r="BF6" s="8">
        <v>1.0</v>
      </c>
    </row>
    <row r="7" ht="15.0" customHeight="1">
      <c r="A7" s="8" t="s">
        <v>138</v>
      </c>
      <c r="B7" s="8">
        <v>440.0</v>
      </c>
      <c r="C7" s="8">
        <v>1.0</v>
      </c>
      <c r="H7" s="8">
        <v>1.0</v>
      </c>
      <c r="O7" s="8">
        <v>1.0</v>
      </c>
      <c r="BA7" s="8">
        <v>1.0</v>
      </c>
      <c r="BC7" s="8">
        <v>1.0</v>
      </c>
      <c r="BF7" s="8">
        <v>1.0</v>
      </c>
      <c r="BR7" s="8">
        <v>1.0</v>
      </c>
    </row>
    <row r="8" ht="15.0" customHeight="1">
      <c r="A8" s="8" t="s">
        <v>368</v>
      </c>
      <c r="B8" s="8">
        <v>439.0</v>
      </c>
      <c r="C8" s="8">
        <v>1.0</v>
      </c>
      <c r="BF8" s="8">
        <v>1.0</v>
      </c>
    </row>
    <row r="9" ht="15.0" customHeight="1">
      <c r="A9" s="8" t="s">
        <v>260</v>
      </c>
      <c r="B9" s="8">
        <v>436.0</v>
      </c>
      <c r="C9" s="8">
        <v>1.0</v>
      </c>
      <c r="BC9" s="8">
        <v>1.0</v>
      </c>
      <c r="BF9" s="8">
        <v>1.0</v>
      </c>
    </row>
    <row r="10" ht="15.0" customHeight="1">
      <c r="A10" s="8" t="s">
        <v>369</v>
      </c>
      <c r="B10" s="8">
        <v>434.0</v>
      </c>
      <c r="C10" s="8">
        <v>1.0</v>
      </c>
      <c r="BF10" s="8">
        <v>1.0</v>
      </c>
    </row>
    <row r="11" ht="15.0" customHeight="1">
      <c r="A11" s="8" t="s">
        <v>305</v>
      </c>
      <c r="B11" s="8">
        <v>432.0</v>
      </c>
      <c r="BC11" s="8">
        <v>1.0</v>
      </c>
      <c r="BF11" s="8">
        <v>1.0</v>
      </c>
    </row>
    <row r="12" ht="15.0" customHeight="1">
      <c r="A12" s="8" t="s">
        <v>137</v>
      </c>
      <c r="B12" s="8">
        <v>431.0</v>
      </c>
      <c r="BC12" s="8">
        <v>1.0</v>
      </c>
      <c r="BF12" s="8">
        <v>1.0</v>
      </c>
    </row>
    <row r="13" ht="15.0" customHeight="1">
      <c r="A13" s="8" t="s">
        <v>193</v>
      </c>
      <c r="B13" s="8">
        <v>430.0</v>
      </c>
      <c r="BC13" s="8">
        <v>1.0</v>
      </c>
      <c r="BL13" s="8">
        <v>1.0</v>
      </c>
    </row>
    <row r="14" ht="15.0" customHeight="1">
      <c r="A14" s="8" t="s">
        <v>136</v>
      </c>
      <c r="B14" s="8">
        <v>428.0</v>
      </c>
      <c r="C14" s="8">
        <v>1.0</v>
      </c>
      <c r="BF14" s="8">
        <v>1.0</v>
      </c>
    </row>
    <row r="15" ht="15.0" customHeight="1">
      <c r="A15" s="8" t="s">
        <v>300</v>
      </c>
      <c r="B15" s="8">
        <v>427.0</v>
      </c>
      <c r="C15" s="8">
        <v>1.0</v>
      </c>
      <c r="BF15" s="8">
        <v>1.0</v>
      </c>
    </row>
    <row r="16" ht="15.0" customHeight="1">
      <c r="A16" s="8" t="s">
        <v>220</v>
      </c>
      <c r="B16" s="8">
        <v>426.0</v>
      </c>
      <c r="C16" s="8">
        <v>1.0</v>
      </c>
      <c r="AX16" s="8">
        <v>1.0</v>
      </c>
    </row>
    <row r="17" ht="15.0" customHeight="1">
      <c r="A17" s="8" t="s">
        <v>219</v>
      </c>
      <c r="B17" s="8">
        <v>425.0</v>
      </c>
      <c r="C17" s="8">
        <v>1.0</v>
      </c>
      <c r="J17" s="8">
        <v>1.0</v>
      </c>
      <c r="BW17" s="8">
        <v>1.0</v>
      </c>
    </row>
    <row r="18" ht="15.0" customHeight="1">
      <c r="A18" s="8" t="s">
        <v>219</v>
      </c>
      <c r="B18" s="8">
        <v>424.0</v>
      </c>
      <c r="C18" s="8">
        <v>1.0</v>
      </c>
    </row>
    <row r="19" ht="15.0" customHeight="1">
      <c r="A19" s="8" t="s">
        <v>218</v>
      </c>
      <c r="B19" s="8">
        <v>422.0</v>
      </c>
      <c r="C19" s="8">
        <v>1.0</v>
      </c>
      <c r="R19" s="8">
        <v>1.0</v>
      </c>
      <c r="BF19" s="8">
        <v>1.0</v>
      </c>
    </row>
    <row r="20" ht="15.0" customHeight="1">
      <c r="A20" s="8" t="s">
        <v>152</v>
      </c>
      <c r="B20" s="8">
        <v>420.0</v>
      </c>
      <c r="BC20" s="8">
        <v>1.0</v>
      </c>
    </row>
    <row r="21" ht="15.0" customHeight="1">
      <c r="A21" s="8" t="s">
        <v>237</v>
      </c>
      <c r="B21" s="8">
        <v>419.0</v>
      </c>
      <c r="J21" s="8">
        <v>1.0</v>
      </c>
      <c r="AO21" s="8">
        <v>1.0</v>
      </c>
      <c r="BC21" s="8">
        <v>1.0</v>
      </c>
    </row>
    <row r="22" ht="15.0" customHeight="1">
      <c r="A22" s="8" t="s">
        <v>237</v>
      </c>
      <c r="B22" s="8">
        <v>418.0</v>
      </c>
      <c r="AN22" s="8">
        <v>1.0</v>
      </c>
      <c r="AO22" s="8">
        <v>1.0</v>
      </c>
      <c r="BC22" s="8">
        <v>1.0</v>
      </c>
    </row>
    <row r="23" ht="15.0" customHeight="1">
      <c r="A23" s="8" t="s">
        <v>135</v>
      </c>
      <c r="B23" s="8">
        <v>417.0</v>
      </c>
      <c r="C23" s="8">
        <v>1.0</v>
      </c>
      <c r="H23" s="8">
        <v>1.0</v>
      </c>
      <c r="O23" s="8">
        <v>1.0</v>
      </c>
      <c r="AN23" s="8">
        <v>1.0</v>
      </c>
      <c r="BA23" s="8">
        <v>1.0</v>
      </c>
      <c r="BC23" s="8">
        <v>1.0</v>
      </c>
      <c r="BF23" s="8">
        <v>1.0</v>
      </c>
      <c r="BH23" s="8">
        <v>1.0</v>
      </c>
      <c r="BM23" s="8">
        <v>1.0</v>
      </c>
    </row>
    <row r="24" ht="15.0" customHeight="1">
      <c r="A24" s="8" t="s">
        <v>135</v>
      </c>
      <c r="B24" s="8">
        <v>416.0</v>
      </c>
      <c r="C24" s="8">
        <v>1.0</v>
      </c>
      <c r="H24" s="8">
        <v>1.0</v>
      </c>
      <c r="O24" s="8">
        <v>1.0</v>
      </c>
      <c r="X24" s="8">
        <v>1.0</v>
      </c>
      <c r="AG24" s="8">
        <v>1.0</v>
      </c>
      <c r="AN24" s="8">
        <v>1.0</v>
      </c>
      <c r="BC24" s="8">
        <v>1.0</v>
      </c>
      <c r="BF24" s="8">
        <v>1.0</v>
      </c>
      <c r="BH24" s="8">
        <v>1.0</v>
      </c>
      <c r="BM24" s="8">
        <v>1.0</v>
      </c>
    </row>
    <row r="25" ht="15.0" customHeight="1">
      <c r="A25" s="8" t="s">
        <v>205</v>
      </c>
      <c r="B25" s="8">
        <v>412.0</v>
      </c>
      <c r="C25" s="8">
        <v>1.0</v>
      </c>
    </row>
    <row r="26" ht="15.0" customHeight="1">
      <c r="A26" s="8" t="s">
        <v>205</v>
      </c>
      <c r="B26" s="8">
        <v>411.0</v>
      </c>
      <c r="C26" s="8">
        <v>1.0</v>
      </c>
      <c r="BC26" s="8">
        <v>1.0</v>
      </c>
    </row>
    <row r="27" ht="15.0" customHeight="1">
      <c r="A27" s="8" t="s">
        <v>257</v>
      </c>
      <c r="B27" s="8">
        <v>409.0</v>
      </c>
      <c r="C27" s="8">
        <v>1.0</v>
      </c>
      <c r="J27" s="8">
        <v>1.0</v>
      </c>
    </row>
    <row r="28" ht="15.0" customHeight="1">
      <c r="A28" s="8" t="s">
        <v>194</v>
      </c>
      <c r="B28" s="8">
        <v>407.0</v>
      </c>
      <c r="C28" s="8">
        <v>1.0</v>
      </c>
      <c r="AY28" s="8">
        <v>1.0</v>
      </c>
    </row>
    <row r="29" ht="15.0" customHeight="1">
      <c r="A29" s="8" t="s">
        <v>194</v>
      </c>
      <c r="B29" s="8">
        <v>406.0</v>
      </c>
      <c r="C29" s="8">
        <v>1.0</v>
      </c>
      <c r="AB29" s="8">
        <v>1.0</v>
      </c>
      <c r="BF29" s="8">
        <v>1.0</v>
      </c>
    </row>
    <row r="30" ht="15.0" customHeight="1">
      <c r="A30" s="8" t="s">
        <v>370</v>
      </c>
      <c r="B30" s="8">
        <v>404.0</v>
      </c>
      <c r="C30" s="8">
        <v>1.0</v>
      </c>
      <c r="BF30" s="8">
        <v>1.0</v>
      </c>
    </row>
    <row r="31" ht="15.0" customHeight="1">
      <c r="A31" s="8" t="s">
        <v>131</v>
      </c>
      <c r="B31" s="8">
        <v>403.0</v>
      </c>
      <c r="C31" s="8">
        <v>1.0</v>
      </c>
      <c r="O31" s="8">
        <v>1.0</v>
      </c>
      <c r="X31" s="8">
        <v>1.0</v>
      </c>
    </row>
    <row r="32" ht="15.0" customHeight="1">
      <c r="A32" s="8" t="s">
        <v>131</v>
      </c>
      <c r="B32" s="8">
        <v>402.0</v>
      </c>
      <c r="C32" s="8">
        <v>1.0</v>
      </c>
      <c r="BF32" s="8">
        <v>1.0</v>
      </c>
    </row>
    <row r="33" ht="15.0" customHeight="1">
      <c r="A33" s="8" t="s">
        <v>256</v>
      </c>
      <c r="B33" s="8">
        <v>401.0</v>
      </c>
      <c r="C33" s="8">
        <v>1.0</v>
      </c>
    </row>
    <row r="34" ht="15.0" customHeight="1">
      <c r="A34" s="8" t="s">
        <v>183</v>
      </c>
      <c r="B34" s="8">
        <v>399.0</v>
      </c>
      <c r="C34" s="8">
        <v>1.0</v>
      </c>
      <c r="O34" s="8">
        <v>1.0</v>
      </c>
      <c r="AI34" s="8">
        <v>1.0</v>
      </c>
    </row>
    <row r="35" ht="15.0" customHeight="1">
      <c r="A35" s="8" t="s">
        <v>130</v>
      </c>
      <c r="B35" s="8">
        <v>398.0</v>
      </c>
      <c r="C35" s="8">
        <v>1.0</v>
      </c>
    </row>
    <row r="36" ht="15.0" customHeight="1">
      <c r="A36" s="8" t="s">
        <v>130</v>
      </c>
      <c r="B36" s="8">
        <v>397.0</v>
      </c>
      <c r="C36" s="8">
        <v>1.0</v>
      </c>
      <c r="AB36" s="8">
        <v>1.0</v>
      </c>
      <c r="BF36" s="8">
        <v>1.0</v>
      </c>
    </row>
    <row r="37" ht="15.0" customHeight="1">
      <c r="A37" s="8" t="s">
        <v>255</v>
      </c>
      <c r="B37" s="8">
        <v>395.0</v>
      </c>
      <c r="C37" s="8">
        <v>1.0</v>
      </c>
    </row>
    <row r="38" ht="15.0" customHeight="1">
      <c r="A38" s="8" t="s">
        <v>208</v>
      </c>
      <c r="B38" s="8">
        <v>394.0</v>
      </c>
      <c r="C38" s="8">
        <v>1.0</v>
      </c>
    </row>
    <row r="39" ht="15.0" customHeight="1">
      <c r="A39" s="8" t="s">
        <v>129</v>
      </c>
      <c r="B39" s="8">
        <v>393.0</v>
      </c>
      <c r="C39" s="8">
        <v>1.0</v>
      </c>
      <c r="BF39" s="8">
        <v>1.0</v>
      </c>
    </row>
    <row r="40" ht="15.0" customHeight="1">
      <c r="A40" s="8" t="s">
        <v>206</v>
      </c>
      <c r="B40" s="8">
        <v>391.0</v>
      </c>
      <c r="C40" s="8">
        <v>1.0</v>
      </c>
      <c r="BF40" s="8">
        <v>1.0</v>
      </c>
    </row>
    <row r="41" ht="15.0" customHeight="1">
      <c r="A41" s="8" t="s">
        <v>371</v>
      </c>
      <c r="B41" s="8">
        <v>390.0</v>
      </c>
      <c r="C41" s="8">
        <v>1.0</v>
      </c>
      <c r="AJ41" s="8">
        <v>1.0</v>
      </c>
    </row>
    <row r="42" ht="15.0" customHeight="1">
      <c r="A42" s="8" t="s">
        <v>371</v>
      </c>
      <c r="B42" s="8">
        <v>389.0</v>
      </c>
      <c r="C42" s="8">
        <v>1.0</v>
      </c>
      <c r="AJ42" s="8">
        <v>1.0</v>
      </c>
      <c r="BF42" s="8">
        <v>1.0</v>
      </c>
      <c r="BK42" s="8">
        <v>1.0</v>
      </c>
      <c r="BW42" s="8">
        <v>1.0</v>
      </c>
    </row>
    <row r="43" ht="15.0" customHeight="1">
      <c r="A43" s="8" t="s">
        <v>200</v>
      </c>
      <c r="B43" s="8">
        <v>388.0</v>
      </c>
      <c r="C43" s="8">
        <v>1.0</v>
      </c>
    </row>
    <row r="44" ht="15.0" customHeight="1">
      <c r="A44" s="8" t="s">
        <v>128</v>
      </c>
      <c r="B44" s="8">
        <v>387.0</v>
      </c>
      <c r="C44" s="8">
        <v>1.0</v>
      </c>
      <c r="R44" s="8">
        <v>1.0</v>
      </c>
    </row>
    <row r="45" ht="15.0" customHeight="1">
      <c r="A45" s="8" t="s">
        <v>128</v>
      </c>
      <c r="B45" s="8">
        <v>386.0</v>
      </c>
      <c r="C45" s="8">
        <v>1.0</v>
      </c>
      <c r="X45" s="8">
        <v>1.0</v>
      </c>
      <c r="AE45" s="8">
        <v>1.0</v>
      </c>
      <c r="BH45" s="8">
        <v>1.0</v>
      </c>
    </row>
    <row r="46" ht="15.0" customHeight="1">
      <c r="A46" s="8" t="s">
        <v>127</v>
      </c>
      <c r="B46" s="8">
        <v>384.0</v>
      </c>
      <c r="C46" s="8">
        <v>1.0</v>
      </c>
      <c r="AU46" s="8">
        <v>1.0</v>
      </c>
      <c r="BF46" s="8">
        <v>1.0</v>
      </c>
    </row>
    <row r="47" ht="15.0" customHeight="1">
      <c r="A47" s="8" t="s">
        <v>127</v>
      </c>
      <c r="B47" s="8">
        <v>383.0</v>
      </c>
      <c r="C47" s="8">
        <v>1.0</v>
      </c>
      <c r="X47" s="8">
        <v>1.0</v>
      </c>
      <c r="BC47" s="8">
        <v>1.0</v>
      </c>
      <c r="BF47" s="8">
        <v>1.0</v>
      </c>
    </row>
    <row r="48" ht="15.0" customHeight="1">
      <c r="A48" s="8" t="s">
        <v>322</v>
      </c>
      <c r="B48" s="8">
        <v>382.0</v>
      </c>
      <c r="C48" s="8">
        <v>1.0</v>
      </c>
      <c r="BF48" s="8">
        <v>1.0</v>
      </c>
    </row>
    <row r="49" ht="15.0" customHeight="1">
      <c r="A49" s="8" t="s">
        <v>322</v>
      </c>
      <c r="B49" s="8">
        <v>381.0</v>
      </c>
      <c r="C49" s="8">
        <v>1.0</v>
      </c>
    </row>
    <row r="50" ht="15.0" customHeight="1">
      <c r="A50" s="8" t="s">
        <v>124</v>
      </c>
      <c r="B50" s="8">
        <v>380.0</v>
      </c>
      <c r="BC50" s="8">
        <v>1.0</v>
      </c>
      <c r="BL50" s="8">
        <v>1.0</v>
      </c>
    </row>
    <row r="51" ht="15.0" customHeight="1">
      <c r="A51" s="8" t="s">
        <v>123</v>
      </c>
      <c r="B51" s="8">
        <v>379.0</v>
      </c>
      <c r="C51" s="8">
        <v>1.0</v>
      </c>
      <c r="J51" s="8">
        <v>1.0</v>
      </c>
    </row>
    <row r="52" ht="15.0" customHeight="1">
      <c r="A52" s="8" t="s">
        <v>123</v>
      </c>
      <c r="B52" s="8">
        <v>378.0</v>
      </c>
      <c r="C52" s="8">
        <v>1.0</v>
      </c>
      <c r="AX52" s="8">
        <v>1.0</v>
      </c>
      <c r="BF52" s="8">
        <v>1.0</v>
      </c>
    </row>
    <row r="53" ht="15.0" customHeight="1">
      <c r="A53" s="8" t="s">
        <v>123</v>
      </c>
      <c r="B53" s="8">
        <v>377.0</v>
      </c>
      <c r="C53" s="8">
        <v>1.0</v>
      </c>
      <c r="J53" s="8">
        <v>1.0</v>
      </c>
      <c r="AK53" s="8">
        <v>1.0</v>
      </c>
      <c r="BA53" s="8">
        <v>1.0</v>
      </c>
    </row>
    <row r="54" ht="15.0" customHeight="1">
      <c r="A54" s="8" t="s">
        <v>123</v>
      </c>
      <c r="B54" s="8">
        <v>376.0</v>
      </c>
      <c r="C54" s="8">
        <v>1.0</v>
      </c>
      <c r="R54" s="8">
        <v>1.0</v>
      </c>
      <c r="BF54" s="8">
        <v>1.0</v>
      </c>
    </row>
    <row r="55" ht="15.0" customHeight="1">
      <c r="A55" s="8" t="s">
        <v>122</v>
      </c>
      <c r="B55" s="8">
        <v>375.0</v>
      </c>
      <c r="C55" s="8">
        <v>1.0</v>
      </c>
      <c r="BC55" s="8">
        <v>1.0</v>
      </c>
      <c r="BF55" s="8">
        <v>1.0</v>
      </c>
    </row>
    <row r="56" ht="15.0" customHeight="1">
      <c r="A56" s="8" t="s">
        <v>122</v>
      </c>
      <c r="B56" s="8">
        <v>374.0</v>
      </c>
      <c r="C56" s="8">
        <v>1.0</v>
      </c>
      <c r="BC56" s="8">
        <v>1.0</v>
      </c>
      <c r="BF56" s="8">
        <v>1.0</v>
      </c>
    </row>
    <row r="57" ht="15.0" customHeight="1">
      <c r="A57" s="8" t="s">
        <v>372</v>
      </c>
      <c r="B57" s="8">
        <v>373.0</v>
      </c>
      <c r="C57" s="8">
        <v>1.0</v>
      </c>
      <c r="BF57" s="8">
        <v>1.0</v>
      </c>
    </row>
    <row r="58" ht="15.0" customHeight="1">
      <c r="A58" s="8" t="s">
        <v>373</v>
      </c>
      <c r="B58" s="8">
        <v>372.0</v>
      </c>
      <c r="C58" s="8">
        <v>1.0</v>
      </c>
      <c r="T58" s="8">
        <v>1.0</v>
      </c>
      <c r="AW58" s="8">
        <v>1.0</v>
      </c>
      <c r="BF58" s="8">
        <v>1.0</v>
      </c>
    </row>
    <row r="59" ht="15.0" customHeight="1">
      <c r="A59" s="8" t="s">
        <v>121</v>
      </c>
      <c r="B59" s="8">
        <v>371.0</v>
      </c>
      <c r="C59" s="8">
        <v>1.0</v>
      </c>
      <c r="O59" s="8">
        <v>1.0</v>
      </c>
      <c r="BF59" s="8">
        <v>1.0</v>
      </c>
    </row>
    <row r="60" ht="15.0" customHeight="1">
      <c r="A60" s="8" t="s">
        <v>120</v>
      </c>
      <c r="B60" s="8">
        <v>370.0</v>
      </c>
      <c r="C60" s="8">
        <v>1.0</v>
      </c>
    </row>
    <row r="61" ht="15.0" customHeight="1">
      <c r="A61" s="8" t="s">
        <v>120</v>
      </c>
      <c r="B61" s="8">
        <v>369.0</v>
      </c>
      <c r="C61" s="8">
        <v>1.0</v>
      </c>
      <c r="BF61" s="8">
        <v>1.0</v>
      </c>
    </row>
    <row r="62" ht="15.0" customHeight="1">
      <c r="A62" s="8" t="s">
        <v>321</v>
      </c>
      <c r="B62" s="8">
        <v>368.0</v>
      </c>
      <c r="C62" s="8">
        <v>1.0</v>
      </c>
      <c r="F62" s="8">
        <v>1.0</v>
      </c>
      <c r="AG62" s="8">
        <v>1.0</v>
      </c>
      <c r="AR62" s="8">
        <v>1.0</v>
      </c>
    </row>
    <row r="63" ht="15.0" customHeight="1">
      <c r="A63" s="8" t="s">
        <v>197</v>
      </c>
      <c r="B63" s="8">
        <v>367.0</v>
      </c>
      <c r="C63" s="8">
        <v>1.0</v>
      </c>
      <c r="H63" s="8">
        <v>1.0</v>
      </c>
      <c r="AY63" s="8">
        <v>1.0</v>
      </c>
      <c r="BT63" s="8">
        <v>1.0</v>
      </c>
    </row>
    <row r="64" ht="15.0" customHeight="1">
      <c r="A64" s="8" t="s">
        <v>119</v>
      </c>
      <c r="B64" s="8">
        <v>366.0</v>
      </c>
      <c r="C64" s="8">
        <v>1.0</v>
      </c>
    </row>
    <row r="65" ht="15.0" customHeight="1">
      <c r="A65" s="8" t="s">
        <v>119</v>
      </c>
      <c r="B65" s="8">
        <v>365.0</v>
      </c>
      <c r="C65" s="8">
        <v>1.0</v>
      </c>
      <c r="AC65" s="8">
        <v>1.0</v>
      </c>
      <c r="AU65" s="8">
        <v>1.0</v>
      </c>
      <c r="BF65" s="8">
        <v>1.0</v>
      </c>
    </row>
    <row r="66" ht="15.0" customHeight="1">
      <c r="A66" s="8" t="s">
        <v>119</v>
      </c>
      <c r="B66" s="8">
        <v>364.0</v>
      </c>
      <c r="C66" s="8">
        <v>1.0</v>
      </c>
      <c r="BC66" s="8">
        <v>1.0</v>
      </c>
    </row>
    <row r="67" ht="15.0" customHeight="1">
      <c r="A67" s="8" t="s">
        <v>119</v>
      </c>
      <c r="B67" s="8">
        <v>363.0</v>
      </c>
      <c r="C67" s="8">
        <v>1.0</v>
      </c>
      <c r="W67" s="8">
        <v>1.0</v>
      </c>
      <c r="BB67" s="8">
        <v>1.0</v>
      </c>
      <c r="BF67" s="8">
        <v>1.0</v>
      </c>
      <c r="BK67" s="8">
        <v>1.0</v>
      </c>
    </row>
    <row r="68" ht="15.0" customHeight="1">
      <c r="A68" s="8" t="s">
        <v>118</v>
      </c>
      <c r="B68" s="8">
        <v>362.0</v>
      </c>
      <c r="C68" s="8">
        <v>1.0</v>
      </c>
      <c r="H68" s="8">
        <v>1.0</v>
      </c>
      <c r="O68" s="8">
        <v>1.0</v>
      </c>
      <c r="AG68" s="8">
        <v>1.0</v>
      </c>
      <c r="BC68" s="8">
        <v>1.0</v>
      </c>
      <c r="BF68" s="8">
        <v>1.0</v>
      </c>
      <c r="BH68" s="8">
        <v>1.0</v>
      </c>
    </row>
    <row r="69" ht="15.0" customHeight="1">
      <c r="A69" s="8" t="s">
        <v>192</v>
      </c>
      <c r="B69" s="8">
        <v>361.0</v>
      </c>
      <c r="C69" s="8">
        <v>1.0</v>
      </c>
      <c r="BF69" s="8">
        <v>1.0</v>
      </c>
    </row>
    <row r="70" ht="15.0" customHeight="1">
      <c r="A70" s="8" t="s">
        <v>223</v>
      </c>
      <c r="B70" s="8">
        <v>360.0</v>
      </c>
      <c r="C70" s="8">
        <v>1.0</v>
      </c>
      <c r="BF70" s="8">
        <v>1.0</v>
      </c>
    </row>
    <row r="71" ht="15.0" customHeight="1">
      <c r="A71" s="8" t="s">
        <v>117</v>
      </c>
      <c r="B71" s="8">
        <v>359.0</v>
      </c>
      <c r="C71" s="8">
        <v>1.0</v>
      </c>
      <c r="J71" s="8">
        <v>1.0</v>
      </c>
      <c r="BC71" s="8">
        <v>1.0</v>
      </c>
    </row>
    <row r="72" ht="15.0" customHeight="1">
      <c r="A72" s="8" t="s">
        <v>117</v>
      </c>
      <c r="B72" s="8">
        <v>358.0</v>
      </c>
      <c r="C72" s="8">
        <v>1.0</v>
      </c>
      <c r="BF72" s="8">
        <v>1.0</v>
      </c>
    </row>
    <row r="73" ht="15.0" customHeight="1">
      <c r="A73" s="8" t="s">
        <v>116</v>
      </c>
      <c r="B73" s="8">
        <v>357.0</v>
      </c>
      <c r="C73" s="8">
        <v>1.0</v>
      </c>
      <c r="BF73" s="8">
        <v>1.0</v>
      </c>
    </row>
    <row r="74" ht="15.0" customHeight="1">
      <c r="A74" s="8" t="s">
        <v>232</v>
      </c>
      <c r="B74" s="8">
        <v>356.0</v>
      </c>
      <c r="C74" s="8">
        <v>1.0</v>
      </c>
      <c r="BF74" s="8">
        <v>1.0</v>
      </c>
    </row>
    <row r="75" ht="15.0" customHeight="1">
      <c r="A75" s="8" t="s">
        <v>203</v>
      </c>
      <c r="B75" s="8">
        <v>355.0</v>
      </c>
      <c r="C75" s="8">
        <v>1.0</v>
      </c>
    </row>
    <row r="76" ht="15.0" customHeight="1">
      <c r="A76" s="8" t="s">
        <v>115</v>
      </c>
      <c r="B76" s="8">
        <v>354.0</v>
      </c>
      <c r="C76" s="8">
        <v>1.0</v>
      </c>
      <c r="I76" s="8">
        <v>1.0</v>
      </c>
      <c r="X76" s="8">
        <v>1.0</v>
      </c>
      <c r="AF76" s="8">
        <v>1.0</v>
      </c>
      <c r="BC76" s="8">
        <v>1.0</v>
      </c>
      <c r="BF76" s="8">
        <v>1.0</v>
      </c>
      <c r="BM76" s="8">
        <v>1.0</v>
      </c>
    </row>
    <row r="77" ht="15.0" customHeight="1">
      <c r="A77" s="8" t="s">
        <v>115</v>
      </c>
      <c r="B77" s="8">
        <v>353.0</v>
      </c>
      <c r="C77" s="8">
        <v>1.0</v>
      </c>
      <c r="K77" s="8">
        <v>1.0</v>
      </c>
      <c r="AD77" s="8">
        <v>1.0</v>
      </c>
      <c r="BF77" s="8">
        <v>1.0</v>
      </c>
    </row>
    <row r="78" ht="15.0" customHeight="1">
      <c r="A78" s="8" t="s">
        <v>211</v>
      </c>
      <c r="B78" s="8">
        <v>352.0</v>
      </c>
      <c r="C78" s="8">
        <v>1.0</v>
      </c>
      <c r="AY78" s="8">
        <v>1.0</v>
      </c>
      <c r="BG78" s="8">
        <v>1.0</v>
      </c>
      <c r="BK78" s="8">
        <v>1.0</v>
      </c>
    </row>
    <row r="79" ht="15.0" customHeight="1">
      <c r="A79" s="8" t="s">
        <v>211</v>
      </c>
      <c r="B79" s="8">
        <v>351.0</v>
      </c>
      <c r="C79" s="8">
        <v>1.0</v>
      </c>
      <c r="D79" s="8">
        <v>1.0</v>
      </c>
      <c r="H79" s="8">
        <v>1.0</v>
      </c>
      <c r="L79" s="8">
        <v>1.0</v>
      </c>
      <c r="O79" s="8">
        <v>1.0</v>
      </c>
      <c r="P79" s="8">
        <v>1.0</v>
      </c>
      <c r="S79" s="8">
        <v>1.0</v>
      </c>
      <c r="AF79" s="8">
        <v>1.0</v>
      </c>
      <c r="AJ79" s="8">
        <v>1.0</v>
      </c>
      <c r="AO79" s="8">
        <v>1.0</v>
      </c>
      <c r="AU79" s="8">
        <v>1.0</v>
      </c>
      <c r="AW79" s="8">
        <v>1.0</v>
      </c>
      <c r="AY79" s="8">
        <v>1.0</v>
      </c>
      <c r="BM79" s="8">
        <v>1.0</v>
      </c>
    </row>
    <row r="80" ht="15.0" customHeight="1">
      <c r="A80" s="8" t="s">
        <v>211</v>
      </c>
      <c r="B80" s="8">
        <v>350.0</v>
      </c>
      <c r="C80" s="8">
        <v>1.0</v>
      </c>
    </row>
    <row r="81" ht="15.0" customHeight="1">
      <c r="A81" s="8" t="s">
        <v>374</v>
      </c>
      <c r="B81" s="8">
        <v>349.0</v>
      </c>
      <c r="C81" s="8">
        <v>1.0</v>
      </c>
      <c r="L81" s="8">
        <v>1.0</v>
      </c>
      <c r="N81" s="8">
        <v>1.0</v>
      </c>
      <c r="AS81" s="8">
        <v>1.0</v>
      </c>
      <c r="BW81" s="8">
        <v>1.0</v>
      </c>
    </row>
    <row r="82" ht="15.0" customHeight="1">
      <c r="A82" s="8" t="s">
        <v>114</v>
      </c>
      <c r="B82" s="8">
        <v>348.0</v>
      </c>
      <c r="C82" s="8">
        <v>1.0</v>
      </c>
      <c r="O82" s="8">
        <v>1.0</v>
      </c>
      <c r="AY82" s="8">
        <v>1.0</v>
      </c>
      <c r="BC82" s="8">
        <v>1.0</v>
      </c>
    </row>
    <row r="83" ht="15.0" customHeight="1">
      <c r="A83" s="8" t="s">
        <v>113</v>
      </c>
      <c r="B83" s="8">
        <v>347.0</v>
      </c>
      <c r="C83" s="8">
        <v>1.0</v>
      </c>
      <c r="AU83" s="8">
        <v>1.0</v>
      </c>
      <c r="BC83" s="8">
        <v>1.0</v>
      </c>
      <c r="BF83" s="8">
        <v>1.0</v>
      </c>
    </row>
    <row r="84" ht="15.0" customHeight="1">
      <c r="A84" s="8" t="s">
        <v>113</v>
      </c>
      <c r="B84" s="8">
        <v>346.0</v>
      </c>
      <c r="C84" s="8">
        <v>1.0</v>
      </c>
      <c r="F84" s="8">
        <v>1.0</v>
      </c>
      <c r="BC84" s="8">
        <v>1.0</v>
      </c>
      <c r="BF84" s="8">
        <v>1.0</v>
      </c>
      <c r="BH84" s="8">
        <v>1.0</v>
      </c>
    </row>
    <row r="85" ht="15.0" customHeight="1">
      <c r="A85" s="8" t="s">
        <v>112</v>
      </c>
      <c r="B85" s="8">
        <v>345.0</v>
      </c>
      <c r="C85" s="8">
        <v>1.0</v>
      </c>
      <c r="O85" s="8">
        <v>1.0</v>
      </c>
      <c r="BC85" s="8">
        <v>1.0</v>
      </c>
    </row>
    <row r="86" ht="15.0" customHeight="1">
      <c r="A86" s="8" t="s">
        <v>375</v>
      </c>
      <c r="B86" s="8">
        <v>344.0</v>
      </c>
      <c r="C86" s="8">
        <v>1.0</v>
      </c>
      <c r="J86" s="8">
        <v>1.0</v>
      </c>
      <c r="L86" s="8">
        <v>1.0</v>
      </c>
      <c r="BC86" s="8">
        <v>1.0</v>
      </c>
      <c r="BF86" s="8">
        <v>1.0</v>
      </c>
    </row>
    <row r="87" ht="15.0" customHeight="1">
      <c r="A87" s="8" t="s">
        <v>196</v>
      </c>
      <c r="B87" s="8">
        <v>343.0</v>
      </c>
      <c r="C87" s="8">
        <v>1.0</v>
      </c>
      <c r="AM87" s="8">
        <v>1.0</v>
      </c>
      <c r="AR87" s="8">
        <v>1.0</v>
      </c>
      <c r="BH87" s="8">
        <v>1.0</v>
      </c>
      <c r="BP87" s="8">
        <v>1.0</v>
      </c>
    </row>
    <row r="88" ht="15.0" customHeight="1">
      <c r="A88" s="8" t="s">
        <v>111</v>
      </c>
      <c r="B88" s="8">
        <v>342.0</v>
      </c>
      <c r="C88" s="8">
        <v>1.0</v>
      </c>
      <c r="H88" s="8">
        <v>1.0</v>
      </c>
      <c r="I88" s="8">
        <v>1.0</v>
      </c>
      <c r="N88" s="8">
        <v>1.0</v>
      </c>
      <c r="O88" s="8">
        <v>1.0</v>
      </c>
      <c r="P88" s="8">
        <v>1.0</v>
      </c>
      <c r="X88" s="8">
        <v>1.0</v>
      </c>
      <c r="AF88" s="8">
        <v>1.0</v>
      </c>
      <c r="AL88" s="8">
        <v>1.0</v>
      </c>
      <c r="AM88" s="8">
        <v>1.0</v>
      </c>
      <c r="AO88" s="8">
        <v>1.0</v>
      </c>
      <c r="AU88" s="8">
        <v>1.0</v>
      </c>
      <c r="AY88" s="8">
        <v>1.0</v>
      </c>
      <c r="BC88" s="8">
        <v>1.0</v>
      </c>
      <c r="BF88" s="8">
        <v>1.0</v>
      </c>
      <c r="BH88" s="8">
        <v>1.0</v>
      </c>
      <c r="BL88" s="8">
        <v>1.0</v>
      </c>
      <c r="BM88" s="8">
        <v>1.0</v>
      </c>
    </row>
    <row r="89" ht="15.0" customHeight="1">
      <c r="A89" s="8" t="s">
        <v>111</v>
      </c>
      <c r="B89" s="8">
        <v>341.0</v>
      </c>
      <c r="C89" s="8">
        <v>1.0</v>
      </c>
      <c r="R89" s="8">
        <v>1.0</v>
      </c>
      <c r="BC89" s="8">
        <v>1.0</v>
      </c>
    </row>
    <row r="90" ht="15.0" customHeight="1">
      <c r="A90" s="8" t="s">
        <v>110</v>
      </c>
      <c r="B90" s="8">
        <v>340.0</v>
      </c>
      <c r="C90" s="8">
        <v>1.0</v>
      </c>
      <c r="H90" s="8">
        <v>1.0</v>
      </c>
      <c r="O90" s="8">
        <v>1.0</v>
      </c>
      <c r="X90" s="8">
        <v>1.0</v>
      </c>
      <c r="BA90" s="8">
        <v>1.0</v>
      </c>
      <c r="BC90" s="8">
        <v>1.0</v>
      </c>
      <c r="BF90" s="8">
        <v>1.0</v>
      </c>
    </row>
    <row r="91" ht="15.0" customHeight="1">
      <c r="A91" s="8" t="s">
        <v>110</v>
      </c>
      <c r="B91" s="8">
        <v>339.0</v>
      </c>
      <c r="C91" s="8">
        <v>1.0</v>
      </c>
      <c r="AU91" s="8">
        <v>1.0</v>
      </c>
    </row>
    <row r="92" ht="15.0" customHeight="1">
      <c r="A92" s="8" t="s">
        <v>191</v>
      </c>
      <c r="B92" s="8">
        <v>338.0</v>
      </c>
      <c r="C92" s="8">
        <v>1.0</v>
      </c>
      <c r="AN92" s="8">
        <v>1.0</v>
      </c>
      <c r="AY92" s="8">
        <v>1.0</v>
      </c>
    </row>
    <row r="93" ht="15.0" customHeight="1">
      <c r="A93" s="8" t="s">
        <v>109</v>
      </c>
      <c r="B93" s="8">
        <v>337.0</v>
      </c>
      <c r="C93" s="8">
        <v>1.0</v>
      </c>
      <c r="H93" s="8">
        <v>1.0</v>
      </c>
      <c r="AD93" s="8">
        <v>1.0</v>
      </c>
      <c r="AT93" s="8">
        <v>1.0</v>
      </c>
      <c r="BA93" s="8">
        <v>1.0</v>
      </c>
      <c r="BF93" s="8">
        <v>1.0</v>
      </c>
      <c r="BL93" s="8">
        <v>1.0</v>
      </c>
    </row>
    <row r="94" ht="15.0" customHeight="1">
      <c r="A94" s="8" t="s">
        <v>108</v>
      </c>
      <c r="B94" s="8">
        <v>336.0</v>
      </c>
      <c r="C94" s="8">
        <v>1.0</v>
      </c>
    </row>
    <row r="95" ht="15.0" customHeight="1">
      <c r="A95" s="8" t="s">
        <v>108</v>
      </c>
      <c r="B95" s="8">
        <v>335.0</v>
      </c>
      <c r="C95" s="8">
        <v>1.0</v>
      </c>
      <c r="O95" s="8">
        <v>1.0</v>
      </c>
    </row>
    <row r="96" ht="15.0" customHeight="1">
      <c r="A96" s="8" t="s">
        <v>221</v>
      </c>
      <c r="B96" s="8">
        <v>334.0</v>
      </c>
      <c r="C96" s="8">
        <v>1.0</v>
      </c>
      <c r="AU96" s="8">
        <v>1.0</v>
      </c>
      <c r="BC96" s="8">
        <v>1.0</v>
      </c>
      <c r="BF96" s="8">
        <v>1.0</v>
      </c>
    </row>
    <row r="97" ht="15.0" customHeight="1">
      <c r="A97" s="8" t="s">
        <v>107</v>
      </c>
      <c r="B97" s="8">
        <v>333.0</v>
      </c>
      <c r="C97" s="8">
        <v>1.0</v>
      </c>
      <c r="O97" s="8">
        <v>1.0</v>
      </c>
      <c r="AU97" s="8">
        <v>1.0</v>
      </c>
      <c r="BF97" s="8">
        <v>1.0</v>
      </c>
    </row>
    <row r="98" ht="15.0" customHeight="1">
      <c r="A98" s="8" t="s">
        <v>107</v>
      </c>
      <c r="B98" s="8">
        <v>332.0</v>
      </c>
      <c r="C98" s="8">
        <v>1.0</v>
      </c>
      <c r="H98" s="8">
        <v>1.0</v>
      </c>
      <c r="O98" s="8">
        <v>1.0</v>
      </c>
      <c r="Q98" s="8">
        <v>1.0</v>
      </c>
      <c r="X98" s="8">
        <v>1.0</v>
      </c>
      <c r="AE98" s="8">
        <v>1.0</v>
      </c>
      <c r="BA98" s="8">
        <v>1.0</v>
      </c>
      <c r="BC98" s="8">
        <v>1.0</v>
      </c>
      <c r="BF98" s="8">
        <v>1.0</v>
      </c>
      <c r="BH98" s="8">
        <v>1.0</v>
      </c>
    </row>
    <row r="99" ht="15.0" customHeight="1">
      <c r="A99" s="8" t="s">
        <v>106</v>
      </c>
      <c r="B99" s="8">
        <v>331.0</v>
      </c>
      <c r="C99" s="8">
        <v>1.0</v>
      </c>
      <c r="H99" s="8">
        <v>1.0</v>
      </c>
      <c r="I99" s="8">
        <v>1.0</v>
      </c>
      <c r="P99" s="8">
        <v>1.0</v>
      </c>
      <c r="X99" s="8">
        <v>1.0</v>
      </c>
      <c r="AF99" s="8">
        <v>1.0</v>
      </c>
      <c r="AG99" s="8">
        <v>1.0</v>
      </c>
      <c r="AK99" s="8">
        <v>1.0</v>
      </c>
      <c r="AL99" s="8">
        <v>1.0</v>
      </c>
      <c r="AM99" s="8">
        <v>1.0</v>
      </c>
      <c r="AN99" s="8">
        <v>1.0</v>
      </c>
      <c r="AO99" s="8">
        <v>1.0</v>
      </c>
      <c r="AU99" s="8">
        <v>1.0</v>
      </c>
      <c r="AZ99" s="8">
        <v>1.0</v>
      </c>
      <c r="BA99" s="8">
        <v>1.0</v>
      </c>
      <c r="BC99" s="8">
        <v>1.0</v>
      </c>
      <c r="BH99" s="8">
        <v>1.0</v>
      </c>
      <c r="BR99" s="8">
        <v>1.0</v>
      </c>
      <c r="BW99" s="8">
        <v>1.0</v>
      </c>
    </row>
    <row r="100" ht="15.0" customHeight="1">
      <c r="A100" s="8" t="s">
        <v>106</v>
      </c>
      <c r="B100" s="8">
        <v>330.0</v>
      </c>
      <c r="C100" s="8">
        <v>1.0</v>
      </c>
    </row>
    <row r="101" ht="15.0" customHeight="1">
      <c r="A101" s="8" t="s">
        <v>217</v>
      </c>
      <c r="B101" s="8">
        <v>329.0</v>
      </c>
      <c r="C101" s="8">
        <v>1.0</v>
      </c>
      <c r="BC101" s="8">
        <v>1.0</v>
      </c>
    </row>
    <row r="102" ht="15.0" customHeight="1">
      <c r="A102" s="8" t="s">
        <v>376</v>
      </c>
      <c r="B102" s="8">
        <v>328.0</v>
      </c>
      <c r="C102" s="8">
        <v>1.0</v>
      </c>
      <c r="I102" s="8">
        <v>1.0</v>
      </c>
      <c r="X102" s="8">
        <v>1.0</v>
      </c>
      <c r="BC102" s="8">
        <v>1.0</v>
      </c>
      <c r="BF102" s="8">
        <v>1.0</v>
      </c>
    </row>
    <row r="103" ht="15.0" customHeight="1">
      <c r="A103" s="8" t="s">
        <v>105</v>
      </c>
      <c r="B103" s="8">
        <v>327.0</v>
      </c>
      <c r="X103" s="8">
        <v>1.0</v>
      </c>
      <c r="BC103" s="8">
        <v>1.0</v>
      </c>
    </row>
    <row r="104" ht="15.0" customHeight="1">
      <c r="A104" s="8" t="s">
        <v>105</v>
      </c>
      <c r="B104" s="8">
        <v>326.0</v>
      </c>
      <c r="BC104" s="8">
        <v>1.0</v>
      </c>
    </row>
    <row r="105" ht="15.0" customHeight="1">
      <c r="A105" s="8" t="s">
        <v>181</v>
      </c>
      <c r="B105" s="8">
        <v>325.0</v>
      </c>
      <c r="C105" s="8">
        <v>1.0</v>
      </c>
      <c r="H105" s="8">
        <v>1.0</v>
      </c>
      <c r="BC105" s="8">
        <v>1.0</v>
      </c>
    </row>
    <row r="106" ht="15.0" customHeight="1">
      <c r="A106" s="8" t="s">
        <v>377</v>
      </c>
      <c r="B106" s="8">
        <v>324.0</v>
      </c>
      <c r="C106" s="8">
        <v>1.0</v>
      </c>
    </row>
    <row r="107" ht="15.0" customHeight="1">
      <c r="A107" s="8" t="s">
        <v>201</v>
      </c>
      <c r="B107" s="8">
        <v>323.0</v>
      </c>
      <c r="C107" s="8">
        <v>1.0</v>
      </c>
      <c r="D107" s="8">
        <v>1.0</v>
      </c>
      <c r="H107" s="8">
        <v>1.0</v>
      </c>
      <c r="I107" s="8">
        <v>1.0</v>
      </c>
      <c r="P107" s="8">
        <v>1.0</v>
      </c>
      <c r="AF107" s="8">
        <v>1.0</v>
      </c>
      <c r="AK107" s="8">
        <v>1.0</v>
      </c>
      <c r="AO107" s="8">
        <v>1.0</v>
      </c>
      <c r="AU107" s="8">
        <v>1.0</v>
      </c>
      <c r="BC107" s="8">
        <v>1.0</v>
      </c>
      <c r="BH107" s="8">
        <v>1.0</v>
      </c>
      <c r="BM107" s="8">
        <v>1.0</v>
      </c>
      <c r="BT107" s="8">
        <v>1.0</v>
      </c>
    </row>
    <row r="108" ht="15.0" customHeight="1">
      <c r="A108" s="8" t="s">
        <v>104</v>
      </c>
      <c r="B108" s="8">
        <v>322.0</v>
      </c>
      <c r="C108" s="8">
        <v>1.0</v>
      </c>
      <c r="D108" s="8">
        <v>1.0</v>
      </c>
      <c r="H108" s="8">
        <v>1.0</v>
      </c>
      <c r="M108" s="8">
        <v>1.0</v>
      </c>
      <c r="Q108" s="8">
        <v>1.0</v>
      </c>
      <c r="X108" s="8">
        <v>1.0</v>
      </c>
      <c r="AJ108" s="8">
        <v>1.0</v>
      </c>
      <c r="AK108" s="8">
        <v>1.0</v>
      </c>
      <c r="BA108" s="8">
        <v>1.0</v>
      </c>
      <c r="BC108" s="8">
        <v>1.0</v>
      </c>
      <c r="BM108" s="8">
        <v>1.0</v>
      </c>
    </row>
    <row r="109" ht="15.0" customHeight="1">
      <c r="A109" s="8" t="s">
        <v>104</v>
      </c>
      <c r="B109" s="8">
        <v>321.0</v>
      </c>
      <c r="C109" s="8">
        <v>1.0</v>
      </c>
    </row>
    <row r="110" ht="15.0" customHeight="1">
      <c r="A110" s="8" t="s">
        <v>103</v>
      </c>
      <c r="B110" s="8">
        <v>320.0</v>
      </c>
      <c r="C110" s="8">
        <v>1.0</v>
      </c>
      <c r="BF110" s="8">
        <v>1.0</v>
      </c>
    </row>
    <row r="111" ht="15.0" customHeight="1">
      <c r="A111" s="8" t="s">
        <v>103</v>
      </c>
      <c r="B111" s="8">
        <v>319.0</v>
      </c>
      <c r="C111" s="8">
        <v>1.0</v>
      </c>
      <c r="AU111" s="8">
        <v>1.0</v>
      </c>
      <c r="BA111" s="8">
        <v>1.0</v>
      </c>
    </row>
    <row r="112" ht="15.0" customHeight="1">
      <c r="A112" s="8" t="s">
        <v>378</v>
      </c>
      <c r="B112" s="8">
        <v>318.0</v>
      </c>
      <c r="C112" s="8">
        <v>1.0</v>
      </c>
    </row>
    <row r="113" ht="15.0" customHeight="1">
      <c r="A113" s="8" t="s">
        <v>378</v>
      </c>
      <c r="B113" s="8">
        <v>317.0</v>
      </c>
      <c r="C113" s="8">
        <v>1.0</v>
      </c>
      <c r="X113" s="8">
        <v>1.0</v>
      </c>
    </row>
    <row r="114" ht="15.0" customHeight="1">
      <c r="A114" s="8" t="s">
        <v>187</v>
      </c>
      <c r="B114" s="8">
        <v>316.0</v>
      </c>
      <c r="C114" s="8">
        <v>1.0</v>
      </c>
    </row>
    <row r="115" ht="15.0" customHeight="1">
      <c r="A115" s="8" t="s">
        <v>146</v>
      </c>
      <c r="B115" s="8">
        <v>315.0</v>
      </c>
      <c r="C115" s="8">
        <v>1.0</v>
      </c>
    </row>
    <row r="116" ht="15.0" customHeight="1">
      <c r="A116" s="8" t="s">
        <v>146</v>
      </c>
      <c r="B116" s="8">
        <v>314.0</v>
      </c>
      <c r="C116" s="8">
        <v>1.0</v>
      </c>
      <c r="R116" s="8">
        <v>1.0</v>
      </c>
    </row>
    <row r="117" ht="15.0" customHeight="1">
      <c r="A117" s="8" t="s">
        <v>180</v>
      </c>
      <c r="B117" s="8">
        <v>313.0</v>
      </c>
      <c r="C117" s="8">
        <v>1.0</v>
      </c>
    </row>
    <row r="118" ht="15.0" customHeight="1">
      <c r="A118" s="8" t="s">
        <v>379</v>
      </c>
      <c r="B118" s="8">
        <v>312.0</v>
      </c>
      <c r="C118" s="8">
        <v>1.0</v>
      </c>
    </row>
    <row r="119" ht="15.0" customHeight="1">
      <c r="A119" s="8" t="s">
        <v>102</v>
      </c>
      <c r="B119" s="8">
        <v>311.0</v>
      </c>
      <c r="C119" s="8">
        <v>1.0</v>
      </c>
    </row>
    <row r="120" ht="15.0" customHeight="1">
      <c r="A120" s="8" t="s">
        <v>101</v>
      </c>
      <c r="B120" s="8">
        <v>310.0</v>
      </c>
      <c r="C120" s="8">
        <v>1.0</v>
      </c>
      <c r="AY120" s="8">
        <v>1.0</v>
      </c>
    </row>
    <row r="121" ht="15.0" customHeight="1">
      <c r="A121" s="8" t="s">
        <v>101</v>
      </c>
      <c r="B121" s="8">
        <v>309.0</v>
      </c>
      <c r="C121" s="8">
        <v>1.0</v>
      </c>
    </row>
    <row r="122" ht="15.0" customHeight="1">
      <c r="A122" s="8" t="s">
        <v>100</v>
      </c>
      <c r="B122" s="8">
        <v>308.0</v>
      </c>
      <c r="C122" s="8">
        <v>1.0</v>
      </c>
    </row>
    <row r="123" ht="15.0" customHeight="1">
      <c r="A123" s="8" t="s">
        <v>380</v>
      </c>
      <c r="B123" s="8">
        <v>307.0</v>
      </c>
      <c r="C123" s="8">
        <v>1.0</v>
      </c>
    </row>
    <row r="124" ht="15.0" customHeight="1">
      <c r="A124" s="8" t="s">
        <v>380</v>
      </c>
      <c r="B124" s="8">
        <v>306.0</v>
      </c>
      <c r="C124" s="8">
        <v>1.0</v>
      </c>
    </row>
    <row r="125" ht="15.0" customHeight="1">
      <c r="A125" s="8" t="s">
        <v>380</v>
      </c>
      <c r="B125" s="8">
        <v>305.0</v>
      </c>
      <c r="C125" s="8">
        <v>1.0</v>
      </c>
    </row>
    <row r="126" ht="15.0" customHeight="1">
      <c r="A126" s="8" t="s">
        <v>99</v>
      </c>
      <c r="B126" s="8">
        <v>304.0</v>
      </c>
      <c r="C126" s="8">
        <v>1.0</v>
      </c>
      <c r="AF126" s="8">
        <v>1.0</v>
      </c>
      <c r="AO126" s="8">
        <v>1.0</v>
      </c>
      <c r="AU126" s="8">
        <v>1.0</v>
      </c>
    </row>
    <row r="127" ht="15.0" customHeight="1">
      <c r="A127" s="8" t="s">
        <v>99</v>
      </c>
      <c r="B127" s="8">
        <v>303.0</v>
      </c>
      <c r="C127" s="8">
        <v>1.0</v>
      </c>
    </row>
    <row r="128" ht="15.0" customHeight="1">
      <c r="A128" s="8" t="s">
        <v>98</v>
      </c>
      <c r="B128" s="8">
        <v>302.0</v>
      </c>
      <c r="C128" s="8">
        <v>1.0</v>
      </c>
      <c r="BC128" s="8">
        <v>1.0</v>
      </c>
    </row>
    <row r="129" ht="15.0" customHeight="1">
      <c r="A129" s="8" t="s">
        <v>97</v>
      </c>
      <c r="B129" s="8">
        <v>301.0</v>
      </c>
      <c r="C129" s="8">
        <v>1.0</v>
      </c>
      <c r="H129" s="8">
        <v>1.0</v>
      </c>
      <c r="X129" s="8">
        <v>1.0</v>
      </c>
      <c r="AT129" s="8">
        <v>1.0</v>
      </c>
      <c r="AY129" s="8">
        <v>1.0</v>
      </c>
      <c r="BA129" s="8">
        <v>1.0</v>
      </c>
      <c r="BC129" s="8">
        <v>1.0</v>
      </c>
      <c r="BT129" s="8">
        <v>1.0</v>
      </c>
    </row>
    <row r="130" ht="15.0" customHeight="1">
      <c r="A130" s="8" t="s">
        <v>179</v>
      </c>
      <c r="B130" s="8">
        <v>300.0</v>
      </c>
      <c r="C130" s="8">
        <v>1.0</v>
      </c>
      <c r="AX130" s="8">
        <v>1.0</v>
      </c>
      <c r="BC130" s="8">
        <v>1.0</v>
      </c>
    </row>
    <row r="131" ht="15.0" customHeight="1">
      <c r="A131" s="8" t="s">
        <v>179</v>
      </c>
      <c r="B131" s="8">
        <v>299.0</v>
      </c>
      <c r="C131" s="8">
        <v>1.0</v>
      </c>
      <c r="BC131" s="8">
        <v>1.0</v>
      </c>
    </row>
    <row r="132" ht="15.0" customHeight="1">
      <c r="A132" s="8" t="s">
        <v>179</v>
      </c>
      <c r="B132" s="8">
        <v>298.0</v>
      </c>
      <c r="C132" s="8">
        <v>1.0</v>
      </c>
    </row>
    <row r="133" ht="15.0" customHeight="1">
      <c r="A133" s="8" t="s">
        <v>96</v>
      </c>
      <c r="B133" s="8">
        <v>297.0</v>
      </c>
      <c r="C133" s="8">
        <v>1.0</v>
      </c>
    </row>
    <row r="134" ht="15.0" customHeight="1">
      <c r="A134" s="8" t="s">
        <v>96</v>
      </c>
      <c r="B134" s="8">
        <v>296.0</v>
      </c>
      <c r="C134" s="8">
        <v>1.0</v>
      </c>
    </row>
    <row r="135" ht="15.0" customHeight="1">
      <c r="A135" s="8" t="s">
        <v>381</v>
      </c>
      <c r="B135" s="8">
        <v>295.0</v>
      </c>
      <c r="C135" s="8">
        <v>1.0</v>
      </c>
      <c r="AT135" s="8">
        <v>1.0</v>
      </c>
    </row>
    <row r="136" ht="15.0" customHeight="1">
      <c r="A136" s="8" t="s">
        <v>381</v>
      </c>
      <c r="B136" s="8">
        <v>294.0</v>
      </c>
      <c r="C136" s="8">
        <v>1.0</v>
      </c>
    </row>
    <row r="137" ht="15.0" customHeight="1">
      <c r="A137" s="8" t="s">
        <v>382</v>
      </c>
      <c r="B137" s="8">
        <v>293.0</v>
      </c>
      <c r="C137" s="8">
        <v>1.0</v>
      </c>
    </row>
    <row r="138" ht="15.0" customHeight="1">
      <c r="A138" s="8" t="s">
        <v>195</v>
      </c>
      <c r="B138" s="8">
        <v>292.0</v>
      </c>
      <c r="C138" s="8">
        <v>1.0</v>
      </c>
      <c r="BC138" s="8">
        <v>1.0</v>
      </c>
      <c r="BH138" s="8">
        <v>1.0</v>
      </c>
    </row>
    <row r="139" ht="15.0" customHeight="1">
      <c r="A139" s="8" t="s">
        <v>95</v>
      </c>
      <c r="B139" s="8">
        <v>291.0</v>
      </c>
      <c r="C139" s="8">
        <v>1.0</v>
      </c>
    </row>
    <row r="140" ht="15.0" customHeight="1">
      <c r="A140" s="8" t="s">
        <v>95</v>
      </c>
      <c r="B140" s="8">
        <v>290.0</v>
      </c>
      <c r="C140" s="8">
        <v>1.0</v>
      </c>
      <c r="AO140" s="8">
        <v>1.0</v>
      </c>
    </row>
    <row r="141" ht="15.0" customHeight="1">
      <c r="A141" s="8" t="s">
        <v>94</v>
      </c>
      <c r="B141" s="8">
        <v>289.0</v>
      </c>
      <c r="C141" s="8">
        <v>1.0</v>
      </c>
      <c r="R141" s="8">
        <v>1.0</v>
      </c>
      <c r="BB141" s="8">
        <v>1.0</v>
      </c>
    </row>
    <row r="142" ht="15.0" customHeight="1">
      <c r="A142" s="8" t="s">
        <v>189</v>
      </c>
      <c r="B142" s="8">
        <v>288.0</v>
      </c>
      <c r="C142" s="8">
        <v>1.0</v>
      </c>
      <c r="O142" s="8">
        <v>1.0</v>
      </c>
    </row>
    <row r="143" ht="15.0" customHeight="1">
      <c r="A143" s="8" t="s">
        <v>189</v>
      </c>
      <c r="B143" s="8">
        <v>287.0</v>
      </c>
      <c r="C143" s="8">
        <v>1.0</v>
      </c>
    </row>
    <row r="144" ht="15.0" customHeight="1">
      <c r="A144" s="8" t="s">
        <v>222</v>
      </c>
      <c r="B144" s="8">
        <v>286.0</v>
      </c>
      <c r="C144" s="8">
        <v>1.0</v>
      </c>
      <c r="H144" s="8">
        <v>1.0</v>
      </c>
      <c r="P144" s="8">
        <v>1.0</v>
      </c>
      <c r="X144" s="8">
        <v>1.0</v>
      </c>
      <c r="AE144" s="8">
        <v>1.0</v>
      </c>
      <c r="AN144" s="8">
        <v>1.0</v>
      </c>
      <c r="AO144" s="8">
        <v>1.0</v>
      </c>
      <c r="AR144" s="8">
        <v>1.0</v>
      </c>
      <c r="AU144" s="8">
        <v>1.0</v>
      </c>
      <c r="AY144" s="8">
        <v>1.0</v>
      </c>
      <c r="BA144" s="8">
        <v>1.0</v>
      </c>
      <c r="BC144" s="8">
        <v>1.0</v>
      </c>
      <c r="BF144" s="8">
        <v>1.0</v>
      </c>
      <c r="BM144" s="8">
        <v>1.0</v>
      </c>
      <c r="BR144" s="8">
        <v>1.0</v>
      </c>
    </row>
    <row r="145" ht="15.0" customHeight="1">
      <c r="A145" s="8" t="s">
        <v>93</v>
      </c>
      <c r="B145" s="8">
        <v>285.0</v>
      </c>
      <c r="C145" s="8">
        <v>1.0</v>
      </c>
      <c r="BF145" s="8">
        <v>1.0</v>
      </c>
    </row>
    <row r="146" ht="15.0" customHeight="1">
      <c r="A146" s="8" t="s">
        <v>92</v>
      </c>
      <c r="B146" s="8">
        <v>284.0</v>
      </c>
      <c r="C146" s="8">
        <v>1.0</v>
      </c>
    </row>
    <row r="147" ht="15.0" customHeight="1">
      <c r="A147" s="8" t="s">
        <v>383</v>
      </c>
      <c r="B147" s="8">
        <v>283.0</v>
      </c>
      <c r="C147" s="8">
        <v>1.0</v>
      </c>
    </row>
    <row r="148" ht="15.0" customHeight="1">
      <c r="A148" s="8" t="s">
        <v>91</v>
      </c>
      <c r="B148" s="8">
        <v>282.0</v>
      </c>
      <c r="C148" s="8">
        <v>1.0</v>
      </c>
    </row>
    <row r="149" ht="15.0" customHeight="1">
      <c r="A149" s="8" t="s">
        <v>90</v>
      </c>
      <c r="B149" s="8">
        <v>281.0</v>
      </c>
      <c r="C149" s="8">
        <v>1.0</v>
      </c>
      <c r="J149" s="8">
        <v>1.0</v>
      </c>
    </row>
    <row r="150" ht="15.0" customHeight="1">
      <c r="A150" s="8" t="s">
        <v>90</v>
      </c>
      <c r="B150" s="8">
        <v>280.0</v>
      </c>
      <c r="C150" s="8">
        <v>1.0</v>
      </c>
      <c r="H150" s="8">
        <v>1.0</v>
      </c>
    </row>
    <row r="151" ht="15.0" customHeight="1">
      <c r="A151" s="8" t="s">
        <v>212</v>
      </c>
      <c r="B151" s="8">
        <v>279.0</v>
      </c>
      <c r="C151" s="8">
        <v>1.0</v>
      </c>
    </row>
    <row r="152" ht="15.0" customHeight="1">
      <c r="A152" s="8" t="s">
        <v>178</v>
      </c>
      <c r="B152" s="8">
        <v>278.0</v>
      </c>
      <c r="C152" s="8">
        <v>1.0</v>
      </c>
      <c r="J152" s="8">
        <v>1.0</v>
      </c>
    </row>
    <row r="153" ht="15.0" customHeight="1">
      <c r="A153" s="8" t="s">
        <v>149</v>
      </c>
      <c r="B153" s="8">
        <v>277.0</v>
      </c>
      <c r="C153" s="8">
        <v>1.0</v>
      </c>
      <c r="AY153" s="8">
        <v>1.0</v>
      </c>
    </row>
    <row r="154" ht="15.0" customHeight="1">
      <c r="A154" s="8" t="s">
        <v>89</v>
      </c>
      <c r="B154" s="8">
        <v>276.0</v>
      </c>
      <c r="C154" s="8">
        <v>1.0</v>
      </c>
      <c r="AT154" s="8">
        <v>1.0</v>
      </c>
      <c r="AY154" s="8">
        <v>1.0</v>
      </c>
      <c r="BA154" s="8">
        <v>1.0</v>
      </c>
      <c r="BT154" s="8">
        <v>1.0</v>
      </c>
    </row>
    <row r="155" ht="15.0" customHeight="1">
      <c r="A155" s="8" t="s">
        <v>89</v>
      </c>
      <c r="B155" s="8">
        <v>275.0</v>
      </c>
      <c r="C155" s="8">
        <v>1.0</v>
      </c>
      <c r="BH155" s="8">
        <v>1.0</v>
      </c>
    </row>
    <row r="156" ht="15.0" customHeight="1">
      <c r="A156" s="8" t="s">
        <v>88</v>
      </c>
      <c r="B156" s="8">
        <v>274.0</v>
      </c>
      <c r="C156" s="8">
        <v>1.0</v>
      </c>
    </row>
    <row r="157" ht="15.0" customHeight="1">
      <c r="A157" s="8" t="s">
        <v>384</v>
      </c>
      <c r="B157" s="8">
        <v>273.0</v>
      </c>
      <c r="C157" s="8">
        <v>1.0</v>
      </c>
    </row>
    <row r="158" ht="15.0" customHeight="1">
      <c r="A158" s="8" t="s">
        <v>198</v>
      </c>
      <c r="B158" s="8">
        <v>272.0</v>
      </c>
      <c r="C158" s="8">
        <v>1.0</v>
      </c>
    </row>
    <row r="159" ht="15.0" customHeight="1">
      <c r="A159" s="8" t="s">
        <v>87</v>
      </c>
      <c r="B159" s="8">
        <v>271.0</v>
      </c>
      <c r="C159" s="8">
        <v>1.0</v>
      </c>
      <c r="AD159" s="8">
        <v>1.0</v>
      </c>
      <c r="BF159" s="8">
        <v>1.0</v>
      </c>
    </row>
    <row r="160" ht="15.0" customHeight="1">
      <c r="A160" s="8" t="s">
        <v>87</v>
      </c>
      <c r="B160" s="8">
        <v>270.0</v>
      </c>
      <c r="C160" s="8">
        <v>1.0</v>
      </c>
      <c r="H160" s="8">
        <v>1.0</v>
      </c>
      <c r="R160" s="8">
        <v>1.0</v>
      </c>
      <c r="AN160" s="8">
        <v>1.0</v>
      </c>
    </row>
    <row r="161" ht="15.0" customHeight="1">
      <c r="A161" s="8" t="s">
        <v>86</v>
      </c>
      <c r="B161" s="8">
        <v>269.0</v>
      </c>
      <c r="C161" s="8">
        <v>1.0</v>
      </c>
    </row>
    <row r="162" ht="15.0" customHeight="1">
      <c r="A162" s="8" t="s">
        <v>177</v>
      </c>
      <c r="B162" s="8">
        <v>268.0</v>
      </c>
      <c r="C162" s="8">
        <v>1.0</v>
      </c>
    </row>
    <row r="163" ht="15.0" customHeight="1">
      <c r="A163" s="8" t="s">
        <v>177</v>
      </c>
      <c r="B163" s="8">
        <v>267.0</v>
      </c>
      <c r="C163" s="8">
        <v>1.0</v>
      </c>
    </row>
    <row r="164" ht="15.0" customHeight="1">
      <c r="A164" s="8" t="s">
        <v>85</v>
      </c>
      <c r="B164" s="8">
        <v>266.0</v>
      </c>
      <c r="C164" s="8">
        <v>1.0</v>
      </c>
      <c r="H164" s="8">
        <v>1.0</v>
      </c>
    </row>
    <row r="165" ht="15.0" customHeight="1">
      <c r="A165" s="8" t="s">
        <v>84</v>
      </c>
      <c r="B165" s="8">
        <v>265.0</v>
      </c>
      <c r="C165" s="8">
        <v>1.0</v>
      </c>
      <c r="O165" s="8">
        <v>1.0</v>
      </c>
      <c r="AU165" s="8">
        <v>1.0</v>
      </c>
      <c r="BC165" s="8">
        <v>1.0</v>
      </c>
    </row>
    <row r="166" ht="15.0" customHeight="1">
      <c r="A166" s="8" t="s">
        <v>176</v>
      </c>
      <c r="B166" s="8">
        <v>264.0</v>
      </c>
      <c r="C166" s="8">
        <v>1.0</v>
      </c>
    </row>
    <row r="167" ht="15.0" customHeight="1">
      <c r="A167" s="8" t="s">
        <v>385</v>
      </c>
      <c r="B167" s="8">
        <v>263.0</v>
      </c>
      <c r="C167" s="8">
        <v>1.0</v>
      </c>
    </row>
    <row r="168" ht="15.0" customHeight="1">
      <c r="A168" s="8" t="s">
        <v>214</v>
      </c>
      <c r="B168" s="8">
        <v>262.0</v>
      </c>
      <c r="C168" s="8">
        <v>1.0</v>
      </c>
    </row>
    <row r="169" ht="15.0" customHeight="1">
      <c r="A169" s="8" t="s">
        <v>214</v>
      </c>
      <c r="B169" s="8">
        <v>261.0</v>
      </c>
      <c r="C169" s="8">
        <v>1.0</v>
      </c>
    </row>
    <row r="170" ht="15.0" customHeight="1">
      <c r="A170" s="8" t="s">
        <v>214</v>
      </c>
      <c r="B170" s="8">
        <v>260.0</v>
      </c>
      <c r="C170" s="8">
        <v>1.0</v>
      </c>
      <c r="H170" s="8">
        <v>1.0</v>
      </c>
      <c r="BC170" s="8">
        <v>1.0</v>
      </c>
    </row>
    <row r="171" ht="15.0" customHeight="1">
      <c r="A171" s="8" t="s">
        <v>83</v>
      </c>
      <c r="B171" s="8">
        <v>259.0</v>
      </c>
      <c r="C171" s="8">
        <v>1.0</v>
      </c>
    </row>
    <row r="172" ht="15.0" customHeight="1">
      <c r="A172" s="8" t="s">
        <v>82</v>
      </c>
      <c r="B172" s="8">
        <v>258.0</v>
      </c>
      <c r="C172" s="8">
        <v>1.0</v>
      </c>
      <c r="BC172" s="8">
        <v>1.0</v>
      </c>
    </row>
    <row r="173" ht="15.0" customHeight="1">
      <c r="A173" s="8" t="s">
        <v>386</v>
      </c>
      <c r="B173" s="8">
        <v>257.0</v>
      </c>
      <c r="C173" s="8">
        <v>1.0</v>
      </c>
      <c r="AQ173" s="8">
        <v>1.0</v>
      </c>
    </row>
    <row r="174" ht="15.0" customHeight="1">
      <c r="A174" s="8" t="s">
        <v>210</v>
      </c>
      <c r="B174" s="8">
        <v>256.0</v>
      </c>
      <c r="C174" s="8">
        <v>1.0</v>
      </c>
      <c r="H174" s="8">
        <v>1.0</v>
      </c>
      <c r="O174" s="8">
        <v>1.0</v>
      </c>
      <c r="BC174" s="8">
        <v>1.0</v>
      </c>
      <c r="BH174" s="8">
        <v>1.0</v>
      </c>
    </row>
    <row r="175" ht="15.0" customHeight="1">
      <c r="A175" s="8" t="s">
        <v>80</v>
      </c>
      <c r="B175" s="8">
        <v>255.0</v>
      </c>
      <c r="C175" s="8">
        <v>1.0</v>
      </c>
    </row>
    <row r="176" ht="15.0" customHeight="1">
      <c r="A176" s="8" t="s">
        <v>79</v>
      </c>
      <c r="B176" s="8">
        <v>254.0</v>
      </c>
      <c r="C176" s="8">
        <v>1.0</v>
      </c>
      <c r="BC176" s="8">
        <v>1.0</v>
      </c>
    </row>
    <row r="177" ht="15.0" customHeight="1">
      <c r="A177" s="8" t="s">
        <v>79</v>
      </c>
      <c r="B177" s="8">
        <v>253.0</v>
      </c>
      <c r="C177" s="8">
        <v>1.0</v>
      </c>
      <c r="BC177" s="8">
        <v>1.0</v>
      </c>
    </row>
    <row r="178" ht="15.0" customHeight="1">
      <c r="A178" s="8" t="s">
        <v>78</v>
      </c>
      <c r="B178" s="8">
        <v>252.0</v>
      </c>
      <c r="C178" s="8">
        <v>1.0</v>
      </c>
      <c r="AQ178" s="8">
        <v>1.0</v>
      </c>
      <c r="BA178" s="8">
        <v>1.0</v>
      </c>
    </row>
    <row r="179" ht="15.0" customHeight="1">
      <c r="A179" s="8" t="s">
        <v>77</v>
      </c>
      <c r="B179" s="8">
        <v>251.0</v>
      </c>
      <c r="C179" s="8">
        <v>1.0</v>
      </c>
      <c r="J179" s="8">
        <v>1.0</v>
      </c>
      <c r="BC179" s="8">
        <v>1.0</v>
      </c>
      <c r="BD179" s="8">
        <v>1.0</v>
      </c>
    </row>
    <row r="180" ht="15.0" customHeight="1">
      <c r="A180" s="8" t="s">
        <v>77</v>
      </c>
      <c r="B180" s="8">
        <v>250.0</v>
      </c>
      <c r="C180" s="8">
        <v>1.0</v>
      </c>
      <c r="BC180" s="8">
        <v>1.0</v>
      </c>
    </row>
    <row r="181" ht="15.0" customHeight="1">
      <c r="A181" s="8" t="s">
        <v>76</v>
      </c>
      <c r="B181" s="8">
        <v>249.0</v>
      </c>
      <c r="C181" s="8">
        <v>1.0</v>
      </c>
      <c r="H181" s="8">
        <v>1.0</v>
      </c>
    </row>
    <row r="182" ht="15.0" customHeight="1">
      <c r="A182" s="8" t="s">
        <v>175</v>
      </c>
      <c r="B182" s="8">
        <v>248.0</v>
      </c>
      <c r="BC182" s="8">
        <v>1.0</v>
      </c>
    </row>
    <row r="183" ht="15.0" customHeight="1">
      <c r="A183" s="8" t="s">
        <v>188</v>
      </c>
      <c r="B183" s="8">
        <v>247.0</v>
      </c>
      <c r="BC183" s="8">
        <v>1.0</v>
      </c>
    </row>
    <row r="184" ht="15.0" customHeight="1">
      <c r="A184" s="8" t="s">
        <v>188</v>
      </c>
      <c r="B184" s="8">
        <v>246.0</v>
      </c>
      <c r="BC184" s="8">
        <v>1.0</v>
      </c>
    </row>
    <row r="185" ht="15.0" customHeight="1">
      <c r="A185" s="8" t="s">
        <v>75</v>
      </c>
      <c r="B185" s="8">
        <v>245.0</v>
      </c>
      <c r="BC185" s="8">
        <v>1.0</v>
      </c>
    </row>
    <row r="186" ht="15.0" customHeight="1">
      <c r="A186" s="8" t="s">
        <v>75</v>
      </c>
      <c r="B186" s="8">
        <v>244.0</v>
      </c>
      <c r="BC186" s="8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53.13"/>
    <col customWidth="1" min="3" max="82" width="10.25"/>
  </cols>
  <sheetData>
    <row r="1" ht="15.0" customHeight="1">
      <c r="A1" s="3" t="s">
        <v>0</v>
      </c>
      <c r="B1" s="3" t="s">
        <v>156</v>
      </c>
      <c r="C1" s="3" t="s">
        <v>53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13</v>
      </c>
      <c r="O1" s="3" t="s">
        <v>15</v>
      </c>
      <c r="P1" s="3" t="s">
        <v>16</v>
      </c>
      <c r="Q1" s="3" t="s">
        <v>17</v>
      </c>
      <c r="R1" s="3" t="s">
        <v>159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364</v>
      </c>
      <c r="X1" s="3" t="s">
        <v>22</v>
      </c>
      <c r="Y1" s="3" t="s">
        <v>23</v>
      </c>
      <c r="Z1" s="3" t="s">
        <v>24</v>
      </c>
      <c r="AA1" s="3" t="s">
        <v>246</v>
      </c>
      <c r="AB1" s="3" t="s">
        <v>25</v>
      </c>
      <c r="AC1" s="3" t="s">
        <v>26</v>
      </c>
      <c r="AD1" s="3" t="s">
        <v>161</v>
      </c>
      <c r="AE1" s="3" t="s">
        <v>27</v>
      </c>
      <c r="AF1" s="3" t="s">
        <v>28</v>
      </c>
      <c r="AG1" s="3" t="s">
        <v>387</v>
      </c>
      <c r="AH1" s="3" t="s">
        <v>29</v>
      </c>
      <c r="AI1" s="3" t="s">
        <v>30</v>
      </c>
      <c r="AJ1" s="3" t="s">
        <v>365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162</v>
      </c>
      <c r="AQ1" s="3" t="s">
        <v>163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164</v>
      </c>
      <c r="AW1" s="3" t="s">
        <v>42</v>
      </c>
      <c r="AX1" s="3" t="s">
        <v>165</v>
      </c>
      <c r="AY1" s="3" t="s">
        <v>43</v>
      </c>
      <c r="AZ1" s="3" t="s">
        <v>167</v>
      </c>
      <c r="BA1" s="3" t="s">
        <v>45</v>
      </c>
      <c r="BB1" s="3" t="s">
        <v>169</v>
      </c>
      <c r="BC1" s="3" t="s">
        <v>170</v>
      </c>
      <c r="BD1" s="3" t="s">
        <v>2</v>
      </c>
      <c r="BE1" s="3" t="s">
        <v>171</v>
      </c>
      <c r="BF1" s="3" t="s">
        <v>317</v>
      </c>
      <c r="BG1" s="3" t="s">
        <v>48</v>
      </c>
      <c r="BH1" s="3" t="s">
        <v>50</v>
      </c>
      <c r="BI1" s="3" t="s">
        <v>51</v>
      </c>
      <c r="BJ1" s="3" t="s">
        <v>52</v>
      </c>
      <c r="BK1" s="3" t="s">
        <v>54</v>
      </c>
      <c r="BL1" s="3" t="s">
        <v>172</v>
      </c>
      <c r="BM1" s="3" t="s">
        <v>318</v>
      </c>
      <c r="BN1" s="3" t="s">
        <v>173</v>
      </c>
      <c r="BO1" s="3" t="s">
        <v>249</v>
      </c>
      <c r="BP1" s="3" t="s">
        <v>56</v>
      </c>
      <c r="BQ1" s="3" t="s">
        <v>57</v>
      </c>
      <c r="BR1" s="3" t="s">
        <v>58</v>
      </c>
      <c r="BS1" s="3" t="s">
        <v>59</v>
      </c>
      <c r="BT1" s="3" t="s">
        <v>319</v>
      </c>
      <c r="BU1" s="3" t="s">
        <v>60</v>
      </c>
      <c r="BV1" s="3" t="s">
        <v>61</v>
      </c>
      <c r="BW1" s="3" t="s">
        <v>62</v>
      </c>
      <c r="BX1" s="3" t="s">
        <v>63</v>
      </c>
      <c r="BY1" s="3" t="s">
        <v>64</v>
      </c>
      <c r="BZ1" s="3" t="s">
        <v>65</v>
      </c>
      <c r="CA1" s="3" t="s">
        <v>250</v>
      </c>
      <c r="CB1" s="3" t="s">
        <v>67</v>
      </c>
      <c r="CC1" s="3" t="s">
        <v>68</v>
      </c>
      <c r="CD1" s="3" t="s">
        <v>69</v>
      </c>
    </row>
    <row r="2" ht="15.0" customHeight="1">
      <c r="A2" s="3" t="s">
        <v>174</v>
      </c>
      <c r="B2" s="5">
        <f>COUNTA(B7:B184)</f>
        <v>178</v>
      </c>
    </row>
    <row r="3" ht="15.0" customHeight="1">
      <c r="A3" s="3" t="s">
        <v>71</v>
      </c>
      <c r="B3" s="5">
        <f>COUNTA(B7:B172)</f>
        <v>166</v>
      </c>
    </row>
    <row r="4" ht="15.0" customHeight="1">
      <c r="A4" s="3" t="s">
        <v>72</v>
      </c>
      <c r="C4" s="5">
        <f t="shared" ref="C4:CD4" si="1">SUM(C7:C184)</f>
        <v>157</v>
      </c>
      <c r="D4" s="5">
        <f t="shared" si="1"/>
        <v>2</v>
      </c>
      <c r="E4" s="5">
        <f t="shared" si="1"/>
        <v>0</v>
      </c>
      <c r="F4" s="5">
        <f t="shared" si="1"/>
        <v>4</v>
      </c>
      <c r="G4" s="5">
        <f t="shared" si="1"/>
        <v>4</v>
      </c>
      <c r="H4" s="5">
        <f t="shared" si="1"/>
        <v>1</v>
      </c>
      <c r="I4" s="5">
        <f t="shared" si="1"/>
        <v>7</v>
      </c>
      <c r="J4" s="5">
        <f t="shared" si="1"/>
        <v>0</v>
      </c>
      <c r="K4" s="5">
        <f t="shared" si="1"/>
        <v>60</v>
      </c>
      <c r="L4" s="5">
        <f t="shared" si="1"/>
        <v>0</v>
      </c>
      <c r="M4" s="5">
        <f t="shared" si="1"/>
        <v>5</v>
      </c>
      <c r="N4" s="5">
        <f t="shared" si="1"/>
        <v>1</v>
      </c>
      <c r="O4" s="5">
        <f t="shared" si="1"/>
        <v>4</v>
      </c>
      <c r="P4" s="5">
        <f t="shared" si="1"/>
        <v>3</v>
      </c>
      <c r="Q4" s="5">
        <f t="shared" si="1"/>
        <v>1</v>
      </c>
      <c r="R4" s="5">
        <f t="shared" si="1"/>
        <v>7</v>
      </c>
      <c r="S4" s="5">
        <f t="shared" si="1"/>
        <v>0</v>
      </c>
      <c r="T4" s="5">
        <f t="shared" si="1"/>
        <v>0</v>
      </c>
      <c r="U4" s="5">
        <f t="shared" si="1"/>
        <v>2</v>
      </c>
      <c r="V4" s="5">
        <f t="shared" si="1"/>
        <v>0</v>
      </c>
      <c r="W4" s="5">
        <f t="shared" si="1"/>
        <v>0</v>
      </c>
      <c r="X4" s="5">
        <f t="shared" si="1"/>
        <v>4</v>
      </c>
      <c r="Y4" s="5">
        <f t="shared" si="1"/>
        <v>3</v>
      </c>
      <c r="Z4" s="5">
        <f t="shared" si="1"/>
        <v>3</v>
      </c>
      <c r="AA4" s="5">
        <f t="shared" si="1"/>
        <v>0</v>
      </c>
      <c r="AB4" s="5">
        <f t="shared" si="1"/>
        <v>19</v>
      </c>
      <c r="AC4" s="5">
        <f t="shared" si="1"/>
        <v>2</v>
      </c>
      <c r="AD4" s="5">
        <f t="shared" si="1"/>
        <v>1</v>
      </c>
      <c r="AE4" s="5">
        <f t="shared" si="1"/>
        <v>44</v>
      </c>
      <c r="AF4" s="5">
        <f t="shared" si="1"/>
        <v>0</v>
      </c>
      <c r="AG4" s="5">
        <f t="shared" si="1"/>
        <v>1</v>
      </c>
      <c r="AH4" s="5">
        <f t="shared" si="1"/>
        <v>9</v>
      </c>
      <c r="AI4" s="5">
        <f t="shared" si="1"/>
        <v>4</v>
      </c>
      <c r="AJ4" s="5">
        <f t="shared" si="1"/>
        <v>0</v>
      </c>
      <c r="AK4" s="5">
        <f t="shared" si="1"/>
        <v>1</v>
      </c>
      <c r="AL4" s="5">
        <f t="shared" si="1"/>
        <v>24</v>
      </c>
      <c r="AM4" s="5">
        <f t="shared" si="1"/>
        <v>1</v>
      </c>
      <c r="AN4" s="5">
        <f t="shared" si="1"/>
        <v>15</v>
      </c>
      <c r="AO4" s="5">
        <f t="shared" si="1"/>
        <v>2</v>
      </c>
      <c r="AP4" s="5">
        <f t="shared" si="1"/>
        <v>1</v>
      </c>
      <c r="AQ4" s="5">
        <f t="shared" si="1"/>
        <v>16</v>
      </c>
      <c r="AR4" s="5">
        <f t="shared" si="1"/>
        <v>4</v>
      </c>
      <c r="AS4" s="5">
        <f t="shared" si="1"/>
        <v>6</v>
      </c>
      <c r="AT4" s="5">
        <f t="shared" si="1"/>
        <v>1</v>
      </c>
      <c r="AU4" s="5">
        <f t="shared" si="1"/>
        <v>1</v>
      </c>
      <c r="AV4" s="5">
        <f t="shared" si="1"/>
        <v>1</v>
      </c>
      <c r="AW4" s="5">
        <f t="shared" si="1"/>
        <v>5</v>
      </c>
      <c r="AX4" s="5">
        <f t="shared" si="1"/>
        <v>2</v>
      </c>
      <c r="AY4" s="5">
        <f t="shared" si="1"/>
        <v>1</v>
      </c>
      <c r="AZ4" s="5">
        <f t="shared" si="1"/>
        <v>6</v>
      </c>
      <c r="BA4" s="5">
        <f t="shared" si="1"/>
        <v>0</v>
      </c>
      <c r="BB4" s="5">
        <f t="shared" si="1"/>
        <v>20</v>
      </c>
      <c r="BC4" s="5">
        <f t="shared" si="1"/>
        <v>2</v>
      </c>
      <c r="BD4" s="5">
        <f t="shared" si="1"/>
        <v>0</v>
      </c>
      <c r="BE4" s="5">
        <f t="shared" si="1"/>
        <v>4</v>
      </c>
      <c r="BF4" s="5">
        <f t="shared" si="1"/>
        <v>3</v>
      </c>
      <c r="BG4" s="5">
        <f t="shared" si="1"/>
        <v>7</v>
      </c>
      <c r="BH4" s="5">
        <f t="shared" si="1"/>
        <v>2</v>
      </c>
      <c r="BI4" s="5">
        <f t="shared" si="1"/>
        <v>15</v>
      </c>
      <c r="BJ4" s="5">
        <f t="shared" si="1"/>
        <v>32</v>
      </c>
      <c r="BK4" s="5">
        <f t="shared" si="1"/>
        <v>4</v>
      </c>
      <c r="BL4" s="5">
        <f t="shared" si="1"/>
        <v>3</v>
      </c>
      <c r="BM4" s="5">
        <f t="shared" si="1"/>
        <v>4</v>
      </c>
      <c r="BN4" s="5">
        <f t="shared" si="1"/>
        <v>5</v>
      </c>
      <c r="BO4" s="5">
        <f t="shared" si="1"/>
        <v>0</v>
      </c>
      <c r="BP4" s="5">
        <f t="shared" si="1"/>
        <v>4</v>
      </c>
      <c r="BQ4" s="5">
        <f t="shared" si="1"/>
        <v>9</v>
      </c>
      <c r="BR4" s="5">
        <f t="shared" si="1"/>
        <v>1</v>
      </c>
      <c r="BS4" s="5">
        <f t="shared" si="1"/>
        <v>0</v>
      </c>
      <c r="BT4" s="5">
        <f t="shared" si="1"/>
        <v>0</v>
      </c>
      <c r="BU4" s="5">
        <f t="shared" si="1"/>
        <v>1</v>
      </c>
      <c r="BV4" s="5">
        <f t="shared" si="1"/>
        <v>1</v>
      </c>
      <c r="BW4" s="5">
        <f t="shared" si="1"/>
        <v>1</v>
      </c>
      <c r="BX4" s="5">
        <f t="shared" si="1"/>
        <v>1</v>
      </c>
      <c r="BY4" s="5">
        <f t="shared" si="1"/>
        <v>0</v>
      </c>
      <c r="BZ4" s="5">
        <f t="shared" si="1"/>
        <v>2</v>
      </c>
      <c r="CA4" s="5">
        <f t="shared" si="1"/>
        <v>5</v>
      </c>
      <c r="CB4" s="5">
        <f t="shared" si="1"/>
        <v>2</v>
      </c>
      <c r="CC4" s="5">
        <f t="shared" si="1"/>
        <v>1</v>
      </c>
      <c r="CD4" s="5">
        <f t="shared" si="1"/>
        <v>36</v>
      </c>
    </row>
    <row r="5" ht="15.0" customHeight="1">
      <c r="A5" s="3" t="s">
        <v>73</v>
      </c>
      <c r="C5" s="5">
        <f t="shared" ref="C5:CD5" si="2">SUM(C7:C172)</f>
        <v>156</v>
      </c>
      <c r="D5" s="5">
        <f t="shared" si="2"/>
        <v>2</v>
      </c>
      <c r="E5" s="5">
        <f t="shared" si="2"/>
        <v>0</v>
      </c>
      <c r="F5" s="5">
        <f t="shared" si="2"/>
        <v>4</v>
      </c>
      <c r="G5" s="5">
        <f t="shared" si="2"/>
        <v>4</v>
      </c>
      <c r="H5" s="5">
        <f t="shared" si="2"/>
        <v>1</v>
      </c>
      <c r="I5" s="5">
        <f t="shared" si="2"/>
        <v>6</v>
      </c>
      <c r="J5" s="5">
        <f t="shared" si="2"/>
        <v>0</v>
      </c>
      <c r="K5" s="5">
        <f t="shared" si="2"/>
        <v>49</v>
      </c>
      <c r="L5" s="5">
        <f t="shared" si="2"/>
        <v>0</v>
      </c>
      <c r="M5" s="5">
        <f t="shared" si="2"/>
        <v>3</v>
      </c>
      <c r="N5" s="5">
        <f t="shared" si="2"/>
        <v>1</v>
      </c>
      <c r="O5" s="5">
        <f t="shared" si="2"/>
        <v>4</v>
      </c>
      <c r="P5" s="5">
        <f t="shared" si="2"/>
        <v>3</v>
      </c>
      <c r="Q5" s="5">
        <f t="shared" si="2"/>
        <v>1</v>
      </c>
      <c r="R5" s="5">
        <f t="shared" si="2"/>
        <v>6</v>
      </c>
      <c r="S5" s="5">
        <f t="shared" si="2"/>
        <v>0</v>
      </c>
      <c r="T5" s="5">
        <f t="shared" si="2"/>
        <v>0</v>
      </c>
      <c r="U5" s="5">
        <f t="shared" si="2"/>
        <v>1</v>
      </c>
      <c r="V5" s="5">
        <f t="shared" si="2"/>
        <v>0</v>
      </c>
      <c r="W5" s="5">
        <f t="shared" si="2"/>
        <v>0</v>
      </c>
      <c r="X5" s="5">
        <f t="shared" si="2"/>
        <v>4</v>
      </c>
      <c r="Y5" s="5">
        <f t="shared" si="2"/>
        <v>3</v>
      </c>
      <c r="Z5" s="5">
        <f t="shared" si="2"/>
        <v>3</v>
      </c>
      <c r="AA5" s="5">
        <f t="shared" si="2"/>
        <v>0</v>
      </c>
      <c r="AB5" s="5">
        <f t="shared" si="2"/>
        <v>19</v>
      </c>
      <c r="AC5" s="5">
        <f t="shared" si="2"/>
        <v>2</v>
      </c>
      <c r="AD5" s="5">
        <f t="shared" si="2"/>
        <v>1</v>
      </c>
      <c r="AE5" s="5">
        <f t="shared" si="2"/>
        <v>44</v>
      </c>
      <c r="AF5" s="5">
        <f t="shared" si="2"/>
        <v>0</v>
      </c>
      <c r="AG5" s="5">
        <f t="shared" si="2"/>
        <v>1</v>
      </c>
      <c r="AH5" s="5">
        <f t="shared" si="2"/>
        <v>8</v>
      </c>
      <c r="AI5" s="5">
        <f t="shared" si="2"/>
        <v>4</v>
      </c>
      <c r="AJ5" s="5">
        <f t="shared" si="2"/>
        <v>0</v>
      </c>
      <c r="AK5" s="5">
        <f t="shared" si="2"/>
        <v>1</v>
      </c>
      <c r="AL5" s="5">
        <f t="shared" si="2"/>
        <v>24</v>
      </c>
      <c r="AM5" s="5">
        <f t="shared" si="2"/>
        <v>1</v>
      </c>
      <c r="AN5" s="5">
        <f t="shared" si="2"/>
        <v>14</v>
      </c>
      <c r="AO5" s="5">
        <f t="shared" si="2"/>
        <v>2</v>
      </c>
      <c r="AP5" s="5">
        <f t="shared" si="2"/>
        <v>1</v>
      </c>
      <c r="AQ5" s="5">
        <f t="shared" si="2"/>
        <v>16</v>
      </c>
      <c r="AR5" s="5">
        <f t="shared" si="2"/>
        <v>3</v>
      </c>
      <c r="AS5" s="5">
        <f t="shared" si="2"/>
        <v>6</v>
      </c>
      <c r="AT5" s="5">
        <f t="shared" si="2"/>
        <v>1</v>
      </c>
      <c r="AU5" s="5">
        <f t="shared" si="2"/>
        <v>1</v>
      </c>
      <c r="AV5" s="5">
        <f t="shared" si="2"/>
        <v>1</v>
      </c>
      <c r="AW5" s="5">
        <f t="shared" si="2"/>
        <v>5</v>
      </c>
      <c r="AX5" s="5">
        <f t="shared" si="2"/>
        <v>2</v>
      </c>
      <c r="AY5" s="5">
        <f t="shared" si="2"/>
        <v>1</v>
      </c>
      <c r="AZ5" s="5">
        <f t="shared" si="2"/>
        <v>6</v>
      </c>
      <c r="BA5" s="5">
        <f t="shared" si="2"/>
        <v>0</v>
      </c>
      <c r="BB5" s="5">
        <f t="shared" si="2"/>
        <v>18</v>
      </c>
      <c r="BC5" s="5">
        <f t="shared" si="2"/>
        <v>2</v>
      </c>
      <c r="BD5" s="5">
        <f t="shared" si="2"/>
        <v>0</v>
      </c>
      <c r="BE5" s="5">
        <f t="shared" si="2"/>
        <v>4</v>
      </c>
      <c r="BF5" s="5">
        <f t="shared" si="2"/>
        <v>3</v>
      </c>
      <c r="BG5" s="5">
        <f t="shared" si="2"/>
        <v>6</v>
      </c>
      <c r="BH5" s="5">
        <f t="shared" si="2"/>
        <v>2</v>
      </c>
      <c r="BI5" s="5">
        <f t="shared" si="2"/>
        <v>14</v>
      </c>
      <c r="BJ5" s="5">
        <f t="shared" si="2"/>
        <v>32</v>
      </c>
      <c r="BK5" s="5">
        <f t="shared" si="2"/>
        <v>3</v>
      </c>
      <c r="BL5" s="5">
        <f t="shared" si="2"/>
        <v>3</v>
      </c>
      <c r="BM5" s="5">
        <f t="shared" si="2"/>
        <v>4</v>
      </c>
      <c r="BN5" s="5">
        <f t="shared" si="2"/>
        <v>5</v>
      </c>
      <c r="BO5" s="5">
        <f t="shared" si="2"/>
        <v>0</v>
      </c>
      <c r="BP5" s="5">
        <f t="shared" si="2"/>
        <v>4</v>
      </c>
      <c r="BQ5" s="5">
        <f t="shared" si="2"/>
        <v>9</v>
      </c>
      <c r="BR5" s="5">
        <f t="shared" si="2"/>
        <v>1</v>
      </c>
      <c r="BS5" s="5">
        <f t="shared" si="2"/>
        <v>0</v>
      </c>
      <c r="BT5" s="5">
        <f t="shared" si="2"/>
        <v>0</v>
      </c>
      <c r="BU5" s="5">
        <f t="shared" si="2"/>
        <v>1</v>
      </c>
      <c r="BV5" s="5">
        <f t="shared" si="2"/>
        <v>1</v>
      </c>
      <c r="BW5" s="5">
        <f t="shared" si="2"/>
        <v>1</v>
      </c>
      <c r="BX5" s="5">
        <f t="shared" si="2"/>
        <v>1</v>
      </c>
      <c r="BY5" s="5">
        <f t="shared" si="2"/>
        <v>0</v>
      </c>
      <c r="BZ5" s="5">
        <f t="shared" si="2"/>
        <v>2</v>
      </c>
      <c r="CA5" s="5">
        <f t="shared" si="2"/>
        <v>5</v>
      </c>
      <c r="CB5" s="5">
        <f t="shared" si="2"/>
        <v>2</v>
      </c>
      <c r="CC5" s="5">
        <f t="shared" si="2"/>
        <v>1</v>
      </c>
      <c r="CD5" s="5">
        <f t="shared" si="2"/>
        <v>35</v>
      </c>
    </row>
    <row r="6" ht="15.0" customHeight="1">
      <c r="A6" s="3" t="s">
        <v>74</v>
      </c>
      <c r="C6" s="5">
        <f t="shared" ref="C6:CD6" si="3">C5/166</f>
        <v>0.9397590361</v>
      </c>
      <c r="D6" s="5">
        <f t="shared" si="3"/>
        <v>0.01204819277</v>
      </c>
      <c r="E6" s="5">
        <f t="shared" si="3"/>
        <v>0</v>
      </c>
      <c r="F6" s="5">
        <f t="shared" si="3"/>
        <v>0.02409638554</v>
      </c>
      <c r="G6" s="5">
        <f t="shared" si="3"/>
        <v>0.02409638554</v>
      </c>
      <c r="H6" s="5">
        <f t="shared" si="3"/>
        <v>0.006024096386</v>
      </c>
      <c r="I6" s="5">
        <f t="shared" si="3"/>
        <v>0.03614457831</v>
      </c>
      <c r="J6" s="5">
        <f t="shared" si="3"/>
        <v>0</v>
      </c>
      <c r="K6" s="5">
        <f t="shared" si="3"/>
        <v>0.2951807229</v>
      </c>
      <c r="L6" s="5">
        <f t="shared" si="3"/>
        <v>0</v>
      </c>
      <c r="M6" s="5">
        <f t="shared" si="3"/>
        <v>0.01807228916</v>
      </c>
      <c r="N6" s="5">
        <f t="shared" si="3"/>
        <v>0.006024096386</v>
      </c>
      <c r="O6" s="5">
        <f t="shared" si="3"/>
        <v>0.02409638554</v>
      </c>
      <c r="P6" s="5">
        <f t="shared" si="3"/>
        <v>0.01807228916</v>
      </c>
      <c r="Q6" s="5">
        <f t="shared" si="3"/>
        <v>0.006024096386</v>
      </c>
      <c r="R6" s="5">
        <f t="shared" si="3"/>
        <v>0.03614457831</v>
      </c>
      <c r="S6" s="5">
        <f t="shared" si="3"/>
        <v>0</v>
      </c>
      <c r="T6" s="5">
        <f t="shared" si="3"/>
        <v>0</v>
      </c>
      <c r="U6" s="5">
        <f t="shared" si="3"/>
        <v>0.006024096386</v>
      </c>
      <c r="V6" s="5">
        <f t="shared" si="3"/>
        <v>0</v>
      </c>
      <c r="W6" s="5">
        <f t="shared" si="3"/>
        <v>0</v>
      </c>
      <c r="X6" s="5">
        <f t="shared" si="3"/>
        <v>0.02409638554</v>
      </c>
      <c r="Y6" s="5">
        <f t="shared" si="3"/>
        <v>0.01807228916</v>
      </c>
      <c r="Z6" s="5">
        <f t="shared" si="3"/>
        <v>0.01807228916</v>
      </c>
      <c r="AA6" s="5">
        <f t="shared" si="3"/>
        <v>0</v>
      </c>
      <c r="AB6" s="5">
        <f t="shared" si="3"/>
        <v>0.1144578313</v>
      </c>
      <c r="AC6" s="5">
        <f t="shared" si="3"/>
        <v>0.01204819277</v>
      </c>
      <c r="AD6" s="5">
        <f t="shared" si="3"/>
        <v>0.006024096386</v>
      </c>
      <c r="AE6" s="5">
        <f t="shared" si="3"/>
        <v>0.265060241</v>
      </c>
      <c r="AF6" s="5">
        <f t="shared" si="3"/>
        <v>0</v>
      </c>
      <c r="AG6" s="5">
        <f t="shared" si="3"/>
        <v>0.006024096386</v>
      </c>
      <c r="AH6" s="5">
        <f t="shared" si="3"/>
        <v>0.04819277108</v>
      </c>
      <c r="AI6" s="5">
        <f t="shared" si="3"/>
        <v>0.02409638554</v>
      </c>
      <c r="AJ6" s="5">
        <f t="shared" si="3"/>
        <v>0</v>
      </c>
      <c r="AK6" s="5">
        <f t="shared" si="3"/>
        <v>0.006024096386</v>
      </c>
      <c r="AL6" s="5">
        <f t="shared" si="3"/>
        <v>0.1445783133</v>
      </c>
      <c r="AM6" s="5">
        <f t="shared" si="3"/>
        <v>0.006024096386</v>
      </c>
      <c r="AN6" s="5">
        <f t="shared" si="3"/>
        <v>0.0843373494</v>
      </c>
      <c r="AO6" s="5">
        <f t="shared" si="3"/>
        <v>0.01204819277</v>
      </c>
      <c r="AP6" s="5">
        <f t="shared" si="3"/>
        <v>0.006024096386</v>
      </c>
      <c r="AQ6" s="5">
        <f t="shared" si="3"/>
        <v>0.09638554217</v>
      </c>
      <c r="AR6" s="5">
        <f t="shared" si="3"/>
        <v>0.01807228916</v>
      </c>
      <c r="AS6" s="5">
        <f t="shared" si="3"/>
        <v>0.03614457831</v>
      </c>
      <c r="AT6" s="5">
        <f t="shared" si="3"/>
        <v>0.006024096386</v>
      </c>
      <c r="AU6" s="5">
        <f t="shared" si="3"/>
        <v>0.006024096386</v>
      </c>
      <c r="AV6" s="5">
        <f t="shared" si="3"/>
        <v>0.006024096386</v>
      </c>
      <c r="AW6" s="5">
        <f t="shared" si="3"/>
        <v>0.03012048193</v>
      </c>
      <c r="AX6" s="5">
        <f t="shared" si="3"/>
        <v>0.01204819277</v>
      </c>
      <c r="AY6" s="5">
        <f t="shared" si="3"/>
        <v>0.006024096386</v>
      </c>
      <c r="AZ6" s="5">
        <f t="shared" si="3"/>
        <v>0.03614457831</v>
      </c>
      <c r="BA6" s="5">
        <f t="shared" si="3"/>
        <v>0</v>
      </c>
      <c r="BB6" s="5">
        <f t="shared" si="3"/>
        <v>0.1084337349</v>
      </c>
      <c r="BC6" s="5">
        <f t="shared" si="3"/>
        <v>0.01204819277</v>
      </c>
      <c r="BD6" s="5">
        <f t="shared" si="3"/>
        <v>0</v>
      </c>
      <c r="BE6" s="5">
        <f t="shared" si="3"/>
        <v>0.02409638554</v>
      </c>
      <c r="BF6" s="5">
        <f t="shared" si="3"/>
        <v>0.01807228916</v>
      </c>
      <c r="BG6" s="5">
        <f t="shared" si="3"/>
        <v>0.03614457831</v>
      </c>
      <c r="BH6" s="5">
        <f t="shared" si="3"/>
        <v>0.01204819277</v>
      </c>
      <c r="BI6" s="5">
        <f t="shared" si="3"/>
        <v>0.0843373494</v>
      </c>
      <c r="BJ6" s="5">
        <f t="shared" si="3"/>
        <v>0.1927710843</v>
      </c>
      <c r="BK6" s="5">
        <f t="shared" si="3"/>
        <v>0.01807228916</v>
      </c>
      <c r="BL6" s="5">
        <f t="shared" si="3"/>
        <v>0.01807228916</v>
      </c>
      <c r="BM6" s="5">
        <f t="shared" si="3"/>
        <v>0.02409638554</v>
      </c>
      <c r="BN6" s="5">
        <f t="shared" si="3"/>
        <v>0.03012048193</v>
      </c>
      <c r="BO6" s="5">
        <f t="shared" si="3"/>
        <v>0</v>
      </c>
      <c r="BP6" s="5">
        <f t="shared" si="3"/>
        <v>0.02409638554</v>
      </c>
      <c r="BQ6" s="5">
        <f t="shared" si="3"/>
        <v>0.05421686747</v>
      </c>
      <c r="BR6" s="5">
        <f t="shared" si="3"/>
        <v>0.006024096386</v>
      </c>
      <c r="BS6" s="5">
        <f t="shared" si="3"/>
        <v>0</v>
      </c>
      <c r="BT6" s="5">
        <f t="shared" si="3"/>
        <v>0</v>
      </c>
      <c r="BU6" s="5">
        <f t="shared" si="3"/>
        <v>0.006024096386</v>
      </c>
      <c r="BV6" s="5">
        <f t="shared" si="3"/>
        <v>0.006024096386</v>
      </c>
      <c r="BW6" s="5">
        <f t="shared" si="3"/>
        <v>0.006024096386</v>
      </c>
      <c r="BX6" s="5">
        <f t="shared" si="3"/>
        <v>0.006024096386</v>
      </c>
      <c r="BY6" s="5">
        <f t="shared" si="3"/>
        <v>0</v>
      </c>
      <c r="BZ6" s="5">
        <f t="shared" si="3"/>
        <v>0.01204819277</v>
      </c>
      <c r="CA6" s="5">
        <f t="shared" si="3"/>
        <v>0.03012048193</v>
      </c>
      <c r="CB6" s="5">
        <f t="shared" si="3"/>
        <v>0.01204819277</v>
      </c>
      <c r="CC6" s="5">
        <f t="shared" si="3"/>
        <v>0.006024096386</v>
      </c>
      <c r="CD6" s="5">
        <f t="shared" si="3"/>
        <v>0.2108433735</v>
      </c>
    </row>
    <row r="7" ht="15.0" customHeight="1">
      <c r="A7" s="8" t="s">
        <v>75</v>
      </c>
      <c r="B7" s="8">
        <v>281.0</v>
      </c>
      <c r="C7" s="8">
        <v>1.0</v>
      </c>
      <c r="K7" s="8">
        <v>1.0</v>
      </c>
      <c r="R7" s="8">
        <v>1.0</v>
      </c>
      <c r="AB7" s="8">
        <v>1.0</v>
      </c>
      <c r="AL7" s="8">
        <v>1.0</v>
      </c>
      <c r="AQ7" s="8">
        <v>1.0</v>
      </c>
    </row>
    <row r="8" ht="15.0" customHeight="1">
      <c r="A8" s="8" t="s">
        <v>75</v>
      </c>
      <c r="B8" s="8">
        <v>282.0</v>
      </c>
      <c r="C8" s="8">
        <v>1.0</v>
      </c>
      <c r="K8" s="8">
        <v>1.0</v>
      </c>
      <c r="Y8" s="8">
        <v>1.0</v>
      </c>
      <c r="AH8" s="8">
        <v>1.0</v>
      </c>
    </row>
    <row r="9" ht="15.0" customHeight="1">
      <c r="A9" s="8" t="s">
        <v>188</v>
      </c>
      <c r="B9" s="8">
        <v>283.0</v>
      </c>
      <c r="C9" s="8">
        <v>1.0</v>
      </c>
      <c r="K9" s="8">
        <v>1.0</v>
      </c>
      <c r="R9" s="8">
        <v>1.0</v>
      </c>
      <c r="AL9" s="8">
        <v>1.0</v>
      </c>
      <c r="AQ9" s="8">
        <v>1.0</v>
      </c>
    </row>
    <row r="10" ht="15.0" customHeight="1">
      <c r="A10" s="8" t="s">
        <v>188</v>
      </c>
      <c r="B10" s="8">
        <v>284.0</v>
      </c>
      <c r="K10" s="8">
        <v>1.0</v>
      </c>
      <c r="AE10" s="8">
        <v>1.0</v>
      </c>
      <c r="AL10" s="8">
        <v>1.0</v>
      </c>
      <c r="AO10" s="8">
        <v>1.0</v>
      </c>
      <c r="AP10" s="8">
        <v>1.0</v>
      </c>
      <c r="AR10" s="8">
        <v>1.0</v>
      </c>
      <c r="BK10" s="8">
        <v>1.0</v>
      </c>
      <c r="CD10" s="8">
        <v>1.0</v>
      </c>
    </row>
    <row r="11" ht="15.0" customHeight="1">
      <c r="A11" s="8" t="s">
        <v>76</v>
      </c>
      <c r="B11" s="8">
        <v>285.0</v>
      </c>
      <c r="C11" s="8">
        <v>1.0</v>
      </c>
      <c r="K11" s="8">
        <v>1.0</v>
      </c>
      <c r="R11" s="8">
        <v>1.0</v>
      </c>
      <c r="AB11" s="8">
        <v>1.0</v>
      </c>
    </row>
    <row r="12" ht="15.0" customHeight="1">
      <c r="A12" s="8" t="s">
        <v>76</v>
      </c>
      <c r="B12" s="8">
        <v>286.0</v>
      </c>
      <c r="AL12" s="8">
        <v>1.0</v>
      </c>
      <c r="BJ12" s="8">
        <v>1.0</v>
      </c>
      <c r="BQ12" s="8">
        <v>1.0</v>
      </c>
    </row>
    <row r="13" ht="15.0" customHeight="1">
      <c r="A13" s="8" t="s">
        <v>77</v>
      </c>
      <c r="B13" s="8">
        <v>287.0</v>
      </c>
      <c r="K13" s="8">
        <v>1.0</v>
      </c>
      <c r="BF13" s="8">
        <v>1.0</v>
      </c>
    </row>
    <row r="14" ht="15.0" customHeight="1">
      <c r="A14" s="8" t="s">
        <v>78</v>
      </c>
      <c r="B14" s="8">
        <v>288.0</v>
      </c>
      <c r="C14" s="8">
        <v>1.0</v>
      </c>
      <c r="K14" s="8">
        <v>1.0</v>
      </c>
      <c r="AZ14" s="8">
        <v>1.0</v>
      </c>
      <c r="CD14" s="8">
        <v>1.0</v>
      </c>
    </row>
    <row r="15" ht="15.0" customHeight="1">
      <c r="A15" s="8" t="s">
        <v>79</v>
      </c>
      <c r="B15" s="8">
        <v>289.0</v>
      </c>
      <c r="C15" s="8">
        <v>1.0</v>
      </c>
      <c r="K15" s="8">
        <v>1.0</v>
      </c>
    </row>
    <row r="16" ht="15.0" customHeight="1">
      <c r="A16" s="8" t="s">
        <v>79</v>
      </c>
      <c r="B16" s="8">
        <v>290.0</v>
      </c>
      <c r="K16" s="8">
        <v>1.0</v>
      </c>
      <c r="P16" s="8">
        <v>1.0</v>
      </c>
      <c r="AB16" s="8">
        <v>1.0</v>
      </c>
      <c r="AE16" s="8">
        <v>1.0</v>
      </c>
    </row>
    <row r="17" ht="15.0" customHeight="1">
      <c r="A17" s="8" t="s">
        <v>80</v>
      </c>
      <c r="B17" s="8">
        <v>291.0</v>
      </c>
      <c r="K17" s="8">
        <v>1.0</v>
      </c>
    </row>
    <row r="18" ht="15.0" customHeight="1">
      <c r="A18" s="8" t="s">
        <v>81</v>
      </c>
      <c r="B18" s="8">
        <v>292.0</v>
      </c>
      <c r="C18" s="8">
        <v>1.0</v>
      </c>
      <c r="K18" s="8">
        <v>1.0</v>
      </c>
      <c r="AS18" s="8">
        <v>1.0</v>
      </c>
      <c r="AW18" s="8">
        <v>1.0</v>
      </c>
    </row>
    <row r="19" ht="15.0" customHeight="1">
      <c r="A19" s="8" t="s">
        <v>81</v>
      </c>
      <c r="B19" s="8">
        <v>293.0</v>
      </c>
      <c r="K19" s="8">
        <v>1.0</v>
      </c>
      <c r="R19" s="8">
        <v>1.0</v>
      </c>
    </row>
    <row r="20" ht="15.0" customHeight="1">
      <c r="A20" s="8" t="s">
        <v>82</v>
      </c>
      <c r="B20" s="8">
        <v>294.0</v>
      </c>
      <c r="C20" s="8">
        <v>1.0</v>
      </c>
      <c r="K20" s="8">
        <v>1.0</v>
      </c>
      <c r="R20" s="8">
        <v>1.0</v>
      </c>
      <c r="AB20" s="8">
        <v>1.0</v>
      </c>
      <c r="AE20" s="8">
        <v>1.0</v>
      </c>
      <c r="AL20" s="8">
        <v>1.0</v>
      </c>
      <c r="AQ20" s="8">
        <v>1.0</v>
      </c>
      <c r="BF20" s="8">
        <v>1.0</v>
      </c>
      <c r="BJ20" s="8">
        <v>1.0</v>
      </c>
    </row>
    <row r="21" ht="15.0" customHeight="1">
      <c r="A21" s="8" t="s">
        <v>82</v>
      </c>
      <c r="B21" s="8">
        <v>295.0</v>
      </c>
      <c r="K21" s="8">
        <v>1.0</v>
      </c>
      <c r="O21" s="8">
        <v>1.0</v>
      </c>
      <c r="U21" s="8">
        <v>1.0</v>
      </c>
      <c r="Y21" s="8">
        <v>1.0</v>
      </c>
      <c r="BF21" s="8">
        <v>1.0</v>
      </c>
    </row>
    <row r="22" ht="15.0" customHeight="1">
      <c r="A22" s="8" t="s">
        <v>83</v>
      </c>
      <c r="B22" s="8">
        <v>296.0</v>
      </c>
      <c r="C22" s="8">
        <v>1.0</v>
      </c>
      <c r="K22" s="8">
        <v>1.0</v>
      </c>
      <c r="R22" s="8">
        <v>1.0</v>
      </c>
      <c r="AL22" s="8">
        <v>1.0</v>
      </c>
      <c r="BB22" s="8">
        <v>1.0</v>
      </c>
      <c r="BJ22" s="8">
        <v>1.0</v>
      </c>
      <c r="CD22" s="8">
        <v>1.0</v>
      </c>
    </row>
    <row r="23" ht="15.0" customHeight="1">
      <c r="A23" s="8" t="s">
        <v>83</v>
      </c>
      <c r="B23" s="8">
        <v>297.0</v>
      </c>
      <c r="K23" s="8">
        <v>1.0</v>
      </c>
    </row>
    <row r="24" ht="15.0" customHeight="1">
      <c r="A24" s="8" t="s">
        <v>214</v>
      </c>
      <c r="B24" s="8">
        <v>298.0</v>
      </c>
      <c r="C24" s="8">
        <v>1.0</v>
      </c>
      <c r="K24" s="8">
        <v>1.0</v>
      </c>
    </row>
    <row r="25" ht="15.0" customHeight="1">
      <c r="A25" s="8" t="s">
        <v>176</v>
      </c>
      <c r="B25" s="8">
        <v>299.0</v>
      </c>
      <c r="C25" s="8">
        <v>1.0</v>
      </c>
    </row>
    <row r="26" ht="15.0" customHeight="1">
      <c r="A26" s="8" t="s">
        <v>176</v>
      </c>
      <c r="B26" s="8">
        <v>300.0</v>
      </c>
      <c r="C26" s="8">
        <v>1.0</v>
      </c>
      <c r="K26" s="8">
        <v>1.0</v>
      </c>
      <c r="AH26" s="8">
        <v>1.0</v>
      </c>
      <c r="BB26" s="8">
        <v>1.0</v>
      </c>
    </row>
    <row r="27" ht="15.0" customHeight="1">
      <c r="A27" s="8" t="s">
        <v>84</v>
      </c>
      <c r="B27" s="8">
        <v>301.0</v>
      </c>
      <c r="C27" s="8">
        <v>1.0</v>
      </c>
      <c r="AH27" s="8">
        <v>1.0</v>
      </c>
    </row>
    <row r="28" ht="15.0" customHeight="1">
      <c r="A28" s="8" t="s">
        <v>85</v>
      </c>
      <c r="B28" s="8">
        <v>302.0</v>
      </c>
      <c r="C28" s="8">
        <v>1.0</v>
      </c>
    </row>
    <row r="29" ht="15.0" customHeight="1">
      <c r="A29" s="8" t="s">
        <v>85</v>
      </c>
      <c r="B29" s="8">
        <v>303.0</v>
      </c>
      <c r="C29" s="8">
        <v>1.0</v>
      </c>
      <c r="AE29" s="8">
        <v>1.0</v>
      </c>
    </row>
    <row r="30" ht="15.0" customHeight="1">
      <c r="A30" s="8" t="s">
        <v>86</v>
      </c>
      <c r="B30" s="8">
        <v>304.0</v>
      </c>
      <c r="C30" s="8">
        <v>1.0</v>
      </c>
      <c r="Z30" s="8">
        <v>1.0</v>
      </c>
      <c r="AI30" s="8">
        <v>1.0</v>
      </c>
      <c r="AS30" s="8">
        <v>1.0</v>
      </c>
    </row>
    <row r="31" ht="15.0" customHeight="1">
      <c r="A31" s="8" t="s">
        <v>87</v>
      </c>
      <c r="B31" s="8">
        <v>305.0</v>
      </c>
      <c r="C31" s="8">
        <v>1.0</v>
      </c>
      <c r="AL31" s="8">
        <v>1.0</v>
      </c>
      <c r="CD31" s="8">
        <v>1.0</v>
      </c>
    </row>
    <row r="32" ht="15.0" customHeight="1">
      <c r="A32" s="8" t="s">
        <v>198</v>
      </c>
      <c r="B32" s="8">
        <v>306.0</v>
      </c>
      <c r="C32" s="8">
        <v>1.0</v>
      </c>
      <c r="BI32" s="8">
        <v>1.0</v>
      </c>
      <c r="BJ32" s="8">
        <v>1.0</v>
      </c>
    </row>
    <row r="33" ht="15.0" customHeight="1">
      <c r="A33" s="8" t="s">
        <v>384</v>
      </c>
      <c r="B33" s="8">
        <v>307.0</v>
      </c>
      <c r="C33" s="8">
        <v>1.0</v>
      </c>
      <c r="AI33" s="8">
        <v>1.0</v>
      </c>
      <c r="AZ33" s="8">
        <v>1.0</v>
      </c>
    </row>
    <row r="34" ht="15.0" customHeight="1">
      <c r="A34" s="8" t="s">
        <v>88</v>
      </c>
      <c r="B34" s="8">
        <v>308.0</v>
      </c>
      <c r="C34" s="8">
        <v>1.0</v>
      </c>
      <c r="AL34" s="8">
        <v>1.0</v>
      </c>
      <c r="CD34" s="8">
        <v>1.0</v>
      </c>
    </row>
    <row r="35" ht="15.0" customHeight="1">
      <c r="A35" s="8" t="s">
        <v>88</v>
      </c>
      <c r="B35" s="8">
        <v>309.0</v>
      </c>
      <c r="C35" s="8">
        <v>1.0</v>
      </c>
      <c r="AL35" s="8">
        <v>1.0</v>
      </c>
    </row>
    <row r="36" ht="15.0" customHeight="1">
      <c r="A36" s="8" t="s">
        <v>88</v>
      </c>
      <c r="B36" s="8">
        <v>310.0</v>
      </c>
      <c r="C36" s="8">
        <v>1.0</v>
      </c>
      <c r="F36" s="8">
        <v>1.0</v>
      </c>
      <c r="AE36" s="8">
        <v>1.0</v>
      </c>
      <c r="AL36" s="8">
        <v>1.0</v>
      </c>
      <c r="AQ36" s="8">
        <v>1.0</v>
      </c>
      <c r="AS36" s="8">
        <v>1.0</v>
      </c>
      <c r="BM36" s="8">
        <v>1.0</v>
      </c>
    </row>
    <row r="37" ht="15.0" customHeight="1">
      <c r="A37" s="8" t="s">
        <v>89</v>
      </c>
      <c r="B37" s="8">
        <v>311.0</v>
      </c>
      <c r="C37" s="8">
        <v>1.0</v>
      </c>
      <c r="AC37" s="8">
        <v>1.0</v>
      </c>
      <c r="AE37" s="8">
        <v>1.0</v>
      </c>
    </row>
    <row r="38" ht="15.0" customHeight="1">
      <c r="A38" s="8" t="s">
        <v>89</v>
      </c>
      <c r="B38" s="8">
        <v>312.0</v>
      </c>
      <c r="C38" s="8">
        <v>1.0</v>
      </c>
      <c r="G38" s="8">
        <v>1.0</v>
      </c>
      <c r="AZ38" s="8">
        <v>1.0</v>
      </c>
      <c r="BJ38" s="8">
        <v>1.0</v>
      </c>
    </row>
    <row r="39" ht="15.0" customHeight="1">
      <c r="A39" s="8" t="s">
        <v>89</v>
      </c>
      <c r="B39" s="8">
        <v>313.0</v>
      </c>
      <c r="C39" s="8">
        <v>1.0</v>
      </c>
      <c r="F39" s="8">
        <v>1.0</v>
      </c>
      <c r="AB39" s="8">
        <v>1.0</v>
      </c>
      <c r="AE39" s="8">
        <v>1.0</v>
      </c>
      <c r="AQ39" s="8">
        <v>1.0</v>
      </c>
      <c r="AS39" s="8">
        <v>1.0</v>
      </c>
      <c r="BE39" s="8">
        <v>1.0</v>
      </c>
      <c r="BI39" s="8">
        <v>1.0</v>
      </c>
    </row>
    <row r="40" ht="15.0" customHeight="1">
      <c r="A40" s="8" t="s">
        <v>89</v>
      </c>
      <c r="B40" s="8">
        <v>314.0</v>
      </c>
      <c r="C40" s="8">
        <v>1.0</v>
      </c>
      <c r="AL40" s="8">
        <v>1.0</v>
      </c>
      <c r="AQ40" s="8">
        <v>1.0</v>
      </c>
      <c r="BL40" s="8">
        <v>1.0</v>
      </c>
      <c r="BM40" s="8">
        <v>1.0</v>
      </c>
    </row>
    <row r="41" ht="15.0" customHeight="1">
      <c r="A41" s="8" t="s">
        <v>212</v>
      </c>
      <c r="B41" s="8">
        <v>315.0</v>
      </c>
      <c r="C41" s="8">
        <v>1.0</v>
      </c>
      <c r="CD41" s="8">
        <v>1.0</v>
      </c>
    </row>
    <row r="42" ht="15.0" customHeight="1">
      <c r="A42" s="8" t="s">
        <v>212</v>
      </c>
      <c r="B42" s="8">
        <v>316.0</v>
      </c>
      <c r="C42" s="8">
        <v>1.0</v>
      </c>
    </row>
    <row r="43" ht="15.0" customHeight="1">
      <c r="A43" s="8" t="s">
        <v>90</v>
      </c>
      <c r="B43" s="8">
        <v>317.0</v>
      </c>
      <c r="C43" s="8">
        <v>1.0</v>
      </c>
      <c r="BQ43" s="8">
        <v>1.0</v>
      </c>
    </row>
    <row r="44" ht="15.0" customHeight="1">
      <c r="A44" s="8" t="s">
        <v>90</v>
      </c>
      <c r="B44" s="8">
        <v>318.0</v>
      </c>
      <c r="C44" s="8">
        <v>1.0</v>
      </c>
      <c r="AE44" s="8">
        <v>1.0</v>
      </c>
      <c r="AH44" s="8">
        <v>1.0</v>
      </c>
      <c r="BG44" s="8">
        <v>1.0</v>
      </c>
    </row>
    <row r="45" ht="15.0" customHeight="1">
      <c r="A45" s="8" t="s">
        <v>91</v>
      </c>
      <c r="B45" s="8">
        <v>319.0</v>
      </c>
      <c r="C45" s="8">
        <v>1.0</v>
      </c>
    </row>
    <row r="46" ht="15.0" customHeight="1">
      <c r="A46" s="8" t="s">
        <v>92</v>
      </c>
      <c r="B46" s="8">
        <v>320.0</v>
      </c>
      <c r="C46" s="8">
        <v>1.0</v>
      </c>
      <c r="K46" s="8">
        <v>1.0</v>
      </c>
      <c r="AE46" s="8">
        <v>1.0</v>
      </c>
      <c r="AL46" s="8">
        <v>1.0</v>
      </c>
      <c r="AN46" s="8">
        <v>1.0</v>
      </c>
    </row>
    <row r="47" ht="15.0" customHeight="1">
      <c r="A47" s="8" t="s">
        <v>93</v>
      </c>
      <c r="B47" s="8">
        <v>321.0</v>
      </c>
      <c r="C47" s="8">
        <v>1.0</v>
      </c>
      <c r="AL47" s="8">
        <v>1.0</v>
      </c>
      <c r="CA47" s="8">
        <v>1.0</v>
      </c>
    </row>
    <row r="48" ht="15.0" customHeight="1">
      <c r="A48" s="8" t="s">
        <v>93</v>
      </c>
      <c r="B48" s="8">
        <v>322.0</v>
      </c>
      <c r="C48" s="8">
        <v>1.0</v>
      </c>
      <c r="I48" s="8">
        <v>1.0</v>
      </c>
    </row>
    <row r="49" ht="15.0" customHeight="1">
      <c r="A49" s="8" t="s">
        <v>222</v>
      </c>
      <c r="B49" s="8">
        <v>323.0</v>
      </c>
      <c r="C49" s="8">
        <v>1.0</v>
      </c>
      <c r="K49" s="8">
        <v>1.0</v>
      </c>
      <c r="AL49" s="8">
        <v>1.0</v>
      </c>
      <c r="BH49" s="8">
        <v>1.0</v>
      </c>
      <c r="BI49" s="8">
        <v>1.0</v>
      </c>
      <c r="BJ49" s="8">
        <v>1.0</v>
      </c>
      <c r="BN49" s="8">
        <v>1.0</v>
      </c>
      <c r="CD49" s="8">
        <v>1.0</v>
      </c>
    </row>
    <row r="50" ht="15.0" customHeight="1">
      <c r="A50" s="8" t="s">
        <v>94</v>
      </c>
      <c r="B50" s="8">
        <v>324.0</v>
      </c>
      <c r="C50" s="8">
        <v>1.0</v>
      </c>
      <c r="K50" s="8">
        <v>1.0</v>
      </c>
      <c r="AB50" s="8">
        <v>1.0</v>
      </c>
      <c r="AN50" s="8">
        <v>1.0</v>
      </c>
      <c r="BN50" s="8">
        <v>1.0</v>
      </c>
      <c r="CD50" s="8">
        <v>1.0</v>
      </c>
    </row>
    <row r="51" ht="15.0" customHeight="1">
      <c r="A51" s="8" t="s">
        <v>94</v>
      </c>
      <c r="B51" s="8">
        <v>325.0</v>
      </c>
      <c r="C51" s="8">
        <v>1.0</v>
      </c>
      <c r="K51" s="8">
        <v>1.0</v>
      </c>
      <c r="X51" s="8">
        <v>1.0</v>
      </c>
    </row>
    <row r="52" ht="15.0" customHeight="1">
      <c r="A52" s="8" t="s">
        <v>95</v>
      </c>
      <c r="B52" s="8">
        <v>326.0</v>
      </c>
      <c r="C52" s="8">
        <v>1.0</v>
      </c>
      <c r="BB52" s="8">
        <v>1.0</v>
      </c>
    </row>
    <row r="53" ht="15.0" customHeight="1">
      <c r="A53" s="8" t="s">
        <v>195</v>
      </c>
      <c r="B53" s="8">
        <v>327.0</v>
      </c>
      <c r="C53" s="8">
        <v>1.0</v>
      </c>
      <c r="BB53" s="8">
        <v>1.0</v>
      </c>
      <c r="BG53" s="8">
        <v>1.0</v>
      </c>
      <c r="CD53" s="8">
        <v>1.0</v>
      </c>
    </row>
    <row r="54" ht="15.0" customHeight="1">
      <c r="A54" s="8" t="s">
        <v>381</v>
      </c>
      <c r="B54" s="8">
        <v>328.0</v>
      </c>
      <c r="C54" s="8">
        <v>1.0</v>
      </c>
    </row>
    <row r="55" ht="15.0" customHeight="1">
      <c r="A55" s="8" t="s">
        <v>96</v>
      </c>
      <c r="B55" s="8">
        <v>329.0</v>
      </c>
      <c r="C55" s="8">
        <v>1.0</v>
      </c>
      <c r="AB55" s="8">
        <v>1.0</v>
      </c>
      <c r="BQ55" s="8">
        <v>1.0</v>
      </c>
      <c r="CD55" s="8">
        <v>1.0</v>
      </c>
    </row>
    <row r="56" ht="15.0" customHeight="1">
      <c r="A56" s="8" t="s">
        <v>96</v>
      </c>
      <c r="B56" s="8">
        <v>330.0</v>
      </c>
      <c r="C56" s="8">
        <v>1.0</v>
      </c>
      <c r="K56" s="8">
        <v>1.0</v>
      </c>
    </row>
    <row r="57" ht="15.0" customHeight="1">
      <c r="A57" s="8" t="s">
        <v>179</v>
      </c>
      <c r="B57" s="8">
        <v>331.0</v>
      </c>
      <c r="C57" s="8">
        <v>1.0</v>
      </c>
      <c r="AB57" s="8">
        <v>1.0</v>
      </c>
      <c r="AE57" s="8">
        <v>1.0</v>
      </c>
      <c r="AQ57" s="8">
        <v>1.0</v>
      </c>
    </row>
    <row r="58" ht="15.0" customHeight="1">
      <c r="A58" s="8" t="s">
        <v>96</v>
      </c>
      <c r="B58" s="8">
        <v>331.0</v>
      </c>
      <c r="C58" s="8">
        <v>1.0</v>
      </c>
      <c r="K58" s="8">
        <v>1.0</v>
      </c>
      <c r="AE58" s="8">
        <v>1.0</v>
      </c>
      <c r="BI58" s="8">
        <v>1.0</v>
      </c>
    </row>
    <row r="59" ht="15.0" customHeight="1">
      <c r="A59" s="8" t="s">
        <v>179</v>
      </c>
      <c r="B59" s="8">
        <v>332.0</v>
      </c>
      <c r="C59" s="8">
        <v>1.0</v>
      </c>
    </row>
    <row r="60" ht="15.0" customHeight="1">
      <c r="A60" s="8" t="s">
        <v>97</v>
      </c>
      <c r="B60" s="8">
        <v>334.0</v>
      </c>
      <c r="C60" s="8">
        <v>1.0</v>
      </c>
      <c r="I60" s="8">
        <v>1.0</v>
      </c>
    </row>
    <row r="61" ht="15.0" customHeight="1">
      <c r="A61" s="8" t="s">
        <v>268</v>
      </c>
      <c r="B61" s="8">
        <v>335.0</v>
      </c>
      <c r="C61" s="8">
        <v>1.0</v>
      </c>
      <c r="Z61" s="8">
        <v>1.0</v>
      </c>
      <c r="AN61" s="8">
        <v>1.0</v>
      </c>
      <c r="BB61" s="8">
        <v>1.0</v>
      </c>
      <c r="BJ61" s="8">
        <v>1.0</v>
      </c>
      <c r="BX61" s="8">
        <v>1.0</v>
      </c>
      <c r="CA61" s="8">
        <v>1.0</v>
      </c>
      <c r="CD61" s="8">
        <v>1.0</v>
      </c>
    </row>
    <row r="62" ht="15.0" customHeight="1">
      <c r="A62" s="8" t="s">
        <v>98</v>
      </c>
      <c r="B62" s="8">
        <v>336.0</v>
      </c>
      <c r="C62" s="8">
        <v>1.0</v>
      </c>
    </row>
    <row r="63" ht="15.0" customHeight="1">
      <c r="A63" s="8" t="s">
        <v>98</v>
      </c>
      <c r="B63" s="8">
        <v>337.0</v>
      </c>
      <c r="C63" s="8">
        <v>1.0</v>
      </c>
      <c r="AI63" s="8">
        <v>1.0</v>
      </c>
      <c r="BJ63" s="8">
        <v>1.0</v>
      </c>
      <c r="BZ63" s="8">
        <v>1.0</v>
      </c>
      <c r="CD63" s="8">
        <v>1.0</v>
      </c>
    </row>
    <row r="64" ht="15.0" customHeight="1">
      <c r="A64" s="8" t="s">
        <v>99</v>
      </c>
      <c r="B64" s="8">
        <v>338.0</v>
      </c>
      <c r="C64" s="8">
        <v>1.0</v>
      </c>
      <c r="CD64" s="8">
        <v>1.0</v>
      </c>
    </row>
    <row r="65" ht="15.0" customHeight="1">
      <c r="A65" s="8" t="s">
        <v>100</v>
      </c>
      <c r="B65" s="8">
        <v>339.0</v>
      </c>
      <c r="C65" s="8">
        <v>1.0</v>
      </c>
      <c r="K65" s="8">
        <v>1.0</v>
      </c>
      <c r="Z65" s="8">
        <v>1.0</v>
      </c>
      <c r="AH65" s="8">
        <v>1.0</v>
      </c>
      <c r="BC65" s="8">
        <v>1.0</v>
      </c>
      <c r="BI65" s="8">
        <v>1.0</v>
      </c>
      <c r="BN65" s="8">
        <v>1.0</v>
      </c>
    </row>
    <row r="66" ht="15.0" customHeight="1">
      <c r="A66" s="8" t="s">
        <v>101</v>
      </c>
      <c r="B66" s="8">
        <v>340.0</v>
      </c>
      <c r="C66" s="8">
        <v>1.0</v>
      </c>
      <c r="K66" s="8">
        <v>1.0</v>
      </c>
      <c r="AB66" s="8">
        <v>1.0</v>
      </c>
      <c r="AQ66" s="8">
        <v>1.0</v>
      </c>
    </row>
    <row r="67" ht="15.0" customHeight="1">
      <c r="A67" s="8" t="s">
        <v>101</v>
      </c>
      <c r="B67" s="8">
        <v>341.0</v>
      </c>
      <c r="C67" s="8">
        <v>1.0</v>
      </c>
      <c r="AB67" s="8">
        <v>1.0</v>
      </c>
      <c r="AE67" s="8">
        <v>1.0</v>
      </c>
      <c r="AH67" s="8">
        <v>1.0</v>
      </c>
      <c r="AQ67" s="8">
        <v>1.0</v>
      </c>
      <c r="BJ67" s="8">
        <v>1.0</v>
      </c>
      <c r="BW67" s="8">
        <v>1.0</v>
      </c>
    </row>
    <row r="68" ht="15.0" customHeight="1">
      <c r="A68" s="8" t="s">
        <v>101</v>
      </c>
      <c r="B68" s="8">
        <v>342.0</v>
      </c>
      <c r="C68" s="8">
        <v>1.0</v>
      </c>
      <c r="K68" s="8">
        <v>1.0</v>
      </c>
      <c r="AE68" s="8">
        <v>1.0</v>
      </c>
      <c r="AH68" s="8">
        <v>1.0</v>
      </c>
      <c r="AQ68" s="8">
        <v>1.0</v>
      </c>
      <c r="BB68" s="8">
        <v>1.0</v>
      </c>
      <c r="BC68" s="8">
        <v>1.0</v>
      </c>
      <c r="CB68" s="8">
        <v>1.0</v>
      </c>
    </row>
    <row r="69" ht="15.0" customHeight="1">
      <c r="A69" s="8" t="s">
        <v>102</v>
      </c>
      <c r="B69" s="8">
        <v>343.0</v>
      </c>
      <c r="C69" s="8">
        <v>1.0</v>
      </c>
      <c r="K69" s="8">
        <v>1.0</v>
      </c>
      <c r="CD69" s="8">
        <v>1.0</v>
      </c>
    </row>
    <row r="70" ht="15.0" customHeight="1">
      <c r="A70" s="8" t="s">
        <v>180</v>
      </c>
      <c r="B70" s="8">
        <v>344.0</v>
      </c>
      <c r="C70" s="8">
        <v>1.0</v>
      </c>
      <c r="K70" s="8">
        <v>1.0</v>
      </c>
      <c r="AB70" s="8">
        <v>1.0</v>
      </c>
      <c r="BI70" s="8">
        <v>1.0</v>
      </c>
      <c r="BJ70" s="8">
        <v>1.0</v>
      </c>
      <c r="BQ70" s="8">
        <v>1.0</v>
      </c>
      <c r="CD70" s="8">
        <v>1.0</v>
      </c>
    </row>
    <row r="71" ht="15.0" customHeight="1">
      <c r="A71" s="8" t="s">
        <v>180</v>
      </c>
      <c r="B71" s="8">
        <v>345.0</v>
      </c>
      <c r="C71" s="8">
        <v>1.0</v>
      </c>
      <c r="AE71" s="8">
        <v>1.0</v>
      </c>
      <c r="BI71" s="8">
        <v>1.0</v>
      </c>
      <c r="BJ71" s="8">
        <v>1.0</v>
      </c>
      <c r="CD71" s="8">
        <v>1.0</v>
      </c>
    </row>
    <row r="72" ht="15.0" customHeight="1">
      <c r="A72" s="8" t="s">
        <v>180</v>
      </c>
      <c r="B72" s="8">
        <v>346.0</v>
      </c>
      <c r="C72" s="8">
        <v>1.0</v>
      </c>
      <c r="BI72" s="8">
        <v>1.0</v>
      </c>
      <c r="BJ72" s="8">
        <v>1.0</v>
      </c>
      <c r="BN72" s="8">
        <v>1.0</v>
      </c>
    </row>
    <row r="73" ht="15.0" customHeight="1">
      <c r="A73" s="8" t="s">
        <v>146</v>
      </c>
      <c r="B73" s="8">
        <v>347.0</v>
      </c>
      <c r="C73" s="8">
        <v>1.0</v>
      </c>
      <c r="AN73" s="8">
        <v>1.0</v>
      </c>
    </row>
    <row r="74" ht="15.0" customHeight="1">
      <c r="A74" s="8" t="s">
        <v>187</v>
      </c>
      <c r="B74" s="8">
        <v>348.0</v>
      </c>
      <c r="I74" s="8">
        <v>1.0</v>
      </c>
      <c r="K74" s="8">
        <v>1.0</v>
      </c>
      <c r="X74" s="8">
        <v>1.0</v>
      </c>
      <c r="AH74" s="8">
        <v>1.0</v>
      </c>
      <c r="BB74" s="8">
        <v>1.0</v>
      </c>
    </row>
    <row r="75" ht="15.0" customHeight="1">
      <c r="A75" s="8" t="s">
        <v>103</v>
      </c>
      <c r="B75" s="8">
        <v>349.0</v>
      </c>
      <c r="C75" s="8">
        <v>1.0</v>
      </c>
      <c r="BJ75" s="8">
        <v>1.0</v>
      </c>
    </row>
    <row r="76" ht="15.0" customHeight="1">
      <c r="A76" s="8" t="s">
        <v>104</v>
      </c>
      <c r="B76" s="8">
        <v>350.0</v>
      </c>
      <c r="C76" s="8">
        <v>1.0</v>
      </c>
      <c r="BK76" s="8">
        <v>1.0</v>
      </c>
    </row>
    <row r="77" ht="15.0" customHeight="1">
      <c r="A77" s="8" t="s">
        <v>104</v>
      </c>
      <c r="B77" s="8">
        <v>351.0</v>
      </c>
      <c r="C77" s="8">
        <v>1.0</v>
      </c>
      <c r="BJ77" s="8">
        <v>1.0</v>
      </c>
    </row>
    <row r="78" ht="15.0" customHeight="1">
      <c r="A78" s="8" t="s">
        <v>104</v>
      </c>
      <c r="B78" s="8">
        <v>352.0</v>
      </c>
      <c r="C78" s="8">
        <v>1.0</v>
      </c>
      <c r="O78" s="8">
        <v>1.0</v>
      </c>
      <c r="Y78" s="8">
        <v>1.0</v>
      </c>
      <c r="BB78" s="8">
        <v>1.0</v>
      </c>
      <c r="BI78" s="8">
        <v>1.0</v>
      </c>
    </row>
    <row r="79" ht="15.0" customHeight="1">
      <c r="A79" s="8" t="s">
        <v>201</v>
      </c>
      <c r="B79" s="8">
        <v>353.0</v>
      </c>
      <c r="C79" s="8">
        <v>1.0</v>
      </c>
      <c r="BJ79" s="8">
        <v>1.0</v>
      </c>
    </row>
    <row r="80" ht="15.0" customHeight="1">
      <c r="A80" s="8" t="s">
        <v>377</v>
      </c>
      <c r="B80" s="8">
        <v>354.0</v>
      </c>
      <c r="C80" s="8">
        <v>1.0</v>
      </c>
    </row>
    <row r="81" ht="15.0" customHeight="1">
      <c r="A81" s="8" t="s">
        <v>181</v>
      </c>
      <c r="B81" s="8">
        <v>355.0</v>
      </c>
      <c r="C81" s="8">
        <v>1.0</v>
      </c>
      <c r="AL81" s="8">
        <v>1.0</v>
      </c>
      <c r="CD81" s="8">
        <v>1.0</v>
      </c>
    </row>
    <row r="82" ht="15.0" customHeight="1">
      <c r="A82" s="8" t="s">
        <v>181</v>
      </c>
      <c r="B82" s="8">
        <v>356.0</v>
      </c>
      <c r="C82" s="8">
        <v>1.0</v>
      </c>
      <c r="CD82" s="8">
        <v>1.0</v>
      </c>
    </row>
    <row r="83" ht="15.0" customHeight="1">
      <c r="A83" s="8" t="s">
        <v>105</v>
      </c>
      <c r="B83" s="8">
        <v>357.0</v>
      </c>
      <c r="C83" s="8">
        <v>1.0</v>
      </c>
      <c r="BB83" s="8">
        <v>1.0</v>
      </c>
      <c r="BJ83" s="8">
        <v>1.0</v>
      </c>
    </row>
    <row r="84" ht="15.0" customHeight="1">
      <c r="A84" s="8" t="s">
        <v>105</v>
      </c>
      <c r="B84" s="8">
        <v>358.0</v>
      </c>
      <c r="C84" s="8">
        <v>1.0</v>
      </c>
      <c r="BB84" s="8">
        <v>1.0</v>
      </c>
      <c r="BJ84" s="8">
        <v>1.0</v>
      </c>
    </row>
    <row r="85" ht="15.0" customHeight="1">
      <c r="A85" s="8" t="s">
        <v>209</v>
      </c>
      <c r="B85" s="8">
        <v>359.0</v>
      </c>
      <c r="C85" s="8">
        <v>1.0</v>
      </c>
      <c r="AE85" s="8">
        <v>1.0</v>
      </c>
    </row>
    <row r="86" ht="15.0" customHeight="1">
      <c r="A86" s="8" t="s">
        <v>376</v>
      </c>
      <c r="B86" s="8">
        <v>360.0</v>
      </c>
      <c r="C86" s="8">
        <v>1.0</v>
      </c>
      <c r="BB86" s="8">
        <v>1.0</v>
      </c>
    </row>
    <row r="87" ht="15.0" customHeight="1">
      <c r="A87" s="8" t="s">
        <v>217</v>
      </c>
      <c r="B87" s="8">
        <v>361.0</v>
      </c>
      <c r="C87" s="8">
        <v>1.0</v>
      </c>
    </row>
    <row r="88" ht="15.0" customHeight="1">
      <c r="A88" s="8" t="s">
        <v>106</v>
      </c>
      <c r="B88" s="8">
        <v>362.0</v>
      </c>
      <c r="C88" s="8">
        <v>1.0</v>
      </c>
      <c r="AE88" s="8">
        <v>1.0</v>
      </c>
      <c r="CD88" s="8">
        <v>1.0</v>
      </c>
    </row>
    <row r="89" ht="15.0" customHeight="1">
      <c r="A89" s="8" t="s">
        <v>106</v>
      </c>
      <c r="B89" s="8">
        <v>363.0</v>
      </c>
      <c r="C89" s="8">
        <v>1.0</v>
      </c>
      <c r="AN89" s="8">
        <v>1.0</v>
      </c>
      <c r="BB89" s="8">
        <v>1.0</v>
      </c>
      <c r="BJ89" s="8">
        <v>1.0</v>
      </c>
      <c r="CD89" s="8">
        <v>1.0</v>
      </c>
    </row>
    <row r="90" ht="15.0" customHeight="1">
      <c r="A90" s="8" t="s">
        <v>106</v>
      </c>
      <c r="B90" s="8">
        <v>364.0</v>
      </c>
      <c r="C90" s="8">
        <v>1.0</v>
      </c>
      <c r="F90" s="8">
        <v>1.0</v>
      </c>
      <c r="AB90" s="8">
        <v>1.0</v>
      </c>
      <c r="AE90" s="8">
        <v>1.0</v>
      </c>
      <c r="BB90" s="8">
        <v>1.0</v>
      </c>
    </row>
    <row r="91" ht="15.0" customHeight="1">
      <c r="A91" s="8" t="s">
        <v>107</v>
      </c>
      <c r="B91" s="8">
        <v>365.0</v>
      </c>
      <c r="C91" s="8">
        <v>1.0</v>
      </c>
      <c r="K91" s="8">
        <v>1.0</v>
      </c>
      <c r="AB91" s="8">
        <v>1.0</v>
      </c>
      <c r="AE91" s="8">
        <v>1.0</v>
      </c>
      <c r="AL91" s="8">
        <v>1.0</v>
      </c>
    </row>
    <row r="92" ht="15.0" customHeight="1">
      <c r="A92" s="8" t="s">
        <v>221</v>
      </c>
      <c r="B92" s="8">
        <v>366.0</v>
      </c>
      <c r="C92" s="8">
        <v>1.0</v>
      </c>
      <c r="AE92" s="8">
        <v>1.0</v>
      </c>
      <c r="AN92" s="8">
        <v>1.0</v>
      </c>
    </row>
    <row r="93" ht="15.0" customHeight="1">
      <c r="A93" s="8" t="s">
        <v>221</v>
      </c>
      <c r="B93" s="8">
        <v>367.0</v>
      </c>
      <c r="C93" s="8">
        <v>1.0</v>
      </c>
      <c r="K93" s="8">
        <v>1.0</v>
      </c>
      <c r="AE93" s="8">
        <v>1.0</v>
      </c>
      <c r="AN93" s="8">
        <v>1.0</v>
      </c>
      <c r="CD93" s="8">
        <v>1.0</v>
      </c>
    </row>
    <row r="94" ht="15.0" customHeight="1">
      <c r="A94" s="8" t="s">
        <v>108</v>
      </c>
      <c r="B94" s="8">
        <v>368.0</v>
      </c>
      <c r="C94" s="8">
        <v>1.0</v>
      </c>
      <c r="K94" s="8">
        <v>1.0</v>
      </c>
      <c r="AB94" s="8">
        <v>1.0</v>
      </c>
      <c r="AE94" s="8">
        <v>1.0</v>
      </c>
      <c r="AN94" s="8">
        <v>1.0</v>
      </c>
      <c r="BJ94" s="8">
        <v>1.0</v>
      </c>
      <c r="CD94" s="8">
        <v>1.0</v>
      </c>
    </row>
    <row r="95" ht="15.0" customHeight="1">
      <c r="A95" s="8" t="s">
        <v>108</v>
      </c>
      <c r="B95" s="8">
        <v>369.0</v>
      </c>
      <c r="C95" s="8">
        <v>1.0</v>
      </c>
      <c r="K95" s="8">
        <v>1.0</v>
      </c>
      <c r="CD95" s="8">
        <v>1.0</v>
      </c>
    </row>
    <row r="96" ht="15.0" customHeight="1">
      <c r="A96" s="8" t="s">
        <v>108</v>
      </c>
      <c r="B96" s="8">
        <v>370.0</v>
      </c>
      <c r="I96" s="8">
        <v>1.0</v>
      </c>
      <c r="K96" s="8">
        <v>1.0</v>
      </c>
      <c r="AN96" s="8">
        <v>1.0</v>
      </c>
      <c r="AR96" s="8">
        <v>1.0</v>
      </c>
      <c r="BQ96" s="8">
        <v>1.0</v>
      </c>
    </row>
    <row r="97" ht="15.0" customHeight="1">
      <c r="A97" s="8" t="s">
        <v>110</v>
      </c>
      <c r="B97" s="8">
        <v>371.0</v>
      </c>
      <c r="C97" s="8">
        <v>1.0</v>
      </c>
      <c r="AE97" s="8">
        <v>1.0</v>
      </c>
      <c r="AQ97" s="8">
        <v>1.0</v>
      </c>
    </row>
    <row r="98" ht="15.0" customHeight="1">
      <c r="A98" s="8" t="s">
        <v>110</v>
      </c>
      <c r="B98" s="8">
        <v>372.0</v>
      </c>
      <c r="C98" s="8">
        <v>1.0</v>
      </c>
      <c r="AE98" s="8">
        <v>1.0</v>
      </c>
    </row>
    <row r="99" ht="15.0" customHeight="1">
      <c r="A99" s="8" t="s">
        <v>111</v>
      </c>
      <c r="B99" s="8">
        <v>373.0</v>
      </c>
      <c r="C99" s="8">
        <v>1.0</v>
      </c>
      <c r="CD99" s="8">
        <v>1.0</v>
      </c>
    </row>
    <row r="100" ht="15.0" customHeight="1">
      <c r="A100" s="8" t="s">
        <v>196</v>
      </c>
      <c r="B100" s="8">
        <v>374.0</v>
      </c>
      <c r="C100" s="8">
        <v>1.0</v>
      </c>
      <c r="BB100" s="8">
        <v>1.0</v>
      </c>
      <c r="BI100" s="8">
        <v>1.0</v>
      </c>
    </row>
    <row r="101" ht="15.0" customHeight="1">
      <c r="A101" s="8" t="s">
        <v>112</v>
      </c>
      <c r="B101" s="8">
        <v>375.0</v>
      </c>
      <c r="C101" s="8">
        <v>1.0</v>
      </c>
    </row>
    <row r="102" ht="15.0" customHeight="1">
      <c r="A102" s="8" t="s">
        <v>112</v>
      </c>
      <c r="B102" s="8">
        <v>376.0</v>
      </c>
      <c r="C102" s="8">
        <v>1.0</v>
      </c>
      <c r="X102" s="8">
        <v>1.0</v>
      </c>
      <c r="AE102" s="8">
        <v>1.0</v>
      </c>
      <c r="BI102" s="8">
        <v>1.0</v>
      </c>
      <c r="BR102" s="8">
        <v>1.0</v>
      </c>
      <c r="CD102" s="8">
        <v>1.0</v>
      </c>
    </row>
    <row r="103" ht="15.0" customHeight="1">
      <c r="A103" s="8" t="s">
        <v>113</v>
      </c>
      <c r="B103" s="8">
        <v>377.0</v>
      </c>
      <c r="C103" s="8">
        <v>1.0</v>
      </c>
      <c r="AT103" s="8">
        <v>1.0</v>
      </c>
      <c r="AW103" s="8">
        <v>1.0</v>
      </c>
      <c r="CD103" s="8">
        <v>1.0</v>
      </c>
    </row>
    <row r="104" ht="15.0" customHeight="1">
      <c r="A104" s="8" t="s">
        <v>113</v>
      </c>
      <c r="B104" s="8">
        <v>378.0</v>
      </c>
      <c r="C104" s="8">
        <v>1.0</v>
      </c>
      <c r="O104" s="8">
        <v>1.0</v>
      </c>
      <c r="CC104" s="8">
        <v>1.0</v>
      </c>
    </row>
    <row r="105" ht="15.0" customHeight="1">
      <c r="A105" s="8" t="s">
        <v>113</v>
      </c>
      <c r="B105" s="8">
        <v>379.0</v>
      </c>
      <c r="C105" s="8">
        <v>1.0</v>
      </c>
      <c r="AE105" s="8">
        <v>1.0</v>
      </c>
    </row>
    <row r="106" ht="15.0" customHeight="1">
      <c r="A106" s="8" t="s">
        <v>211</v>
      </c>
      <c r="B106" s="8">
        <v>380.0</v>
      </c>
      <c r="C106" s="8">
        <v>1.0</v>
      </c>
      <c r="K106" s="8">
        <v>1.0</v>
      </c>
      <c r="AX106" s="8">
        <v>1.0</v>
      </c>
      <c r="BJ106" s="8">
        <v>1.0</v>
      </c>
      <c r="CD106" s="8">
        <v>1.0</v>
      </c>
    </row>
    <row r="107" ht="15.0" customHeight="1">
      <c r="A107" s="8" t="s">
        <v>211</v>
      </c>
      <c r="B107" s="8">
        <v>381.0</v>
      </c>
      <c r="C107" s="8">
        <v>1.0</v>
      </c>
      <c r="P107" s="8">
        <v>1.0</v>
      </c>
      <c r="AE107" s="8">
        <v>1.0</v>
      </c>
    </row>
    <row r="108" ht="15.0" customHeight="1">
      <c r="A108" s="8" t="s">
        <v>115</v>
      </c>
      <c r="B108" s="8">
        <v>382.0</v>
      </c>
      <c r="C108" s="8">
        <v>1.0</v>
      </c>
      <c r="BI108" s="8">
        <v>1.0</v>
      </c>
    </row>
    <row r="109" ht="15.0" customHeight="1">
      <c r="A109" s="8" t="s">
        <v>388</v>
      </c>
      <c r="B109" s="8">
        <v>383.0</v>
      </c>
      <c r="C109" s="8">
        <v>1.0</v>
      </c>
      <c r="BQ109" s="8">
        <v>1.0</v>
      </c>
    </row>
    <row r="110" ht="15.0" customHeight="1">
      <c r="A110" s="8" t="s">
        <v>116</v>
      </c>
      <c r="B110" s="8">
        <v>384.0</v>
      </c>
      <c r="C110" s="8">
        <v>1.0</v>
      </c>
      <c r="K110" s="8">
        <v>1.0</v>
      </c>
      <c r="BB110" s="8">
        <v>1.0</v>
      </c>
    </row>
    <row r="111" ht="15.0" customHeight="1">
      <c r="A111" s="8" t="s">
        <v>116</v>
      </c>
      <c r="B111" s="8">
        <v>385.0</v>
      </c>
      <c r="C111" s="8">
        <v>1.0</v>
      </c>
      <c r="AC111" s="8">
        <v>1.0</v>
      </c>
      <c r="AZ111" s="8">
        <v>1.0</v>
      </c>
      <c r="CD111" s="8">
        <v>1.0</v>
      </c>
    </row>
    <row r="112" ht="15.0" customHeight="1">
      <c r="A112" s="8" t="s">
        <v>117</v>
      </c>
      <c r="B112" s="8">
        <v>386.0</v>
      </c>
      <c r="C112" s="8">
        <v>1.0</v>
      </c>
      <c r="AB112" s="8">
        <v>1.0</v>
      </c>
      <c r="AE112" s="8">
        <v>1.0</v>
      </c>
      <c r="AQ112" s="8">
        <v>1.0</v>
      </c>
    </row>
    <row r="113" ht="15.0" customHeight="1">
      <c r="A113" s="8" t="s">
        <v>117</v>
      </c>
      <c r="B113" s="8">
        <v>387.0</v>
      </c>
      <c r="C113" s="8">
        <v>1.0</v>
      </c>
      <c r="AN113" s="8">
        <v>1.0</v>
      </c>
      <c r="BQ113" s="8">
        <v>1.0</v>
      </c>
    </row>
    <row r="114" ht="15.0" customHeight="1">
      <c r="A114" s="8" t="s">
        <v>223</v>
      </c>
      <c r="B114" s="8">
        <v>388.0</v>
      </c>
      <c r="C114" s="8">
        <v>1.0</v>
      </c>
      <c r="K114" s="8">
        <v>1.0</v>
      </c>
    </row>
    <row r="115" ht="15.0" customHeight="1">
      <c r="A115" s="8" t="s">
        <v>223</v>
      </c>
      <c r="B115" s="8">
        <v>389.0</v>
      </c>
      <c r="C115" s="8">
        <v>1.0</v>
      </c>
    </row>
    <row r="116" ht="15.0" customHeight="1">
      <c r="A116" s="8" t="s">
        <v>118</v>
      </c>
      <c r="B116" s="8">
        <v>390.0</v>
      </c>
      <c r="C116" s="8">
        <v>1.0</v>
      </c>
      <c r="F116" s="8">
        <v>1.0</v>
      </c>
      <c r="AE116" s="8">
        <v>1.0</v>
      </c>
      <c r="AQ116" s="8">
        <v>1.0</v>
      </c>
      <c r="BE116" s="8">
        <v>1.0</v>
      </c>
      <c r="BM116" s="8">
        <v>1.0</v>
      </c>
    </row>
    <row r="117" ht="15.0" customHeight="1">
      <c r="A117" s="8" t="s">
        <v>119</v>
      </c>
      <c r="B117" s="8">
        <v>391.0</v>
      </c>
      <c r="C117" s="8">
        <v>1.0</v>
      </c>
      <c r="K117" s="8">
        <v>1.0</v>
      </c>
      <c r="X117" s="8">
        <v>1.0</v>
      </c>
      <c r="BP117" s="8">
        <v>1.0</v>
      </c>
    </row>
    <row r="118" ht="15.0" customHeight="1">
      <c r="A118" s="8" t="s">
        <v>119</v>
      </c>
      <c r="B118" s="8">
        <v>392.0</v>
      </c>
      <c r="C118" s="8">
        <v>1.0</v>
      </c>
      <c r="BZ118" s="8">
        <v>1.0</v>
      </c>
    </row>
    <row r="119" ht="15.0" customHeight="1">
      <c r="A119" s="8" t="s">
        <v>119</v>
      </c>
      <c r="B119" s="8">
        <v>393.0</v>
      </c>
      <c r="C119" s="8">
        <v>1.0</v>
      </c>
      <c r="AU119" s="8">
        <v>1.0</v>
      </c>
      <c r="BH119" s="8">
        <v>1.0</v>
      </c>
    </row>
    <row r="120" ht="15.0" customHeight="1">
      <c r="A120" s="8" t="s">
        <v>197</v>
      </c>
      <c r="B120" s="8">
        <v>394.0</v>
      </c>
      <c r="C120" s="8">
        <v>1.0</v>
      </c>
      <c r="K120" s="8">
        <v>1.0</v>
      </c>
      <c r="AE120" s="8">
        <v>1.0</v>
      </c>
      <c r="AM120" s="8">
        <v>1.0</v>
      </c>
      <c r="AN120" s="8">
        <v>1.0</v>
      </c>
      <c r="AS120" s="8">
        <v>1.0</v>
      </c>
      <c r="AW120" s="8">
        <v>1.0</v>
      </c>
      <c r="AZ120" s="8">
        <v>1.0</v>
      </c>
      <c r="BB120" s="8">
        <v>1.0</v>
      </c>
      <c r="BP120" s="8">
        <v>1.0</v>
      </c>
      <c r="BV120" s="8">
        <v>1.0</v>
      </c>
      <c r="CA120" s="8">
        <v>1.0</v>
      </c>
    </row>
    <row r="121" ht="15.0" customHeight="1">
      <c r="A121" s="8" t="s">
        <v>121</v>
      </c>
      <c r="B121" s="8">
        <v>395.0</v>
      </c>
      <c r="C121" s="8">
        <v>1.0</v>
      </c>
      <c r="BJ121" s="8">
        <v>1.0</v>
      </c>
    </row>
    <row r="122" ht="15.0" customHeight="1">
      <c r="A122" s="8" t="s">
        <v>372</v>
      </c>
      <c r="B122" s="8">
        <v>396.0</v>
      </c>
      <c r="C122" s="8">
        <v>1.0</v>
      </c>
    </row>
    <row r="123" ht="15.0" customHeight="1">
      <c r="A123" s="8" t="s">
        <v>372</v>
      </c>
      <c r="B123" s="8">
        <v>397.0</v>
      </c>
      <c r="C123" s="8">
        <v>1.0</v>
      </c>
      <c r="G123" s="8">
        <v>1.0</v>
      </c>
      <c r="O123" s="8">
        <v>1.0</v>
      </c>
    </row>
    <row r="124" ht="15.0" customHeight="1">
      <c r="A124" s="8" t="s">
        <v>122</v>
      </c>
      <c r="B124" s="8">
        <v>398.0</v>
      </c>
      <c r="C124" s="8">
        <v>1.0</v>
      </c>
      <c r="M124" s="8">
        <v>1.0</v>
      </c>
      <c r="AR124" s="8">
        <v>1.0</v>
      </c>
      <c r="BB124" s="8">
        <v>1.0</v>
      </c>
    </row>
    <row r="125" ht="15.0" customHeight="1">
      <c r="A125" s="8" t="s">
        <v>122</v>
      </c>
      <c r="B125" s="8">
        <v>399.0</v>
      </c>
      <c r="C125" s="8">
        <v>1.0</v>
      </c>
      <c r="M125" s="8">
        <v>1.0</v>
      </c>
      <c r="AQ125" s="8">
        <v>1.0</v>
      </c>
    </row>
    <row r="126" ht="15.0" customHeight="1">
      <c r="A126" s="8" t="s">
        <v>122</v>
      </c>
      <c r="B126" s="8">
        <v>400.0</v>
      </c>
      <c r="C126" s="8">
        <v>1.0</v>
      </c>
    </row>
    <row r="127" ht="15.0" customHeight="1">
      <c r="A127" s="8" t="s">
        <v>123</v>
      </c>
      <c r="B127" s="8">
        <v>401.0</v>
      </c>
      <c r="C127" s="8">
        <v>1.0</v>
      </c>
      <c r="I127" s="8">
        <v>1.0</v>
      </c>
      <c r="AE127" s="8">
        <v>1.0</v>
      </c>
      <c r="BG127" s="8">
        <v>1.0</v>
      </c>
      <c r="BJ127" s="8">
        <v>1.0</v>
      </c>
    </row>
    <row r="128" ht="15.0" customHeight="1">
      <c r="A128" s="8" t="s">
        <v>123</v>
      </c>
      <c r="B128" s="8">
        <v>402.0</v>
      </c>
      <c r="C128" s="8">
        <v>1.0</v>
      </c>
      <c r="P128" s="8">
        <v>1.0</v>
      </c>
      <c r="AB128" s="8">
        <v>1.0</v>
      </c>
      <c r="AE128" s="8">
        <v>1.0</v>
      </c>
      <c r="AQ128" s="8">
        <v>1.0</v>
      </c>
      <c r="AW128" s="8">
        <v>1.0</v>
      </c>
      <c r="BE128" s="8">
        <v>1.0</v>
      </c>
    </row>
    <row r="129" ht="15.0" customHeight="1">
      <c r="A129" s="8" t="s">
        <v>123</v>
      </c>
      <c r="B129" s="8">
        <v>403.0</v>
      </c>
      <c r="C129" s="8">
        <v>1.0</v>
      </c>
      <c r="AE129" s="8">
        <v>1.0</v>
      </c>
      <c r="AK129" s="8">
        <v>1.0</v>
      </c>
      <c r="BE129" s="8">
        <v>1.0</v>
      </c>
      <c r="BL129" s="8">
        <v>1.0</v>
      </c>
      <c r="BP129" s="8">
        <v>1.0</v>
      </c>
    </row>
    <row r="130" ht="15.0" customHeight="1">
      <c r="A130" s="8" t="s">
        <v>389</v>
      </c>
      <c r="B130" s="8">
        <v>404.0</v>
      </c>
      <c r="C130" s="8">
        <v>1.0</v>
      </c>
    </row>
    <row r="131" ht="15.0" customHeight="1">
      <c r="A131" s="8" t="s">
        <v>389</v>
      </c>
      <c r="B131" s="8">
        <v>405.0</v>
      </c>
      <c r="C131" s="8">
        <v>1.0</v>
      </c>
    </row>
    <row r="132" ht="15.0" customHeight="1">
      <c r="A132" s="8" t="s">
        <v>389</v>
      </c>
      <c r="B132" s="8">
        <v>406.0</v>
      </c>
      <c r="C132" s="8">
        <v>1.0</v>
      </c>
    </row>
    <row r="133" ht="15.0" customHeight="1">
      <c r="A133" s="8" t="s">
        <v>390</v>
      </c>
      <c r="B133" s="8">
        <v>407.0</v>
      </c>
      <c r="C133" s="8">
        <v>1.0</v>
      </c>
    </row>
    <row r="134" ht="15.0" customHeight="1">
      <c r="A134" s="8" t="s">
        <v>390</v>
      </c>
      <c r="B134" s="8">
        <v>408.0</v>
      </c>
      <c r="C134" s="8">
        <v>1.0</v>
      </c>
    </row>
    <row r="135" ht="15.0" customHeight="1">
      <c r="A135" s="8" t="s">
        <v>127</v>
      </c>
      <c r="B135" s="8">
        <v>409.0</v>
      </c>
      <c r="C135" s="8">
        <v>1.0</v>
      </c>
      <c r="AL135" s="8">
        <v>1.0</v>
      </c>
    </row>
    <row r="136" ht="15.0" customHeight="1">
      <c r="A136" s="8" t="s">
        <v>127</v>
      </c>
      <c r="B136" s="8">
        <v>410.0</v>
      </c>
      <c r="C136" s="8">
        <v>1.0</v>
      </c>
      <c r="AE136" s="8">
        <v>1.0</v>
      </c>
    </row>
    <row r="137" ht="15.0" customHeight="1">
      <c r="A137" s="8" t="s">
        <v>128</v>
      </c>
      <c r="B137" s="8">
        <v>411.0</v>
      </c>
      <c r="C137" s="8">
        <v>1.0</v>
      </c>
      <c r="CD137" s="8">
        <v>1.0</v>
      </c>
    </row>
    <row r="138" ht="15.0" customHeight="1">
      <c r="A138" s="8" t="s">
        <v>206</v>
      </c>
      <c r="B138" s="8">
        <v>412.0</v>
      </c>
      <c r="C138" s="8">
        <v>1.0</v>
      </c>
      <c r="K138" s="8">
        <v>1.0</v>
      </c>
      <c r="BJ138" s="8">
        <v>1.0</v>
      </c>
      <c r="BL138" s="8">
        <v>1.0</v>
      </c>
      <c r="BM138" s="8">
        <v>1.0</v>
      </c>
      <c r="BP138" s="8">
        <v>1.0</v>
      </c>
    </row>
    <row r="139" ht="15.0" customHeight="1">
      <c r="A139" s="8" t="s">
        <v>129</v>
      </c>
      <c r="B139" s="8">
        <v>413.0</v>
      </c>
      <c r="C139" s="8">
        <v>1.0</v>
      </c>
      <c r="N139" s="8">
        <v>1.0</v>
      </c>
      <c r="AG139" s="8">
        <v>1.0</v>
      </c>
      <c r="AL139" s="8">
        <v>1.0</v>
      </c>
      <c r="BU139" s="8">
        <v>1.0</v>
      </c>
      <c r="CD139" s="8">
        <v>1.0</v>
      </c>
    </row>
    <row r="140" ht="15.0" customHeight="1">
      <c r="A140" s="8" t="s">
        <v>129</v>
      </c>
      <c r="B140" s="8">
        <v>414.0</v>
      </c>
      <c r="C140" s="8">
        <v>1.0</v>
      </c>
      <c r="BG140" s="8">
        <v>1.0</v>
      </c>
      <c r="BN140" s="8">
        <v>1.0</v>
      </c>
      <c r="CB140" s="8">
        <v>1.0</v>
      </c>
    </row>
    <row r="141" ht="15.0" customHeight="1">
      <c r="A141" s="8" t="s">
        <v>129</v>
      </c>
      <c r="B141" s="8">
        <v>415.0</v>
      </c>
      <c r="C141" s="8">
        <v>1.0</v>
      </c>
    </row>
    <row r="142" ht="15.0" customHeight="1">
      <c r="A142" s="8" t="s">
        <v>216</v>
      </c>
      <c r="B142" s="8">
        <v>417.0</v>
      </c>
      <c r="C142" s="8">
        <v>1.0</v>
      </c>
      <c r="D142" s="8">
        <v>1.0</v>
      </c>
      <c r="AE142" s="8">
        <v>1.0</v>
      </c>
    </row>
    <row r="143" ht="15.0" customHeight="1">
      <c r="A143" s="8" t="s">
        <v>130</v>
      </c>
      <c r="B143" s="8">
        <v>418.0</v>
      </c>
      <c r="C143" s="8">
        <v>1.0</v>
      </c>
      <c r="AL143" s="8">
        <v>1.0</v>
      </c>
      <c r="BJ143" s="8">
        <v>1.0</v>
      </c>
    </row>
    <row r="144" ht="15.0" customHeight="1">
      <c r="A144" s="8" t="s">
        <v>130</v>
      </c>
      <c r="B144" s="8">
        <v>419.0</v>
      </c>
      <c r="C144" s="8">
        <v>1.0</v>
      </c>
      <c r="AE144" s="8">
        <v>1.0</v>
      </c>
      <c r="AL144" s="8">
        <v>1.0</v>
      </c>
      <c r="BG144" s="8">
        <v>1.0</v>
      </c>
    </row>
    <row r="145" ht="15.0" customHeight="1">
      <c r="A145" s="8" t="s">
        <v>130</v>
      </c>
      <c r="B145" s="8">
        <v>420.0</v>
      </c>
      <c r="C145" s="8">
        <v>1.0</v>
      </c>
      <c r="AX145" s="8">
        <v>1.0</v>
      </c>
    </row>
    <row r="146" ht="15.0" customHeight="1">
      <c r="A146" s="8" t="s">
        <v>132</v>
      </c>
      <c r="B146" s="8">
        <v>427.0</v>
      </c>
      <c r="C146" s="8">
        <v>1.0</v>
      </c>
      <c r="K146" s="8">
        <v>1.0</v>
      </c>
    </row>
    <row r="147" ht="15.0" customHeight="1">
      <c r="A147" s="8" t="s">
        <v>194</v>
      </c>
      <c r="B147" s="8">
        <v>428.0</v>
      </c>
      <c r="C147" s="8">
        <v>1.0</v>
      </c>
      <c r="AL147" s="8">
        <v>1.0</v>
      </c>
      <c r="BJ147" s="8">
        <v>1.0</v>
      </c>
      <c r="BK147" s="8">
        <v>1.0</v>
      </c>
    </row>
    <row r="148" ht="15.0" customHeight="1">
      <c r="A148" s="8" t="s">
        <v>194</v>
      </c>
      <c r="B148" s="8">
        <v>429.0</v>
      </c>
      <c r="C148" s="8">
        <v>1.0</v>
      </c>
    </row>
    <row r="149" ht="15.0" customHeight="1">
      <c r="A149" s="8" t="s">
        <v>194</v>
      </c>
      <c r="B149" s="8">
        <v>430.0</v>
      </c>
      <c r="C149" s="8">
        <v>1.0</v>
      </c>
      <c r="D149" s="8">
        <v>1.0</v>
      </c>
      <c r="K149" s="8">
        <v>1.0</v>
      </c>
      <c r="AI149" s="8">
        <v>1.0</v>
      </c>
      <c r="AN149" s="8">
        <v>1.0</v>
      </c>
    </row>
    <row r="150" ht="15.0" customHeight="1">
      <c r="A150" s="8" t="s">
        <v>194</v>
      </c>
      <c r="B150" s="8">
        <v>431.0</v>
      </c>
      <c r="C150" s="8">
        <v>1.0</v>
      </c>
      <c r="AB150" s="8">
        <v>1.0</v>
      </c>
      <c r="AD150" s="8">
        <v>1.0</v>
      </c>
      <c r="AO150" s="8">
        <v>1.0</v>
      </c>
      <c r="BI150" s="8">
        <v>1.0</v>
      </c>
      <c r="BJ150" s="8">
        <v>1.0</v>
      </c>
    </row>
    <row r="151" ht="15.0" customHeight="1">
      <c r="A151" s="8" t="s">
        <v>237</v>
      </c>
      <c r="B151" s="8">
        <v>434.0</v>
      </c>
      <c r="C151" s="8">
        <v>1.0</v>
      </c>
      <c r="AE151" s="8">
        <v>1.0</v>
      </c>
      <c r="BG151" s="8">
        <v>1.0</v>
      </c>
      <c r="BQ151" s="8">
        <v>1.0</v>
      </c>
      <c r="CD151" s="8">
        <v>1.0</v>
      </c>
    </row>
    <row r="152" ht="15.0" customHeight="1">
      <c r="A152" s="8" t="s">
        <v>237</v>
      </c>
      <c r="B152" s="8">
        <v>435.0</v>
      </c>
      <c r="C152" s="8">
        <v>1.0</v>
      </c>
      <c r="BJ152" s="8">
        <v>1.0</v>
      </c>
      <c r="CA152" s="8">
        <v>1.0</v>
      </c>
    </row>
    <row r="153" ht="15.0" customHeight="1">
      <c r="A153" s="8" t="s">
        <v>237</v>
      </c>
      <c r="B153" s="8">
        <v>436.0</v>
      </c>
      <c r="C153" s="8">
        <v>1.0</v>
      </c>
      <c r="BJ153" s="8">
        <v>1.0</v>
      </c>
    </row>
    <row r="154" ht="15.0" customHeight="1">
      <c r="A154" s="8" t="s">
        <v>237</v>
      </c>
      <c r="B154" s="8">
        <v>437.0</v>
      </c>
      <c r="C154" s="8">
        <v>1.0</v>
      </c>
    </row>
    <row r="155" ht="15.0" customHeight="1">
      <c r="A155" s="8" t="s">
        <v>152</v>
      </c>
      <c r="B155" s="8">
        <v>438.0</v>
      </c>
      <c r="C155" s="8">
        <v>1.0</v>
      </c>
    </row>
    <row r="156" ht="15.0" customHeight="1">
      <c r="A156" s="8" t="s">
        <v>218</v>
      </c>
      <c r="B156" s="8">
        <v>441.0</v>
      </c>
      <c r="C156" s="8">
        <v>1.0</v>
      </c>
      <c r="K156" s="8">
        <v>1.0</v>
      </c>
      <c r="AB156" s="8">
        <v>1.0</v>
      </c>
      <c r="AE156" s="8">
        <v>1.0</v>
      </c>
      <c r="AQ156" s="8">
        <v>1.0</v>
      </c>
      <c r="AS156" s="8">
        <v>1.0</v>
      </c>
      <c r="CD156" s="8">
        <v>1.0</v>
      </c>
    </row>
    <row r="157" ht="15.0" customHeight="1">
      <c r="A157" s="8" t="s">
        <v>218</v>
      </c>
      <c r="B157" s="8">
        <v>442.0</v>
      </c>
      <c r="C157" s="8">
        <v>1.0</v>
      </c>
      <c r="AE157" s="8">
        <v>1.0</v>
      </c>
    </row>
    <row r="158" ht="15.0" customHeight="1">
      <c r="A158" s="8" t="s">
        <v>218</v>
      </c>
      <c r="B158" s="8">
        <v>443.0</v>
      </c>
      <c r="C158" s="8">
        <v>1.0</v>
      </c>
    </row>
    <row r="159" ht="15.0" customHeight="1">
      <c r="A159" s="8" t="s">
        <v>219</v>
      </c>
      <c r="B159" s="8">
        <v>444.0</v>
      </c>
      <c r="C159" s="8">
        <v>1.0</v>
      </c>
      <c r="G159" s="8">
        <v>1.0</v>
      </c>
      <c r="I159" s="8">
        <v>1.0</v>
      </c>
      <c r="BB159" s="8">
        <v>1.0</v>
      </c>
      <c r="CA159" s="8">
        <v>1.0</v>
      </c>
    </row>
    <row r="160" ht="15.0" customHeight="1">
      <c r="A160" s="8" t="s">
        <v>219</v>
      </c>
      <c r="B160" s="8">
        <v>445.0</v>
      </c>
      <c r="C160" s="8">
        <v>1.0</v>
      </c>
      <c r="K160" s="8">
        <v>1.0</v>
      </c>
      <c r="Q160" s="8">
        <v>1.0</v>
      </c>
      <c r="AE160" s="8">
        <v>1.0</v>
      </c>
      <c r="AL160" s="8">
        <v>1.0</v>
      </c>
      <c r="AN160" s="8">
        <v>1.0</v>
      </c>
      <c r="BJ160" s="8">
        <v>1.0</v>
      </c>
      <c r="BQ160" s="8">
        <v>1.0</v>
      </c>
      <c r="CD160" s="8">
        <v>1.0</v>
      </c>
    </row>
    <row r="161" ht="15.0" customHeight="1">
      <c r="A161" s="8" t="s">
        <v>190</v>
      </c>
      <c r="B161" s="8">
        <v>451.0</v>
      </c>
      <c r="C161" s="8">
        <v>1.0</v>
      </c>
      <c r="K161" s="8">
        <v>1.0</v>
      </c>
      <c r="AE161" s="8">
        <v>1.0</v>
      </c>
      <c r="AL161" s="8">
        <v>1.0</v>
      </c>
    </row>
    <row r="162" ht="15.0" customHeight="1">
      <c r="A162" s="8" t="s">
        <v>193</v>
      </c>
      <c r="B162" s="8">
        <v>452.0</v>
      </c>
      <c r="C162" s="8">
        <v>1.0</v>
      </c>
      <c r="K162" s="8">
        <v>1.0</v>
      </c>
      <c r="AY162" s="8">
        <v>1.0</v>
      </c>
      <c r="BI162" s="8">
        <v>1.0</v>
      </c>
      <c r="CD162" s="8">
        <v>1.0</v>
      </c>
    </row>
    <row r="163" ht="15.0" customHeight="1">
      <c r="A163" s="8" t="s">
        <v>137</v>
      </c>
      <c r="B163" s="8">
        <v>454.0</v>
      </c>
      <c r="C163" s="8">
        <v>1.0</v>
      </c>
      <c r="G163" s="8">
        <v>1.0</v>
      </c>
      <c r="AE163" s="8">
        <v>1.0</v>
      </c>
      <c r="AW163" s="8">
        <v>1.0</v>
      </c>
    </row>
    <row r="164" ht="15.0" customHeight="1">
      <c r="A164" s="8" t="s">
        <v>137</v>
      </c>
      <c r="B164" s="8">
        <v>455.0</v>
      </c>
      <c r="C164" s="8">
        <v>1.0</v>
      </c>
      <c r="AE164" s="8">
        <v>1.0</v>
      </c>
    </row>
    <row r="165" ht="15.0" customHeight="1">
      <c r="A165" s="8" t="s">
        <v>305</v>
      </c>
      <c r="B165" s="8">
        <v>457.0</v>
      </c>
      <c r="C165" s="8">
        <v>1.0</v>
      </c>
      <c r="M165" s="8">
        <v>1.0</v>
      </c>
      <c r="AV165" s="8">
        <v>1.0</v>
      </c>
      <c r="AZ165" s="8">
        <v>1.0</v>
      </c>
    </row>
    <row r="166" ht="15.0" customHeight="1">
      <c r="A166" s="8" t="s">
        <v>260</v>
      </c>
      <c r="B166" s="8">
        <v>460.0</v>
      </c>
      <c r="C166" s="8">
        <v>1.0</v>
      </c>
      <c r="K166" s="8">
        <v>1.0</v>
      </c>
      <c r="AB166" s="8">
        <v>1.0</v>
      </c>
      <c r="AE166" s="8">
        <v>1.0</v>
      </c>
      <c r="AL166" s="8">
        <v>1.0</v>
      </c>
      <c r="AN166" s="8">
        <v>1.0</v>
      </c>
      <c r="BJ166" s="8">
        <v>1.0</v>
      </c>
      <c r="CD166" s="8">
        <v>1.0</v>
      </c>
    </row>
    <row r="167" ht="15.0" customHeight="1">
      <c r="A167" s="8" t="s">
        <v>260</v>
      </c>
      <c r="B167" s="8">
        <v>462.0</v>
      </c>
      <c r="C167" s="8">
        <v>1.0</v>
      </c>
      <c r="K167" s="8">
        <v>1.0</v>
      </c>
    </row>
    <row r="168" ht="15.0" customHeight="1">
      <c r="A168" s="8" t="s">
        <v>261</v>
      </c>
      <c r="B168" s="8">
        <v>464.0</v>
      </c>
      <c r="C168" s="8">
        <v>1.0</v>
      </c>
      <c r="H168" s="8">
        <v>1.0</v>
      </c>
      <c r="BJ168" s="8">
        <v>1.0</v>
      </c>
    </row>
    <row r="169" ht="15.0" customHeight="1">
      <c r="A169" s="8" t="s">
        <v>368</v>
      </c>
      <c r="B169" s="8">
        <v>465.0</v>
      </c>
      <c r="C169" s="8">
        <v>1.0</v>
      </c>
    </row>
    <row r="170" ht="15.0" customHeight="1">
      <c r="A170" s="8" t="s">
        <v>138</v>
      </c>
      <c r="B170" s="8">
        <v>467.0</v>
      </c>
      <c r="C170" s="8">
        <v>1.0</v>
      </c>
    </row>
    <row r="171" ht="15.0" customHeight="1">
      <c r="A171" s="8" t="s">
        <v>138</v>
      </c>
      <c r="B171" s="8">
        <v>468.0</v>
      </c>
      <c r="C171" s="8">
        <v>1.0</v>
      </c>
      <c r="BJ171" s="8">
        <v>1.0</v>
      </c>
    </row>
    <row r="172" ht="15.0" customHeight="1">
      <c r="A172" s="8" t="s">
        <v>262</v>
      </c>
      <c r="B172" s="8">
        <v>470.0</v>
      </c>
      <c r="C172" s="8">
        <v>1.0</v>
      </c>
      <c r="AE172" s="8">
        <v>1.0</v>
      </c>
    </row>
    <row r="173" ht="15.0" customHeight="1">
      <c r="A173" s="8" t="s">
        <v>114</v>
      </c>
      <c r="B173" s="3" t="s">
        <v>391</v>
      </c>
      <c r="K173" s="8">
        <v>1.0</v>
      </c>
      <c r="M173" s="8">
        <v>1.0</v>
      </c>
      <c r="AN173" s="8">
        <v>1.0</v>
      </c>
      <c r="BK173" s="8">
        <v>1.0</v>
      </c>
    </row>
    <row r="174" ht="15.0" customHeight="1">
      <c r="A174" s="8" t="s">
        <v>114</v>
      </c>
      <c r="B174" s="3" t="s">
        <v>392</v>
      </c>
      <c r="K174" s="8">
        <v>1.0</v>
      </c>
    </row>
    <row r="175" ht="15.0" customHeight="1">
      <c r="A175" s="8" t="s">
        <v>123</v>
      </c>
      <c r="B175" s="3" t="s">
        <v>393</v>
      </c>
      <c r="I175" s="8">
        <v>1.0</v>
      </c>
      <c r="K175" s="8">
        <v>1.0</v>
      </c>
      <c r="U175" s="8">
        <v>1.0</v>
      </c>
      <c r="BB175" s="8">
        <v>1.0</v>
      </c>
      <c r="BG175" s="8">
        <v>1.0</v>
      </c>
    </row>
    <row r="176" ht="15.0" customHeight="1">
      <c r="A176" s="8" t="s">
        <v>136</v>
      </c>
      <c r="B176" s="3" t="s">
        <v>394</v>
      </c>
      <c r="K176" s="8">
        <v>1.0</v>
      </c>
      <c r="R176" s="8">
        <v>1.0</v>
      </c>
      <c r="BB176" s="8">
        <v>1.0</v>
      </c>
      <c r="BI176" s="8">
        <v>1.0</v>
      </c>
    </row>
    <row r="177" ht="15.0" customHeight="1">
      <c r="A177" s="8" t="s">
        <v>175</v>
      </c>
      <c r="B177" s="3" t="s">
        <v>395</v>
      </c>
      <c r="K177" s="8">
        <v>1.0</v>
      </c>
    </row>
    <row r="178" ht="15.0" customHeight="1">
      <c r="A178" s="8" t="s">
        <v>87</v>
      </c>
      <c r="B178" s="3" t="s">
        <v>396</v>
      </c>
      <c r="K178" s="8">
        <v>1.0</v>
      </c>
      <c r="AH178" s="8">
        <v>1.0</v>
      </c>
    </row>
    <row r="179" ht="15.0" customHeight="1">
      <c r="A179" s="8" t="s">
        <v>95</v>
      </c>
      <c r="B179" s="3" t="s">
        <v>397</v>
      </c>
      <c r="K179" s="8">
        <v>1.0</v>
      </c>
    </row>
    <row r="180" ht="15.0" customHeight="1">
      <c r="A180" s="8" t="s">
        <v>95</v>
      </c>
      <c r="B180" s="3" t="s">
        <v>398</v>
      </c>
      <c r="K180" s="8">
        <v>1.0</v>
      </c>
    </row>
    <row r="181" ht="15.0" customHeight="1">
      <c r="A181" s="8" t="s">
        <v>382</v>
      </c>
      <c r="B181" s="3" t="s">
        <v>399</v>
      </c>
      <c r="K181" s="8">
        <v>1.0</v>
      </c>
    </row>
    <row r="182" ht="15.0" customHeight="1">
      <c r="A182" s="8" t="s">
        <v>100</v>
      </c>
      <c r="B182" s="3" t="s">
        <v>400</v>
      </c>
      <c r="K182" s="8">
        <v>1.0</v>
      </c>
    </row>
    <row r="183" ht="15.0" customHeight="1">
      <c r="A183" s="8" t="s">
        <v>114</v>
      </c>
      <c r="B183" s="3" t="s">
        <v>401</v>
      </c>
      <c r="K183" s="8">
        <v>1.0</v>
      </c>
      <c r="M183" s="8">
        <v>1.0</v>
      </c>
    </row>
    <row r="184" ht="15.0" customHeight="1">
      <c r="A184" s="8" t="s">
        <v>135</v>
      </c>
      <c r="B184" s="3" t="s">
        <v>402</v>
      </c>
      <c r="C184" s="8">
        <v>1.0</v>
      </c>
      <c r="AR184" s="8">
        <v>1.0</v>
      </c>
      <c r="CD184" s="8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42.0"/>
    <col customWidth="1" min="3" max="86" width="10.25"/>
  </cols>
  <sheetData>
    <row r="1" ht="15.0" customHeight="1">
      <c r="A1" s="3" t="s">
        <v>0</v>
      </c>
      <c r="B1" s="3" t="s">
        <v>156</v>
      </c>
      <c r="C1" s="3" t="s">
        <v>39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13</v>
      </c>
      <c r="O1" s="3" t="s">
        <v>244</v>
      </c>
      <c r="P1" s="3" t="s">
        <v>15</v>
      </c>
      <c r="Q1" s="3" t="s">
        <v>16</v>
      </c>
      <c r="R1" s="3" t="s">
        <v>17</v>
      </c>
      <c r="S1" s="3" t="s">
        <v>159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364</v>
      </c>
      <c r="Y1" s="3" t="s">
        <v>22</v>
      </c>
      <c r="Z1" s="3" t="s">
        <v>23</v>
      </c>
      <c r="AA1" s="3" t="s">
        <v>24</v>
      </c>
      <c r="AB1" s="3" t="s">
        <v>403</v>
      </c>
      <c r="AC1" s="3" t="s">
        <v>246</v>
      </c>
      <c r="AD1" s="3" t="s">
        <v>25</v>
      </c>
      <c r="AE1" s="3" t="s">
        <v>26</v>
      </c>
      <c r="AF1" s="3" t="s">
        <v>161</v>
      </c>
      <c r="AG1" s="3" t="s">
        <v>27</v>
      </c>
      <c r="AH1" s="3" t="s">
        <v>28</v>
      </c>
      <c r="AI1" s="3" t="s">
        <v>387</v>
      </c>
      <c r="AJ1" s="3" t="s">
        <v>29</v>
      </c>
      <c r="AK1" s="3" t="s">
        <v>30</v>
      </c>
      <c r="AL1" s="3" t="s">
        <v>365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162</v>
      </c>
      <c r="AS1" s="3" t="s">
        <v>163</v>
      </c>
      <c r="AT1" s="3" t="s">
        <v>37</v>
      </c>
      <c r="AU1" s="3" t="s">
        <v>38</v>
      </c>
      <c r="AV1" s="3" t="s">
        <v>40</v>
      </c>
      <c r="AW1" s="3" t="s">
        <v>164</v>
      </c>
      <c r="AX1" s="3" t="s">
        <v>42</v>
      </c>
      <c r="AY1" s="3" t="s">
        <v>165</v>
      </c>
      <c r="AZ1" s="3" t="s">
        <v>43</v>
      </c>
      <c r="BA1" s="3" t="s">
        <v>167</v>
      </c>
      <c r="BB1" s="3" t="s">
        <v>45</v>
      </c>
      <c r="BC1" s="3" t="s">
        <v>404</v>
      </c>
      <c r="BD1" s="3" t="s">
        <v>169</v>
      </c>
      <c r="BE1" s="3" t="s">
        <v>170</v>
      </c>
      <c r="BF1" s="3" t="s">
        <v>2</v>
      </c>
      <c r="BG1" s="3" t="s">
        <v>405</v>
      </c>
      <c r="BH1" s="3" t="s">
        <v>171</v>
      </c>
      <c r="BI1" s="3" t="s">
        <v>317</v>
      </c>
      <c r="BJ1" s="3" t="s">
        <v>48</v>
      </c>
      <c r="BK1" s="3" t="s">
        <v>50</v>
      </c>
      <c r="BL1" s="3" t="s">
        <v>51</v>
      </c>
      <c r="BM1" s="3" t="s">
        <v>52</v>
      </c>
      <c r="BN1" s="3" t="s">
        <v>53</v>
      </c>
      <c r="BO1" s="3" t="s">
        <v>54</v>
      </c>
      <c r="BP1" s="3" t="s">
        <v>172</v>
      </c>
      <c r="BQ1" s="3" t="s">
        <v>318</v>
      </c>
      <c r="BR1" s="3" t="s">
        <v>173</v>
      </c>
      <c r="BS1" s="3" t="s">
        <v>249</v>
      </c>
      <c r="BT1" s="3" t="s">
        <v>56</v>
      </c>
      <c r="BU1" s="3" t="s">
        <v>57</v>
      </c>
      <c r="BV1" s="3" t="s">
        <v>58</v>
      </c>
      <c r="BW1" s="3" t="s">
        <v>59</v>
      </c>
      <c r="BX1" s="3" t="s">
        <v>319</v>
      </c>
      <c r="BY1" s="3" t="s">
        <v>60</v>
      </c>
      <c r="BZ1" s="3" t="s">
        <v>61</v>
      </c>
      <c r="CA1" s="3" t="s">
        <v>62</v>
      </c>
      <c r="CB1" s="3" t="s">
        <v>63</v>
      </c>
      <c r="CC1" s="3" t="s">
        <v>64</v>
      </c>
      <c r="CD1" s="3" t="s">
        <v>65</v>
      </c>
      <c r="CE1" s="3" t="s">
        <v>250</v>
      </c>
      <c r="CF1" s="3" t="s">
        <v>67</v>
      </c>
      <c r="CG1" s="3" t="s">
        <v>68</v>
      </c>
      <c r="CH1" s="3" t="s">
        <v>69</v>
      </c>
    </row>
    <row r="2" ht="15.0" customHeight="1">
      <c r="A2" s="3" t="s">
        <v>70</v>
      </c>
      <c r="B2" s="5">
        <f>COUNTA(B7:B87)</f>
        <v>81</v>
      </c>
    </row>
    <row r="3" ht="15.0" customHeight="1">
      <c r="A3" s="3" t="s">
        <v>71</v>
      </c>
      <c r="B3" s="5">
        <f>COUNTA(B7:B84)</f>
        <v>78</v>
      </c>
    </row>
    <row r="4" ht="15.0" customHeight="1">
      <c r="A4" s="3" t="s">
        <v>72</v>
      </c>
      <c r="C4" s="5">
        <f t="shared" ref="C4:CH4" si="1">SUM(C7:C87)</f>
        <v>70</v>
      </c>
      <c r="D4" s="5">
        <f t="shared" si="1"/>
        <v>0</v>
      </c>
      <c r="E4" s="5">
        <f t="shared" si="1"/>
        <v>2</v>
      </c>
      <c r="F4" s="5">
        <f t="shared" si="1"/>
        <v>0</v>
      </c>
      <c r="G4" s="5">
        <f t="shared" si="1"/>
        <v>12</v>
      </c>
      <c r="H4" s="5">
        <f t="shared" si="1"/>
        <v>6</v>
      </c>
      <c r="I4" s="5">
        <f t="shared" si="1"/>
        <v>20</v>
      </c>
      <c r="J4" s="5">
        <f t="shared" si="1"/>
        <v>2</v>
      </c>
      <c r="K4" s="5">
        <f t="shared" si="1"/>
        <v>4</v>
      </c>
      <c r="L4" s="5">
        <f t="shared" si="1"/>
        <v>1</v>
      </c>
      <c r="M4" s="5">
        <f t="shared" si="1"/>
        <v>0</v>
      </c>
      <c r="N4" s="5">
        <f t="shared" si="1"/>
        <v>1</v>
      </c>
      <c r="O4" s="5">
        <f t="shared" si="1"/>
        <v>1</v>
      </c>
      <c r="P4" s="5">
        <f t="shared" si="1"/>
        <v>14</v>
      </c>
      <c r="Q4" s="5">
        <f t="shared" si="1"/>
        <v>1</v>
      </c>
      <c r="R4" s="5">
        <f t="shared" si="1"/>
        <v>4</v>
      </c>
      <c r="S4" s="5">
        <f t="shared" si="1"/>
        <v>1</v>
      </c>
      <c r="T4" s="5">
        <f t="shared" si="1"/>
        <v>0</v>
      </c>
      <c r="U4" s="5">
        <f t="shared" si="1"/>
        <v>8</v>
      </c>
      <c r="V4" s="5">
        <f t="shared" si="1"/>
        <v>20</v>
      </c>
      <c r="W4" s="5">
        <f t="shared" si="1"/>
        <v>4</v>
      </c>
      <c r="X4" s="5">
        <f t="shared" si="1"/>
        <v>0</v>
      </c>
      <c r="Y4" s="5">
        <f t="shared" si="1"/>
        <v>6</v>
      </c>
      <c r="Z4" s="5">
        <f t="shared" si="1"/>
        <v>4</v>
      </c>
      <c r="AA4" s="5">
        <f t="shared" si="1"/>
        <v>1</v>
      </c>
      <c r="AB4" s="5">
        <f t="shared" si="1"/>
        <v>2</v>
      </c>
      <c r="AC4" s="5">
        <f t="shared" si="1"/>
        <v>0</v>
      </c>
      <c r="AD4" s="5">
        <f t="shared" si="1"/>
        <v>0</v>
      </c>
      <c r="AE4" s="5">
        <f t="shared" si="1"/>
        <v>2</v>
      </c>
      <c r="AF4" s="5">
        <f t="shared" si="1"/>
        <v>0</v>
      </c>
      <c r="AG4" s="5">
        <f t="shared" si="1"/>
        <v>0</v>
      </c>
      <c r="AH4" s="5">
        <f t="shared" si="1"/>
        <v>2</v>
      </c>
      <c r="AI4" s="5">
        <f t="shared" si="1"/>
        <v>0</v>
      </c>
      <c r="AJ4" s="5">
        <f t="shared" si="1"/>
        <v>0</v>
      </c>
      <c r="AK4" s="5">
        <f t="shared" si="1"/>
        <v>6</v>
      </c>
      <c r="AL4" s="5">
        <f t="shared" si="1"/>
        <v>0</v>
      </c>
      <c r="AM4" s="5">
        <f t="shared" si="1"/>
        <v>5</v>
      </c>
      <c r="AN4" s="5">
        <f t="shared" si="1"/>
        <v>2</v>
      </c>
      <c r="AO4" s="5">
        <f t="shared" si="1"/>
        <v>0</v>
      </c>
      <c r="AP4" s="5">
        <f t="shared" si="1"/>
        <v>6</v>
      </c>
      <c r="AQ4" s="5">
        <f t="shared" si="1"/>
        <v>4</v>
      </c>
      <c r="AR4" s="5">
        <f t="shared" si="1"/>
        <v>0</v>
      </c>
      <c r="AS4" s="5">
        <f t="shared" si="1"/>
        <v>2</v>
      </c>
      <c r="AT4" s="5">
        <f t="shared" si="1"/>
        <v>7</v>
      </c>
      <c r="AU4" s="5">
        <f t="shared" si="1"/>
        <v>7</v>
      </c>
      <c r="AV4" s="5">
        <f t="shared" si="1"/>
        <v>2</v>
      </c>
      <c r="AW4" s="5">
        <f t="shared" si="1"/>
        <v>0</v>
      </c>
      <c r="AX4" s="5">
        <f t="shared" si="1"/>
        <v>0</v>
      </c>
      <c r="AY4" s="5">
        <f t="shared" si="1"/>
        <v>3</v>
      </c>
      <c r="AZ4" s="5">
        <f t="shared" si="1"/>
        <v>0</v>
      </c>
      <c r="BA4" s="5">
        <f t="shared" si="1"/>
        <v>2</v>
      </c>
      <c r="BB4" s="5">
        <f t="shared" si="1"/>
        <v>7</v>
      </c>
      <c r="BC4" s="5">
        <f t="shared" si="1"/>
        <v>1</v>
      </c>
      <c r="BD4" s="5">
        <f t="shared" si="1"/>
        <v>6</v>
      </c>
      <c r="BE4" s="5">
        <f t="shared" si="1"/>
        <v>1</v>
      </c>
      <c r="BF4" s="5">
        <f t="shared" si="1"/>
        <v>6</v>
      </c>
      <c r="BG4" s="5">
        <f t="shared" si="1"/>
        <v>2</v>
      </c>
      <c r="BH4" s="5">
        <f t="shared" si="1"/>
        <v>17</v>
      </c>
      <c r="BI4" s="5">
        <f t="shared" si="1"/>
        <v>2</v>
      </c>
      <c r="BJ4" s="5">
        <f t="shared" si="1"/>
        <v>11</v>
      </c>
      <c r="BK4" s="5">
        <f t="shared" si="1"/>
        <v>1</v>
      </c>
      <c r="BL4" s="5">
        <f t="shared" si="1"/>
        <v>9</v>
      </c>
      <c r="BM4" s="5">
        <f t="shared" si="1"/>
        <v>19</v>
      </c>
      <c r="BN4" s="5">
        <f t="shared" si="1"/>
        <v>2</v>
      </c>
      <c r="BO4" s="5">
        <f t="shared" si="1"/>
        <v>2</v>
      </c>
      <c r="BP4" s="5">
        <f t="shared" si="1"/>
        <v>2</v>
      </c>
      <c r="BQ4" s="5">
        <f t="shared" si="1"/>
        <v>3</v>
      </c>
      <c r="BR4" s="5">
        <f t="shared" si="1"/>
        <v>35</v>
      </c>
      <c r="BS4" s="5">
        <f t="shared" si="1"/>
        <v>1</v>
      </c>
      <c r="BT4" s="5">
        <f t="shared" si="1"/>
        <v>3</v>
      </c>
      <c r="BU4" s="5">
        <f t="shared" si="1"/>
        <v>4</v>
      </c>
      <c r="BV4" s="5">
        <f t="shared" si="1"/>
        <v>4</v>
      </c>
      <c r="BW4" s="5">
        <f t="shared" si="1"/>
        <v>0</v>
      </c>
      <c r="BX4" s="5">
        <f t="shared" si="1"/>
        <v>0</v>
      </c>
      <c r="BY4" s="5">
        <f t="shared" si="1"/>
        <v>1</v>
      </c>
      <c r="BZ4" s="5">
        <f t="shared" si="1"/>
        <v>3</v>
      </c>
      <c r="CA4" s="5">
        <f t="shared" si="1"/>
        <v>1</v>
      </c>
      <c r="CB4" s="5">
        <f t="shared" si="1"/>
        <v>8</v>
      </c>
      <c r="CC4" s="5">
        <f t="shared" si="1"/>
        <v>1</v>
      </c>
      <c r="CD4" s="5">
        <f t="shared" si="1"/>
        <v>3</v>
      </c>
      <c r="CE4" s="5">
        <f t="shared" si="1"/>
        <v>3</v>
      </c>
      <c r="CF4" s="5">
        <f t="shared" si="1"/>
        <v>0</v>
      </c>
      <c r="CG4" s="5">
        <f t="shared" si="1"/>
        <v>14</v>
      </c>
      <c r="CH4" s="5">
        <f t="shared" si="1"/>
        <v>4</v>
      </c>
    </row>
    <row r="5" ht="15.0" customHeight="1">
      <c r="A5" s="3" t="s">
        <v>73</v>
      </c>
      <c r="C5" s="5">
        <f t="shared" ref="C5:CH5" si="2">SUM(C7:C84)</f>
        <v>70</v>
      </c>
      <c r="D5" s="5">
        <f t="shared" si="2"/>
        <v>0</v>
      </c>
      <c r="E5" s="5">
        <f t="shared" si="2"/>
        <v>2</v>
      </c>
      <c r="F5" s="5">
        <f t="shared" si="2"/>
        <v>0</v>
      </c>
      <c r="G5" s="5">
        <f t="shared" si="2"/>
        <v>12</v>
      </c>
      <c r="H5" s="5">
        <f t="shared" si="2"/>
        <v>6</v>
      </c>
      <c r="I5" s="5">
        <f t="shared" si="2"/>
        <v>19</v>
      </c>
      <c r="J5" s="5">
        <f t="shared" si="2"/>
        <v>0</v>
      </c>
      <c r="K5" s="5">
        <f t="shared" si="2"/>
        <v>4</v>
      </c>
      <c r="L5" s="5">
        <f t="shared" si="2"/>
        <v>1</v>
      </c>
      <c r="M5" s="5">
        <f t="shared" si="2"/>
        <v>0</v>
      </c>
      <c r="N5" s="5">
        <f t="shared" si="2"/>
        <v>1</v>
      </c>
      <c r="O5" s="5">
        <f t="shared" si="2"/>
        <v>1</v>
      </c>
      <c r="P5" s="5">
        <f t="shared" si="2"/>
        <v>12</v>
      </c>
      <c r="Q5" s="5">
        <f t="shared" si="2"/>
        <v>1</v>
      </c>
      <c r="R5" s="5">
        <f t="shared" si="2"/>
        <v>4</v>
      </c>
      <c r="S5" s="5">
        <f t="shared" si="2"/>
        <v>1</v>
      </c>
      <c r="T5" s="5">
        <f t="shared" si="2"/>
        <v>0</v>
      </c>
      <c r="U5" s="5">
        <f t="shared" si="2"/>
        <v>8</v>
      </c>
      <c r="V5" s="5">
        <f t="shared" si="2"/>
        <v>17</v>
      </c>
      <c r="W5" s="5">
        <f t="shared" si="2"/>
        <v>4</v>
      </c>
      <c r="X5" s="5">
        <f t="shared" si="2"/>
        <v>0</v>
      </c>
      <c r="Y5" s="5">
        <f t="shared" si="2"/>
        <v>5</v>
      </c>
      <c r="Z5" s="5">
        <f t="shared" si="2"/>
        <v>4</v>
      </c>
      <c r="AA5" s="5">
        <f t="shared" si="2"/>
        <v>1</v>
      </c>
      <c r="AB5" s="5">
        <f t="shared" si="2"/>
        <v>2</v>
      </c>
      <c r="AC5" s="5">
        <f t="shared" si="2"/>
        <v>0</v>
      </c>
      <c r="AD5" s="5">
        <f t="shared" si="2"/>
        <v>0</v>
      </c>
      <c r="AE5" s="5">
        <f t="shared" si="2"/>
        <v>2</v>
      </c>
      <c r="AF5" s="5">
        <f t="shared" si="2"/>
        <v>0</v>
      </c>
      <c r="AG5" s="5">
        <f t="shared" si="2"/>
        <v>0</v>
      </c>
      <c r="AH5" s="5">
        <f t="shared" si="2"/>
        <v>2</v>
      </c>
      <c r="AI5" s="5">
        <f t="shared" si="2"/>
        <v>0</v>
      </c>
      <c r="AJ5" s="5">
        <f t="shared" si="2"/>
        <v>0</v>
      </c>
      <c r="AK5" s="5">
        <f t="shared" si="2"/>
        <v>6</v>
      </c>
      <c r="AL5" s="5">
        <f t="shared" si="2"/>
        <v>0</v>
      </c>
      <c r="AM5" s="5">
        <f t="shared" si="2"/>
        <v>5</v>
      </c>
      <c r="AN5" s="5">
        <f t="shared" si="2"/>
        <v>2</v>
      </c>
      <c r="AO5" s="5">
        <f t="shared" si="2"/>
        <v>0</v>
      </c>
      <c r="AP5" s="5">
        <f t="shared" si="2"/>
        <v>6</v>
      </c>
      <c r="AQ5" s="5">
        <f t="shared" si="2"/>
        <v>4</v>
      </c>
      <c r="AR5" s="5">
        <f t="shared" si="2"/>
        <v>0</v>
      </c>
      <c r="AS5" s="5">
        <f t="shared" si="2"/>
        <v>2</v>
      </c>
      <c r="AT5" s="5">
        <f t="shared" si="2"/>
        <v>7</v>
      </c>
      <c r="AU5" s="5">
        <f t="shared" si="2"/>
        <v>7</v>
      </c>
      <c r="AV5" s="5">
        <f t="shared" si="2"/>
        <v>2</v>
      </c>
      <c r="AW5" s="5">
        <f t="shared" si="2"/>
        <v>0</v>
      </c>
      <c r="AX5" s="5">
        <f t="shared" si="2"/>
        <v>0</v>
      </c>
      <c r="AY5" s="5">
        <f t="shared" si="2"/>
        <v>3</v>
      </c>
      <c r="AZ5" s="5">
        <f t="shared" si="2"/>
        <v>0</v>
      </c>
      <c r="BA5" s="5">
        <f t="shared" si="2"/>
        <v>2</v>
      </c>
      <c r="BB5" s="5">
        <f t="shared" si="2"/>
        <v>7</v>
      </c>
      <c r="BC5" s="5">
        <f t="shared" si="2"/>
        <v>1</v>
      </c>
      <c r="BD5" s="5">
        <f t="shared" si="2"/>
        <v>6</v>
      </c>
      <c r="BE5" s="5">
        <f t="shared" si="2"/>
        <v>1</v>
      </c>
      <c r="BF5" s="5">
        <f t="shared" si="2"/>
        <v>6</v>
      </c>
      <c r="BG5" s="5">
        <f t="shared" si="2"/>
        <v>2</v>
      </c>
      <c r="BH5" s="5">
        <f t="shared" si="2"/>
        <v>17</v>
      </c>
      <c r="BI5" s="5">
        <f t="shared" si="2"/>
        <v>2</v>
      </c>
      <c r="BJ5" s="5">
        <f t="shared" si="2"/>
        <v>11</v>
      </c>
      <c r="BK5" s="5">
        <f t="shared" si="2"/>
        <v>1</v>
      </c>
      <c r="BL5" s="5">
        <f t="shared" si="2"/>
        <v>9</v>
      </c>
      <c r="BM5" s="5">
        <f t="shared" si="2"/>
        <v>18</v>
      </c>
      <c r="BN5" s="5">
        <f t="shared" si="2"/>
        <v>2</v>
      </c>
      <c r="BO5" s="5">
        <f t="shared" si="2"/>
        <v>2</v>
      </c>
      <c r="BP5" s="5">
        <f t="shared" si="2"/>
        <v>2</v>
      </c>
      <c r="BQ5" s="5">
        <f t="shared" si="2"/>
        <v>3</v>
      </c>
      <c r="BR5" s="5">
        <f t="shared" si="2"/>
        <v>35</v>
      </c>
      <c r="BS5" s="5">
        <f t="shared" si="2"/>
        <v>1</v>
      </c>
      <c r="BT5" s="5">
        <f t="shared" si="2"/>
        <v>3</v>
      </c>
      <c r="BU5" s="5">
        <f t="shared" si="2"/>
        <v>4</v>
      </c>
      <c r="BV5" s="5">
        <f t="shared" si="2"/>
        <v>4</v>
      </c>
      <c r="BW5" s="5">
        <f t="shared" si="2"/>
        <v>0</v>
      </c>
      <c r="BX5" s="5">
        <f t="shared" si="2"/>
        <v>0</v>
      </c>
      <c r="BY5" s="5">
        <f t="shared" si="2"/>
        <v>1</v>
      </c>
      <c r="BZ5" s="5">
        <f t="shared" si="2"/>
        <v>2</v>
      </c>
      <c r="CA5" s="5">
        <f t="shared" si="2"/>
        <v>1</v>
      </c>
      <c r="CB5" s="5">
        <f t="shared" si="2"/>
        <v>8</v>
      </c>
      <c r="CC5" s="5">
        <f t="shared" si="2"/>
        <v>1</v>
      </c>
      <c r="CD5" s="5">
        <f t="shared" si="2"/>
        <v>3</v>
      </c>
      <c r="CE5" s="5">
        <f t="shared" si="2"/>
        <v>3</v>
      </c>
      <c r="CF5" s="5">
        <f t="shared" si="2"/>
        <v>0</v>
      </c>
      <c r="CG5" s="5">
        <f t="shared" si="2"/>
        <v>14</v>
      </c>
      <c r="CH5" s="5">
        <f t="shared" si="2"/>
        <v>4</v>
      </c>
    </row>
    <row r="6" ht="15.0" customHeight="1">
      <c r="A6" s="3" t="s">
        <v>74</v>
      </c>
      <c r="C6" s="5">
        <f t="shared" ref="C6:CH6" si="3">C5/78</f>
        <v>0.8974358974</v>
      </c>
      <c r="D6" s="5">
        <f t="shared" si="3"/>
        <v>0</v>
      </c>
      <c r="E6" s="5">
        <f t="shared" si="3"/>
        <v>0.02564102564</v>
      </c>
      <c r="F6" s="5">
        <f t="shared" si="3"/>
        <v>0</v>
      </c>
      <c r="G6" s="5">
        <f t="shared" si="3"/>
        <v>0.1538461538</v>
      </c>
      <c r="H6" s="5">
        <f t="shared" si="3"/>
        <v>0.07692307692</v>
      </c>
      <c r="I6" s="5">
        <f t="shared" si="3"/>
        <v>0.2435897436</v>
      </c>
      <c r="J6" s="5">
        <f t="shared" si="3"/>
        <v>0</v>
      </c>
      <c r="K6" s="5">
        <f t="shared" si="3"/>
        <v>0.05128205128</v>
      </c>
      <c r="L6" s="5">
        <f t="shared" si="3"/>
        <v>0.01282051282</v>
      </c>
      <c r="M6" s="5">
        <f t="shared" si="3"/>
        <v>0</v>
      </c>
      <c r="N6" s="5">
        <f t="shared" si="3"/>
        <v>0.01282051282</v>
      </c>
      <c r="O6" s="5">
        <f t="shared" si="3"/>
        <v>0.01282051282</v>
      </c>
      <c r="P6" s="5">
        <f t="shared" si="3"/>
        <v>0.1538461538</v>
      </c>
      <c r="Q6" s="5">
        <f t="shared" si="3"/>
        <v>0.01282051282</v>
      </c>
      <c r="R6" s="5">
        <f t="shared" si="3"/>
        <v>0.05128205128</v>
      </c>
      <c r="S6" s="5">
        <f t="shared" si="3"/>
        <v>0.01282051282</v>
      </c>
      <c r="T6" s="5">
        <f t="shared" si="3"/>
        <v>0</v>
      </c>
      <c r="U6" s="5">
        <f t="shared" si="3"/>
        <v>0.1025641026</v>
      </c>
      <c r="V6" s="5">
        <f t="shared" si="3"/>
        <v>0.2179487179</v>
      </c>
      <c r="W6" s="5">
        <f t="shared" si="3"/>
        <v>0.05128205128</v>
      </c>
      <c r="X6" s="5">
        <f t="shared" si="3"/>
        <v>0</v>
      </c>
      <c r="Y6" s="5">
        <f t="shared" si="3"/>
        <v>0.0641025641</v>
      </c>
      <c r="Z6" s="5">
        <f t="shared" si="3"/>
        <v>0.05128205128</v>
      </c>
      <c r="AA6" s="5">
        <f t="shared" si="3"/>
        <v>0.01282051282</v>
      </c>
      <c r="AB6" s="5">
        <f t="shared" si="3"/>
        <v>0.02564102564</v>
      </c>
      <c r="AC6" s="5">
        <f t="shared" si="3"/>
        <v>0</v>
      </c>
      <c r="AD6" s="5">
        <f t="shared" si="3"/>
        <v>0</v>
      </c>
      <c r="AE6" s="5">
        <f t="shared" si="3"/>
        <v>0.02564102564</v>
      </c>
      <c r="AF6" s="5">
        <f t="shared" si="3"/>
        <v>0</v>
      </c>
      <c r="AG6" s="5">
        <f t="shared" si="3"/>
        <v>0</v>
      </c>
      <c r="AH6" s="5">
        <f t="shared" si="3"/>
        <v>0.02564102564</v>
      </c>
      <c r="AI6" s="5">
        <f t="shared" si="3"/>
        <v>0</v>
      </c>
      <c r="AJ6" s="5">
        <f t="shared" si="3"/>
        <v>0</v>
      </c>
      <c r="AK6" s="5">
        <f t="shared" si="3"/>
        <v>0.07692307692</v>
      </c>
      <c r="AL6" s="5">
        <f t="shared" si="3"/>
        <v>0</v>
      </c>
      <c r="AM6" s="5">
        <f t="shared" si="3"/>
        <v>0.0641025641</v>
      </c>
      <c r="AN6" s="5">
        <f t="shared" si="3"/>
        <v>0.02564102564</v>
      </c>
      <c r="AO6" s="5">
        <f t="shared" si="3"/>
        <v>0</v>
      </c>
      <c r="AP6" s="5">
        <f t="shared" si="3"/>
        <v>0.07692307692</v>
      </c>
      <c r="AQ6" s="5">
        <f t="shared" si="3"/>
        <v>0.05128205128</v>
      </c>
      <c r="AR6" s="5">
        <f t="shared" si="3"/>
        <v>0</v>
      </c>
      <c r="AS6" s="5">
        <f t="shared" si="3"/>
        <v>0.02564102564</v>
      </c>
      <c r="AT6" s="5">
        <f t="shared" si="3"/>
        <v>0.08974358974</v>
      </c>
      <c r="AU6" s="5">
        <f t="shared" si="3"/>
        <v>0.08974358974</v>
      </c>
      <c r="AV6" s="5">
        <f t="shared" si="3"/>
        <v>0.02564102564</v>
      </c>
      <c r="AW6" s="5">
        <f t="shared" si="3"/>
        <v>0</v>
      </c>
      <c r="AX6" s="5">
        <f t="shared" si="3"/>
        <v>0</v>
      </c>
      <c r="AY6" s="5">
        <f t="shared" si="3"/>
        <v>0.03846153846</v>
      </c>
      <c r="AZ6" s="5">
        <f t="shared" si="3"/>
        <v>0</v>
      </c>
      <c r="BA6" s="5">
        <f t="shared" si="3"/>
        <v>0.02564102564</v>
      </c>
      <c r="BB6" s="5">
        <f t="shared" si="3"/>
        <v>0.08974358974</v>
      </c>
      <c r="BC6" s="5">
        <f t="shared" si="3"/>
        <v>0.01282051282</v>
      </c>
      <c r="BD6" s="5">
        <f t="shared" si="3"/>
        <v>0.07692307692</v>
      </c>
      <c r="BE6" s="5">
        <f t="shared" si="3"/>
        <v>0.01282051282</v>
      </c>
      <c r="BF6" s="5">
        <f t="shared" si="3"/>
        <v>0.07692307692</v>
      </c>
      <c r="BG6" s="5">
        <f t="shared" si="3"/>
        <v>0.02564102564</v>
      </c>
      <c r="BH6" s="5">
        <f t="shared" si="3"/>
        <v>0.2179487179</v>
      </c>
      <c r="BI6" s="5">
        <f t="shared" si="3"/>
        <v>0.02564102564</v>
      </c>
      <c r="BJ6" s="5">
        <f t="shared" si="3"/>
        <v>0.141025641</v>
      </c>
      <c r="BK6" s="5">
        <f t="shared" si="3"/>
        <v>0.01282051282</v>
      </c>
      <c r="BL6" s="5">
        <f t="shared" si="3"/>
        <v>0.1153846154</v>
      </c>
      <c r="BM6" s="5">
        <f t="shared" si="3"/>
        <v>0.2307692308</v>
      </c>
      <c r="BN6" s="5">
        <f t="shared" si="3"/>
        <v>0.02564102564</v>
      </c>
      <c r="BO6" s="5">
        <f t="shared" si="3"/>
        <v>0.02564102564</v>
      </c>
      <c r="BP6" s="5">
        <f t="shared" si="3"/>
        <v>0.02564102564</v>
      </c>
      <c r="BQ6" s="5">
        <f t="shared" si="3"/>
        <v>0.03846153846</v>
      </c>
      <c r="BR6" s="5">
        <f t="shared" si="3"/>
        <v>0.4487179487</v>
      </c>
      <c r="BS6" s="5">
        <f t="shared" si="3"/>
        <v>0.01282051282</v>
      </c>
      <c r="BT6" s="5">
        <f t="shared" si="3"/>
        <v>0.03846153846</v>
      </c>
      <c r="BU6" s="5">
        <f t="shared" si="3"/>
        <v>0.05128205128</v>
      </c>
      <c r="BV6" s="5">
        <f t="shared" si="3"/>
        <v>0.05128205128</v>
      </c>
      <c r="BW6" s="5">
        <f t="shared" si="3"/>
        <v>0</v>
      </c>
      <c r="BX6" s="5">
        <f t="shared" si="3"/>
        <v>0</v>
      </c>
      <c r="BY6" s="5">
        <f t="shared" si="3"/>
        <v>0.01282051282</v>
      </c>
      <c r="BZ6" s="5">
        <f t="shared" si="3"/>
        <v>0.02564102564</v>
      </c>
      <c r="CA6" s="5">
        <f t="shared" si="3"/>
        <v>0.01282051282</v>
      </c>
      <c r="CB6" s="5">
        <f t="shared" si="3"/>
        <v>0.1025641026</v>
      </c>
      <c r="CC6" s="5">
        <f t="shared" si="3"/>
        <v>0.01282051282</v>
      </c>
      <c r="CD6" s="5">
        <f t="shared" si="3"/>
        <v>0.03846153846</v>
      </c>
      <c r="CE6" s="5">
        <f t="shared" si="3"/>
        <v>0.03846153846</v>
      </c>
      <c r="CF6" s="5">
        <f t="shared" si="3"/>
        <v>0</v>
      </c>
      <c r="CG6" s="5">
        <f t="shared" si="3"/>
        <v>0.1794871795</v>
      </c>
      <c r="CH6" s="5">
        <f t="shared" si="3"/>
        <v>0.05128205128</v>
      </c>
    </row>
    <row r="7" ht="15.0" customHeight="1">
      <c r="A7" s="8" t="s">
        <v>188</v>
      </c>
      <c r="B7" s="8">
        <v>110.0</v>
      </c>
      <c r="C7" s="8">
        <v>1.0</v>
      </c>
      <c r="P7" s="8">
        <v>1.0</v>
      </c>
      <c r="V7" s="8">
        <v>1.0</v>
      </c>
      <c r="Z7" s="8">
        <v>1.0</v>
      </c>
      <c r="AP7" s="8">
        <v>1.0</v>
      </c>
      <c r="BD7" s="8">
        <v>1.0</v>
      </c>
      <c r="BF7" s="8">
        <v>1.0</v>
      </c>
      <c r="BM7" s="8">
        <v>1.0</v>
      </c>
      <c r="BR7" s="8">
        <v>1.0</v>
      </c>
    </row>
    <row r="8" ht="15.0" customHeight="1">
      <c r="A8" s="8" t="s">
        <v>175</v>
      </c>
      <c r="B8" s="8">
        <v>111.0</v>
      </c>
      <c r="C8" s="8">
        <v>1.0</v>
      </c>
      <c r="L8" s="8">
        <v>1.0</v>
      </c>
      <c r="BR8" s="8">
        <v>1.0</v>
      </c>
      <c r="CB8" s="8">
        <v>1.0</v>
      </c>
    </row>
    <row r="9" ht="15.0" customHeight="1">
      <c r="A9" s="8" t="s">
        <v>175</v>
      </c>
      <c r="B9" s="8">
        <v>111.0</v>
      </c>
      <c r="I9" s="8">
        <v>1.0</v>
      </c>
      <c r="K9" s="8">
        <v>1.0</v>
      </c>
      <c r="AT9" s="8">
        <v>1.0</v>
      </c>
      <c r="BD9" s="8">
        <v>1.0</v>
      </c>
      <c r="BM9" s="8">
        <v>1.0</v>
      </c>
      <c r="CG9" s="8">
        <v>1.0</v>
      </c>
    </row>
    <row r="10" ht="15.0" customHeight="1">
      <c r="A10" s="8" t="s">
        <v>77</v>
      </c>
      <c r="B10" s="8">
        <v>113.0</v>
      </c>
      <c r="C10" s="8">
        <v>1.0</v>
      </c>
      <c r="P10" s="8">
        <v>1.0</v>
      </c>
      <c r="AH10" s="8">
        <v>1.0</v>
      </c>
      <c r="AK10" s="8">
        <v>1.0</v>
      </c>
      <c r="AP10" s="8">
        <v>1.0</v>
      </c>
      <c r="AT10" s="8">
        <v>1.0</v>
      </c>
      <c r="BH10" s="8">
        <v>1.0</v>
      </c>
      <c r="BO10" s="8">
        <v>1.0</v>
      </c>
      <c r="BR10" s="8">
        <v>1.0</v>
      </c>
      <c r="BV10" s="8">
        <v>1.0</v>
      </c>
    </row>
    <row r="11" ht="15.0" customHeight="1">
      <c r="A11" s="8" t="s">
        <v>78</v>
      </c>
      <c r="B11" s="8">
        <v>114.0</v>
      </c>
      <c r="I11" s="8">
        <v>1.0</v>
      </c>
      <c r="S11" s="8">
        <v>1.0</v>
      </c>
      <c r="V11" s="8">
        <v>1.0</v>
      </c>
      <c r="CG11" s="8">
        <v>1.0</v>
      </c>
    </row>
    <row r="12" ht="15.0" customHeight="1">
      <c r="A12" s="8" t="s">
        <v>79</v>
      </c>
      <c r="B12" s="8">
        <v>115.0</v>
      </c>
      <c r="C12" s="8">
        <v>1.0</v>
      </c>
      <c r="H12" s="8">
        <v>1.0</v>
      </c>
      <c r="BR12" s="8">
        <v>1.0</v>
      </c>
      <c r="BZ12" s="8">
        <v>1.0</v>
      </c>
      <c r="CH12" s="8">
        <v>1.0</v>
      </c>
    </row>
    <row r="13" ht="15.0" customHeight="1">
      <c r="A13" s="8" t="s">
        <v>80</v>
      </c>
      <c r="B13" s="8">
        <v>117.0</v>
      </c>
      <c r="C13" s="8">
        <v>1.0</v>
      </c>
      <c r="BR13" s="8">
        <v>1.0</v>
      </c>
      <c r="CG13" s="8">
        <v>1.0</v>
      </c>
    </row>
    <row r="14" ht="15.0" customHeight="1">
      <c r="A14" s="8" t="s">
        <v>210</v>
      </c>
      <c r="B14" s="8">
        <v>118.0</v>
      </c>
      <c r="C14" s="8">
        <v>1.0</v>
      </c>
      <c r="G14" s="8">
        <v>1.0</v>
      </c>
      <c r="K14" s="8">
        <v>1.0</v>
      </c>
      <c r="P14" s="8">
        <v>1.0</v>
      </c>
      <c r="BR14" s="8">
        <v>1.0</v>
      </c>
      <c r="BS14" s="8">
        <v>1.0</v>
      </c>
    </row>
    <row r="15" ht="15.0" customHeight="1">
      <c r="A15" s="8" t="s">
        <v>83</v>
      </c>
      <c r="B15" s="8">
        <v>119.0</v>
      </c>
      <c r="C15" s="8">
        <v>1.0</v>
      </c>
      <c r="BM15" s="8">
        <v>1.0</v>
      </c>
    </row>
    <row r="16" ht="15.0" customHeight="1">
      <c r="A16" s="8" t="s">
        <v>82</v>
      </c>
      <c r="B16" s="8">
        <v>120.0</v>
      </c>
      <c r="C16" s="8">
        <v>1.0</v>
      </c>
      <c r="BH16" s="8">
        <v>1.0</v>
      </c>
      <c r="BM16" s="8">
        <v>1.0</v>
      </c>
      <c r="BR16" s="8">
        <v>1.0</v>
      </c>
    </row>
    <row r="17" ht="15.0" customHeight="1">
      <c r="A17" s="8" t="s">
        <v>176</v>
      </c>
      <c r="B17" s="8">
        <v>122.0</v>
      </c>
      <c r="C17" s="8">
        <v>1.0</v>
      </c>
      <c r="I17" s="8">
        <v>1.0</v>
      </c>
      <c r="BH17" s="8">
        <v>1.0</v>
      </c>
      <c r="BJ17" s="8">
        <v>1.0</v>
      </c>
      <c r="BR17" s="8">
        <v>1.0</v>
      </c>
      <c r="CE17" s="8">
        <v>1.0</v>
      </c>
      <c r="CG17" s="8">
        <v>1.0</v>
      </c>
    </row>
    <row r="18" ht="15.0" customHeight="1">
      <c r="A18" s="8" t="s">
        <v>176</v>
      </c>
      <c r="B18" s="8">
        <v>123.0</v>
      </c>
      <c r="C18" s="8">
        <v>1.0</v>
      </c>
      <c r="AA18" s="8">
        <v>1.0</v>
      </c>
    </row>
    <row r="19" ht="15.0" customHeight="1">
      <c r="A19" s="8" t="s">
        <v>85</v>
      </c>
      <c r="B19" s="8">
        <v>124.0</v>
      </c>
      <c r="C19" s="8">
        <v>1.0</v>
      </c>
      <c r="AK19" s="8">
        <v>1.0</v>
      </c>
      <c r="AU19" s="8">
        <v>1.0</v>
      </c>
      <c r="BA19" s="8">
        <v>1.0</v>
      </c>
    </row>
    <row r="20" ht="15.0" customHeight="1">
      <c r="A20" s="8" t="s">
        <v>86</v>
      </c>
      <c r="B20" s="8">
        <v>125.0</v>
      </c>
      <c r="C20" s="8">
        <v>1.0</v>
      </c>
      <c r="P20" s="8">
        <v>1.0</v>
      </c>
      <c r="W20" s="8">
        <v>1.0</v>
      </c>
      <c r="Z20" s="8">
        <v>1.0</v>
      </c>
      <c r="AU20" s="8">
        <v>1.0</v>
      </c>
      <c r="BH20" s="8">
        <v>1.0</v>
      </c>
      <c r="BR20" s="8">
        <v>1.0</v>
      </c>
    </row>
    <row r="21" ht="15.0" customHeight="1">
      <c r="A21" s="8" t="s">
        <v>87</v>
      </c>
      <c r="B21" s="8">
        <v>127.0</v>
      </c>
      <c r="C21" s="8">
        <v>1.0</v>
      </c>
      <c r="P21" s="8">
        <v>1.0</v>
      </c>
      <c r="V21" s="8">
        <v>1.0</v>
      </c>
      <c r="Z21" s="8">
        <v>1.0</v>
      </c>
      <c r="AP21" s="8">
        <v>1.0</v>
      </c>
      <c r="AT21" s="8">
        <v>1.0</v>
      </c>
      <c r="BF21" s="8">
        <v>1.0</v>
      </c>
      <c r="BZ21" s="8">
        <v>1.0</v>
      </c>
      <c r="CA21" s="8">
        <v>1.0</v>
      </c>
    </row>
    <row r="22" ht="15.0" customHeight="1">
      <c r="A22" s="8" t="s">
        <v>198</v>
      </c>
      <c r="B22" s="8">
        <v>128.0</v>
      </c>
      <c r="C22" s="8">
        <v>1.0</v>
      </c>
      <c r="I22" s="8">
        <v>1.0</v>
      </c>
      <c r="V22" s="8">
        <v>1.0</v>
      </c>
      <c r="AT22" s="8">
        <v>1.0</v>
      </c>
      <c r="BL22" s="8">
        <v>1.0</v>
      </c>
      <c r="BM22" s="8">
        <v>1.0</v>
      </c>
      <c r="CB22" s="8">
        <v>1.0</v>
      </c>
      <c r="CG22" s="8">
        <v>1.0</v>
      </c>
    </row>
    <row r="23" ht="15.0" customHeight="1">
      <c r="A23" s="8" t="s">
        <v>198</v>
      </c>
      <c r="B23" s="8">
        <v>129.0</v>
      </c>
      <c r="C23" s="8">
        <v>1.0</v>
      </c>
      <c r="I23" s="8">
        <v>1.0</v>
      </c>
      <c r="V23" s="8">
        <v>1.0</v>
      </c>
      <c r="AT23" s="8">
        <v>1.0</v>
      </c>
      <c r="BL23" s="8">
        <v>1.0</v>
      </c>
      <c r="BM23" s="8">
        <v>1.0</v>
      </c>
      <c r="CB23" s="8">
        <v>1.0</v>
      </c>
      <c r="CG23" s="8">
        <v>1.0</v>
      </c>
    </row>
    <row r="24" ht="15.0" customHeight="1">
      <c r="A24" s="8" t="s">
        <v>88</v>
      </c>
      <c r="B24" s="8">
        <v>130.0</v>
      </c>
      <c r="C24" s="8">
        <v>1.0</v>
      </c>
      <c r="BH24" s="8">
        <v>1.0</v>
      </c>
    </row>
    <row r="25" ht="15.0" customHeight="1">
      <c r="A25" s="8" t="s">
        <v>149</v>
      </c>
      <c r="B25" s="8">
        <v>131.0</v>
      </c>
      <c r="C25" s="8">
        <v>1.0</v>
      </c>
    </row>
    <row r="26" ht="15.0" customHeight="1">
      <c r="A26" s="8" t="s">
        <v>212</v>
      </c>
      <c r="B26" s="8">
        <v>132.0</v>
      </c>
      <c r="I26" s="8">
        <v>1.0</v>
      </c>
      <c r="V26" s="8">
        <v>1.0</v>
      </c>
      <c r="BD26" s="8">
        <v>1.0</v>
      </c>
      <c r="BJ26" s="8">
        <v>1.0</v>
      </c>
      <c r="CG26" s="8">
        <v>1.0</v>
      </c>
    </row>
    <row r="27" ht="15.0" customHeight="1">
      <c r="A27" s="8" t="s">
        <v>95</v>
      </c>
      <c r="B27" s="8">
        <v>134.0</v>
      </c>
      <c r="C27" s="8">
        <v>1.0</v>
      </c>
      <c r="G27" s="8">
        <v>1.0</v>
      </c>
      <c r="H27" s="8">
        <v>1.0</v>
      </c>
      <c r="I27" s="8">
        <v>1.0</v>
      </c>
      <c r="N27" s="8">
        <v>1.0</v>
      </c>
      <c r="R27" s="8">
        <v>1.0</v>
      </c>
      <c r="U27" s="8">
        <v>1.0</v>
      </c>
      <c r="V27" s="8">
        <v>1.0</v>
      </c>
      <c r="W27" s="8">
        <v>1.0</v>
      </c>
      <c r="AK27" s="8">
        <v>1.0</v>
      </c>
      <c r="AM27" s="8">
        <v>1.0</v>
      </c>
      <c r="AT27" s="8">
        <v>1.0</v>
      </c>
      <c r="AY27" s="8">
        <v>1.0</v>
      </c>
      <c r="BB27" s="8">
        <v>1.0</v>
      </c>
      <c r="BD27" s="8">
        <v>1.0</v>
      </c>
      <c r="BF27" s="8">
        <v>1.0</v>
      </c>
      <c r="BH27" s="8">
        <v>1.0</v>
      </c>
      <c r="BI27" s="8">
        <v>1.0</v>
      </c>
      <c r="BJ27" s="8">
        <v>1.0</v>
      </c>
      <c r="BK27" s="8">
        <v>1.0</v>
      </c>
      <c r="BL27" s="8">
        <v>1.0</v>
      </c>
      <c r="BM27" s="8">
        <v>1.0</v>
      </c>
      <c r="BR27" s="8">
        <v>1.0</v>
      </c>
      <c r="BY27" s="8">
        <v>1.0</v>
      </c>
      <c r="CB27" s="8">
        <v>1.0</v>
      </c>
      <c r="CC27" s="8">
        <v>1.0</v>
      </c>
      <c r="CD27" s="8">
        <v>1.0</v>
      </c>
      <c r="CG27" s="8">
        <v>1.0</v>
      </c>
    </row>
    <row r="28" ht="15.0" customHeight="1">
      <c r="A28" s="8" t="s">
        <v>91</v>
      </c>
      <c r="B28" s="8">
        <v>135.0</v>
      </c>
      <c r="C28" s="8">
        <v>1.0</v>
      </c>
      <c r="Y28" s="8">
        <v>1.0</v>
      </c>
      <c r="BH28" s="8">
        <v>1.0</v>
      </c>
    </row>
    <row r="29" ht="15.0" customHeight="1">
      <c r="A29" s="8" t="s">
        <v>92</v>
      </c>
      <c r="B29" s="8">
        <v>136.0</v>
      </c>
      <c r="C29" s="8">
        <v>1.0</v>
      </c>
      <c r="I29" s="8">
        <v>1.0</v>
      </c>
      <c r="K29" s="8">
        <v>1.0</v>
      </c>
      <c r="P29" s="8">
        <v>1.0</v>
      </c>
      <c r="V29" s="8">
        <v>1.0</v>
      </c>
      <c r="Z29" s="8">
        <v>1.0</v>
      </c>
      <c r="BR29" s="8">
        <v>1.0</v>
      </c>
      <c r="CH29" s="8">
        <v>1.0</v>
      </c>
    </row>
    <row r="30" ht="15.0" customHeight="1">
      <c r="A30" s="8" t="s">
        <v>189</v>
      </c>
      <c r="B30" s="8">
        <v>137.0</v>
      </c>
      <c r="C30" s="8">
        <v>1.0</v>
      </c>
      <c r="I30" s="8">
        <v>1.0</v>
      </c>
      <c r="U30" s="8">
        <v>1.0</v>
      </c>
      <c r="BH30" s="8">
        <v>1.0</v>
      </c>
      <c r="BL30" s="8">
        <v>1.0</v>
      </c>
      <c r="BV30" s="8">
        <v>1.0</v>
      </c>
      <c r="CB30" s="8">
        <v>1.0</v>
      </c>
    </row>
    <row r="31" ht="15.0" customHeight="1">
      <c r="A31" s="8" t="s">
        <v>94</v>
      </c>
      <c r="B31" s="8">
        <v>138.0</v>
      </c>
      <c r="C31" s="8">
        <v>1.0</v>
      </c>
      <c r="P31" s="8">
        <v>1.0</v>
      </c>
      <c r="AK31" s="8">
        <v>1.0</v>
      </c>
    </row>
    <row r="32" ht="15.0" customHeight="1">
      <c r="A32" s="8" t="s">
        <v>94</v>
      </c>
      <c r="B32" s="8">
        <v>139.0</v>
      </c>
      <c r="C32" s="8">
        <v>1.0</v>
      </c>
      <c r="BM32" s="8">
        <v>1.0</v>
      </c>
    </row>
    <row r="33" ht="15.0" customHeight="1">
      <c r="A33" s="8" t="s">
        <v>195</v>
      </c>
      <c r="B33" s="8">
        <v>141.0</v>
      </c>
      <c r="C33" s="8">
        <v>1.0</v>
      </c>
      <c r="BH33" s="8">
        <v>1.0</v>
      </c>
      <c r="CG33" s="8">
        <v>1.0</v>
      </c>
    </row>
    <row r="34" ht="15.0" customHeight="1">
      <c r="A34" s="8" t="s">
        <v>382</v>
      </c>
      <c r="B34" s="8">
        <v>142.0</v>
      </c>
      <c r="C34" s="8">
        <v>1.0</v>
      </c>
      <c r="BB34" s="8">
        <v>1.0</v>
      </c>
      <c r="BL34" s="8">
        <v>1.0</v>
      </c>
      <c r="BM34" s="8">
        <v>1.0</v>
      </c>
      <c r="CG34" s="8">
        <v>1.0</v>
      </c>
    </row>
    <row r="35" ht="15.0" customHeight="1">
      <c r="A35" s="8" t="s">
        <v>96</v>
      </c>
      <c r="B35" s="8">
        <v>143.0</v>
      </c>
      <c r="C35" s="8">
        <v>1.0</v>
      </c>
      <c r="BH35" s="8">
        <v>1.0</v>
      </c>
    </row>
    <row r="36" ht="15.0" customHeight="1">
      <c r="A36" s="8" t="s">
        <v>96</v>
      </c>
      <c r="B36" s="8">
        <v>144.0</v>
      </c>
      <c r="C36" s="8">
        <v>1.0</v>
      </c>
      <c r="I36" s="8">
        <v>1.0</v>
      </c>
      <c r="AK36" s="8">
        <v>1.0</v>
      </c>
      <c r="AP36" s="8">
        <v>1.0</v>
      </c>
      <c r="BL36" s="8">
        <v>1.0</v>
      </c>
    </row>
    <row r="37" ht="15.0" customHeight="1">
      <c r="A37" s="8" t="s">
        <v>96</v>
      </c>
      <c r="B37" s="8">
        <v>145.0</v>
      </c>
      <c r="C37" s="8">
        <v>1.0</v>
      </c>
      <c r="I37" s="8">
        <v>1.0</v>
      </c>
      <c r="U37" s="8">
        <v>1.0</v>
      </c>
      <c r="V37" s="8">
        <v>1.0</v>
      </c>
      <c r="AQ37" s="8">
        <v>1.0</v>
      </c>
      <c r="BB37" s="8">
        <v>1.0</v>
      </c>
      <c r="BH37" s="8">
        <v>1.0</v>
      </c>
      <c r="BJ37" s="8">
        <v>1.0</v>
      </c>
      <c r="BM37" s="8">
        <v>1.0</v>
      </c>
      <c r="CB37" s="8">
        <v>1.0</v>
      </c>
    </row>
    <row r="38" ht="15.0" customHeight="1">
      <c r="A38" s="8" t="s">
        <v>99</v>
      </c>
      <c r="B38" s="8">
        <v>146.0</v>
      </c>
      <c r="C38" s="8">
        <v>1.0</v>
      </c>
    </row>
    <row r="39" ht="15.0" customHeight="1">
      <c r="A39" s="8" t="s">
        <v>100</v>
      </c>
      <c r="B39" s="8">
        <v>147.0</v>
      </c>
      <c r="C39" s="8">
        <v>1.0</v>
      </c>
      <c r="AU39" s="8">
        <v>1.0</v>
      </c>
      <c r="BC39" s="8">
        <v>1.0</v>
      </c>
      <c r="BR39" s="8">
        <v>1.0</v>
      </c>
      <c r="BU39" s="8">
        <v>1.0</v>
      </c>
      <c r="CH39" s="8">
        <v>1.0</v>
      </c>
    </row>
    <row r="40" ht="15.0" customHeight="1">
      <c r="A40" s="8" t="s">
        <v>101</v>
      </c>
      <c r="B40" s="8">
        <v>148.0</v>
      </c>
      <c r="C40" s="8">
        <v>1.0</v>
      </c>
      <c r="G40" s="8">
        <v>1.0</v>
      </c>
      <c r="I40" s="8">
        <v>1.0</v>
      </c>
      <c r="AE40" s="8">
        <v>1.0</v>
      </c>
      <c r="AY40" s="8">
        <v>1.0</v>
      </c>
      <c r="BJ40" s="8">
        <v>1.0</v>
      </c>
      <c r="CE40" s="8">
        <v>1.0</v>
      </c>
    </row>
    <row r="41" ht="15.0" customHeight="1">
      <c r="A41" s="8" t="s">
        <v>102</v>
      </c>
      <c r="B41" s="8">
        <v>149.0</v>
      </c>
      <c r="C41" s="8">
        <v>1.0</v>
      </c>
      <c r="AK41" s="8">
        <v>1.0</v>
      </c>
      <c r="AU41" s="8">
        <v>1.0</v>
      </c>
      <c r="BH41" s="8">
        <v>1.0</v>
      </c>
    </row>
    <row r="42" ht="15.0" customHeight="1">
      <c r="A42" s="8" t="s">
        <v>180</v>
      </c>
      <c r="B42" s="8">
        <v>150.0</v>
      </c>
      <c r="V42" s="8">
        <v>1.0</v>
      </c>
      <c r="Y42" s="8">
        <v>1.0</v>
      </c>
      <c r="BB42" s="8">
        <v>1.0</v>
      </c>
      <c r="BH42" s="8">
        <v>1.0</v>
      </c>
      <c r="BR42" s="8">
        <v>1.0</v>
      </c>
      <c r="CH42" s="8">
        <v>1.0</v>
      </c>
    </row>
    <row r="43" ht="15.0" customHeight="1">
      <c r="A43" s="8" t="s">
        <v>146</v>
      </c>
      <c r="B43" s="8">
        <v>151.0</v>
      </c>
      <c r="C43" s="8">
        <v>1.0</v>
      </c>
      <c r="G43" s="8">
        <v>1.0</v>
      </c>
      <c r="I43" s="8">
        <v>1.0</v>
      </c>
      <c r="P43" s="8">
        <v>1.0</v>
      </c>
      <c r="BM43" s="8">
        <v>1.0</v>
      </c>
      <c r="BR43" s="8">
        <v>1.0</v>
      </c>
    </row>
    <row r="44" ht="15.0" customHeight="1">
      <c r="A44" s="8" t="s">
        <v>104</v>
      </c>
      <c r="B44" s="8">
        <v>152.0</v>
      </c>
      <c r="C44" s="8">
        <v>1.0</v>
      </c>
      <c r="BR44" s="8">
        <v>1.0</v>
      </c>
    </row>
    <row r="45" ht="15.0" customHeight="1">
      <c r="A45" s="8" t="s">
        <v>201</v>
      </c>
      <c r="B45" s="8">
        <v>153.0</v>
      </c>
      <c r="C45" s="8">
        <v>1.0</v>
      </c>
    </row>
    <row r="46" ht="15.0" customHeight="1">
      <c r="A46" s="8" t="s">
        <v>181</v>
      </c>
      <c r="B46" s="8">
        <v>154.0</v>
      </c>
      <c r="C46" s="8">
        <v>1.0</v>
      </c>
      <c r="E46" s="8">
        <v>1.0</v>
      </c>
      <c r="Y46" s="8">
        <v>1.0</v>
      </c>
      <c r="AS46" s="8">
        <v>1.0</v>
      </c>
      <c r="BR46" s="8">
        <v>1.0</v>
      </c>
    </row>
    <row r="47" ht="15.0" customHeight="1">
      <c r="A47" s="8" t="s">
        <v>181</v>
      </c>
      <c r="B47" s="8">
        <v>155.0</v>
      </c>
      <c r="C47" s="8">
        <v>1.0</v>
      </c>
      <c r="BM47" s="8">
        <v>1.0</v>
      </c>
    </row>
    <row r="48" ht="15.0" customHeight="1">
      <c r="A48" s="8" t="s">
        <v>196</v>
      </c>
      <c r="B48" s="8">
        <v>156.0</v>
      </c>
      <c r="C48" s="8">
        <v>1.0</v>
      </c>
      <c r="BP48" s="8">
        <v>1.0</v>
      </c>
    </row>
    <row r="49" ht="15.0" customHeight="1">
      <c r="A49" s="8" t="s">
        <v>111</v>
      </c>
      <c r="B49" s="8">
        <v>156.0</v>
      </c>
      <c r="C49" s="8">
        <v>1.0</v>
      </c>
      <c r="Y49" s="8">
        <v>1.0</v>
      </c>
      <c r="AM49" s="8">
        <v>1.0</v>
      </c>
      <c r="BH49" s="8">
        <v>1.0</v>
      </c>
      <c r="BP49" s="8">
        <v>1.0</v>
      </c>
      <c r="BR49" s="8">
        <v>1.0</v>
      </c>
      <c r="BT49" s="8">
        <v>1.0</v>
      </c>
    </row>
    <row r="50" ht="15.0" customHeight="1">
      <c r="A50" s="8" t="s">
        <v>112</v>
      </c>
      <c r="B50" s="8">
        <v>158.0</v>
      </c>
      <c r="C50" s="8">
        <v>1.0</v>
      </c>
      <c r="H50" s="8">
        <v>1.0</v>
      </c>
      <c r="AM50" s="8">
        <v>1.0</v>
      </c>
      <c r="BJ50" s="8">
        <v>1.0</v>
      </c>
      <c r="BQ50" s="8">
        <v>1.0</v>
      </c>
      <c r="BR50" s="8">
        <v>1.0</v>
      </c>
      <c r="BT50" s="8">
        <v>1.0</v>
      </c>
    </row>
    <row r="51" ht="15.0" customHeight="1">
      <c r="A51" s="8" t="s">
        <v>116</v>
      </c>
      <c r="B51" s="8">
        <v>159.0</v>
      </c>
      <c r="C51" s="8">
        <v>1.0</v>
      </c>
      <c r="G51" s="8">
        <v>1.0</v>
      </c>
      <c r="I51" s="8">
        <v>1.0</v>
      </c>
      <c r="P51" s="8">
        <v>1.0</v>
      </c>
      <c r="R51" s="8">
        <v>1.0</v>
      </c>
      <c r="U51" s="8">
        <v>1.0</v>
      </c>
      <c r="Y51" s="8">
        <v>1.0</v>
      </c>
      <c r="AM51" s="8">
        <v>1.0</v>
      </c>
      <c r="AP51" s="8">
        <v>1.0</v>
      </c>
      <c r="AS51" s="8">
        <v>1.0</v>
      </c>
      <c r="AT51" s="8">
        <v>1.0</v>
      </c>
      <c r="BD51" s="8">
        <v>1.0</v>
      </c>
      <c r="BH51" s="8">
        <v>1.0</v>
      </c>
      <c r="BJ51" s="8">
        <v>1.0</v>
      </c>
      <c r="BL51" s="8">
        <v>1.0</v>
      </c>
      <c r="BM51" s="8">
        <v>1.0</v>
      </c>
      <c r="BU51" s="8">
        <v>1.0</v>
      </c>
      <c r="BV51" s="8">
        <v>1.0</v>
      </c>
      <c r="CB51" s="8">
        <v>1.0</v>
      </c>
    </row>
    <row r="52" ht="15.0" customHeight="1">
      <c r="A52" s="8" t="s">
        <v>115</v>
      </c>
      <c r="B52" s="8">
        <v>159.0</v>
      </c>
      <c r="I52" s="8">
        <v>1.0</v>
      </c>
      <c r="AP52" s="8">
        <v>1.0</v>
      </c>
      <c r="BL52" s="8">
        <v>1.0</v>
      </c>
      <c r="CG52" s="8">
        <v>1.0</v>
      </c>
    </row>
    <row r="53" ht="15.0" customHeight="1">
      <c r="A53" s="8" t="s">
        <v>117</v>
      </c>
      <c r="B53" s="8">
        <v>161.0</v>
      </c>
      <c r="C53" s="8">
        <v>1.0</v>
      </c>
      <c r="BR53" s="8">
        <v>1.0</v>
      </c>
    </row>
    <row r="54" ht="15.0" customHeight="1">
      <c r="A54" s="8" t="s">
        <v>119</v>
      </c>
      <c r="B54" s="8">
        <v>162.0</v>
      </c>
      <c r="C54" s="8">
        <v>1.0</v>
      </c>
      <c r="P54" s="8">
        <v>1.0</v>
      </c>
    </row>
    <row r="55" ht="15.0" customHeight="1">
      <c r="A55" s="8" t="s">
        <v>197</v>
      </c>
      <c r="B55" s="8">
        <v>163.0</v>
      </c>
      <c r="C55" s="8">
        <v>1.0</v>
      </c>
      <c r="U55" s="8">
        <v>1.0</v>
      </c>
      <c r="V55" s="8">
        <v>1.0</v>
      </c>
      <c r="BM55" s="8">
        <v>1.0</v>
      </c>
    </row>
    <row r="56" ht="15.0" customHeight="1">
      <c r="A56" s="8" t="s">
        <v>121</v>
      </c>
      <c r="B56" s="8">
        <v>164.0</v>
      </c>
      <c r="C56" s="8">
        <v>1.0</v>
      </c>
      <c r="AU56" s="8">
        <v>1.0</v>
      </c>
    </row>
    <row r="57" ht="15.0" customHeight="1">
      <c r="A57" s="8" t="s">
        <v>122</v>
      </c>
      <c r="B57" s="8">
        <v>165.0</v>
      </c>
      <c r="C57" s="8">
        <v>1.0</v>
      </c>
      <c r="G57" s="8">
        <v>1.0</v>
      </c>
      <c r="P57" s="8">
        <v>1.0</v>
      </c>
      <c r="BG57" s="8">
        <v>1.0</v>
      </c>
    </row>
    <row r="58" ht="15.0" customHeight="1">
      <c r="A58" s="8" t="s">
        <v>122</v>
      </c>
      <c r="B58" s="8">
        <v>166.0</v>
      </c>
      <c r="C58" s="8">
        <v>1.0</v>
      </c>
      <c r="AU58" s="8">
        <v>1.0</v>
      </c>
      <c r="BB58" s="8">
        <v>1.0</v>
      </c>
      <c r="BM58" s="8">
        <v>1.0</v>
      </c>
      <c r="BR58" s="8">
        <v>1.0</v>
      </c>
    </row>
    <row r="59" ht="15.0" customHeight="1">
      <c r="A59" s="8" t="s">
        <v>123</v>
      </c>
      <c r="B59" s="8">
        <v>167.0</v>
      </c>
      <c r="C59" s="8">
        <v>1.0</v>
      </c>
      <c r="P59" s="8">
        <v>1.0</v>
      </c>
      <c r="Q59" s="8">
        <v>1.0</v>
      </c>
      <c r="V59" s="8">
        <v>1.0</v>
      </c>
      <c r="W59" s="8">
        <v>1.0</v>
      </c>
      <c r="AN59" s="8">
        <v>1.0</v>
      </c>
      <c r="BH59" s="8">
        <v>1.0</v>
      </c>
      <c r="BQ59" s="8">
        <v>1.0</v>
      </c>
    </row>
    <row r="60" ht="15.0" customHeight="1">
      <c r="A60" s="8" t="s">
        <v>123</v>
      </c>
      <c r="B60" s="8">
        <v>168.0</v>
      </c>
      <c r="C60" s="8">
        <v>1.0</v>
      </c>
      <c r="AN60" s="8">
        <v>1.0</v>
      </c>
      <c r="AU60" s="8">
        <v>1.0</v>
      </c>
      <c r="BM60" s="8">
        <v>1.0</v>
      </c>
    </row>
    <row r="61" ht="15.0" customHeight="1">
      <c r="A61" s="8" t="s">
        <v>123</v>
      </c>
      <c r="B61" s="8">
        <v>169.0</v>
      </c>
      <c r="C61" s="8">
        <v>1.0</v>
      </c>
      <c r="BR61" s="8">
        <v>1.0</v>
      </c>
    </row>
    <row r="62" ht="15.0" customHeight="1">
      <c r="A62" s="8" t="s">
        <v>124</v>
      </c>
      <c r="B62" s="8">
        <v>170.0</v>
      </c>
      <c r="C62" s="8">
        <v>1.0</v>
      </c>
      <c r="V62" s="8">
        <v>1.0</v>
      </c>
      <c r="BR62" s="8">
        <v>1.0</v>
      </c>
    </row>
    <row r="63" ht="15.0" customHeight="1">
      <c r="A63" s="8" t="s">
        <v>124</v>
      </c>
      <c r="B63" s="8">
        <v>171.0</v>
      </c>
      <c r="C63" s="8">
        <v>1.0</v>
      </c>
      <c r="BJ63" s="8">
        <v>1.0</v>
      </c>
      <c r="BR63" s="8">
        <v>1.0</v>
      </c>
    </row>
    <row r="64" ht="15.0" customHeight="1">
      <c r="A64" s="8" t="s">
        <v>406</v>
      </c>
      <c r="B64" s="8">
        <v>172.0</v>
      </c>
      <c r="C64" s="8">
        <v>1.0</v>
      </c>
      <c r="G64" s="8">
        <v>1.0</v>
      </c>
      <c r="I64" s="8">
        <v>1.0</v>
      </c>
      <c r="R64" s="8">
        <v>1.0</v>
      </c>
      <c r="U64" s="8">
        <v>1.0</v>
      </c>
      <c r="V64" s="8">
        <v>1.0</v>
      </c>
      <c r="AQ64" s="8">
        <v>1.0</v>
      </c>
      <c r="BB64" s="8">
        <v>1.0</v>
      </c>
      <c r="BF64" s="8">
        <v>1.0</v>
      </c>
      <c r="BJ64" s="8">
        <v>1.0</v>
      </c>
      <c r="BN64" s="8">
        <v>1.0</v>
      </c>
      <c r="BR64" s="8">
        <v>1.0</v>
      </c>
      <c r="BU64" s="8">
        <v>1.0</v>
      </c>
      <c r="BV64" s="8">
        <v>1.0</v>
      </c>
      <c r="CG64" s="8">
        <v>1.0</v>
      </c>
    </row>
    <row r="65" ht="15.0" customHeight="1">
      <c r="A65" s="8" t="s">
        <v>406</v>
      </c>
      <c r="B65" s="8">
        <v>173.0</v>
      </c>
      <c r="C65" s="8">
        <v>1.0</v>
      </c>
      <c r="G65" s="8">
        <v>1.0</v>
      </c>
      <c r="I65" s="8">
        <v>1.0</v>
      </c>
      <c r="R65" s="8">
        <v>1.0</v>
      </c>
      <c r="U65" s="8">
        <v>1.0</v>
      </c>
      <c r="V65" s="8">
        <v>1.0</v>
      </c>
      <c r="AH65" s="8">
        <v>1.0</v>
      </c>
      <c r="AQ65" s="8">
        <v>1.0</v>
      </c>
      <c r="BB65" s="8">
        <v>1.0</v>
      </c>
      <c r="BF65" s="8">
        <v>1.0</v>
      </c>
      <c r="BJ65" s="8">
        <v>1.0</v>
      </c>
      <c r="BN65" s="8">
        <v>1.0</v>
      </c>
      <c r="BR65" s="8">
        <v>1.0</v>
      </c>
      <c r="BU65" s="8">
        <v>1.0</v>
      </c>
      <c r="CG65" s="8">
        <v>1.0</v>
      </c>
    </row>
    <row r="66" ht="15.0" customHeight="1">
      <c r="A66" s="8" t="s">
        <v>127</v>
      </c>
      <c r="B66" s="8">
        <v>174.0</v>
      </c>
      <c r="C66" s="8">
        <v>1.0</v>
      </c>
      <c r="BO66" s="8">
        <v>1.0</v>
      </c>
      <c r="BT66" s="8">
        <v>1.0</v>
      </c>
    </row>
    <row r="67" ht="15.0" customHeight="1">
      <c r="A67" s="8" t="s">
        <v>128</v>
      </c>
      <c r="B67" s="8">
        <v>175.0</v>
      </c>
      <c r="C67" s="8">
        <v>1.0</v>
      </c>
      <c r="BR67" s="8">
        <v>1.0</v>
      </c>
    </row>
    <row r="68" ht="15.0" customHeight="1">
      <c r="A68" s="8" t="s">
        <v>216</v>
      </c>
      <c r="B68" s="8">
        <v>176.0</v>
      </c>
      <c r="C68" s="8">
        <v>1.0</v>
      </c>
      <c r="I68" s="8">
        <v>1.0</v>
      </c>
      <c r="AE68" s="8">
        <v>1.0</v>
      </c>
      <c r="AV68" s="8">
        <v>1.0</v>
      </c>
      <c r="BR68" s="8">
        <v>1.0</v>
      </c>
      <c r="CD68" s="8">
        <v>1.0</v>
      </c>
    </row>
    <row r="69" ht="15.0" customHeight="1">
      <c r="A69" s="8" t="s">
        <v>208</v>
      </c>
      <c r="B69" s="8">
        <v>176.0</v>
      </c>
      <c r="C69" s="8">
        <v>1.0</v>
      </c>
      <c r="H69" s="8">
        <v>1.0</v>
      </c>
      <c r="BE69" s="8">
        <v>1.0</v>
      </c>
      <c r="BQ69" s="8">
        <v>1.0</v>
      </c>
      <c r="BR69" s="8">
        <v>1.0</v>
      </c>
    </row>
    <row r="70" ht="15.0" customHeight="1">
      <c r="A70" s="8" t="s">
        <v>132</v>
      </c>
      <c r="B70" s="8">
        <v>178.0</v>
      </c>
      <c r="C70" s="8">
        <v>1.0</v>
      </c>
      <c r="I70" s="8">
        <v>1.0</v>
      </c>
      <c r="BR70" s="8">
        <v>1.0</v>
      </c>
    </row>
    <row r="71" ht="15.0" customHeight="1">
      <c r="A71" s="8" t="s">
        <v>154</v>
      </c>
      <c r="B71" s="8">
        <v>179.0</v>
      </c>
      <c r="C71" s="8">
        <v>1.0</v>
      </c>
      <c r="G71" s="8">
        <v>1.0</v>
      </c>
      <c r="V71" s="8">
        <v>1.0</v>
      </c>
      <c r="W71" s="8">
        <v>1.0</v>
      </c>
      <c r="CE71" s="8">
        <v>1.0</v>
      </c>
    </row>
    <row r="72" ht="15.0" customHeight="1">
      <c r="A72" s="8" t="s">
        <v>131</v>
      </c>
      <c r="B72" s="8">
        <v>180.0</v>
      </c>
      <c r="BR72" s="8">
        <v>1.0</v>
      </c>
    </row>
    <row r="73" ht="15.0" customHeight="1">
      <c r="A73" s="8" t="s">
        <v>134</v>
      </c>
      <c r="B73" s="8">
        <v>181.0</v>
      </c>
      <c r="C73" s="8">
        <v>1.0</v>
      </c>
    </row>
    <row r="74" ht="15.0" customHeight="1">
      <c r="A74" s="8" t="s">
        <v>205</v>
      </c>
      <c r="B74" s="8">
        <v>182.0</v>
      </c>
      <c r="C74" s="8">
        <v>1.0</v>
      </c>
      <c r="BL74" s="8">
        <v>1.0</v>
      </c>
    </row>
    <row r="75" ht="15.0" customHeight="1">
      <c r="A75" s="8" t="s">
        <v>205</v>
      </c>
      <c r="B75" s="8">
        <v>183.0</v>
      </c>
      <c r="C75" s="8">
        <v>1.0</v>
      </c>
      <c r="BR75" s="8">
        <v>1.0</v>
      </c>
      <c r="CG75" s="8">
        <v>1.0</v>
      </c>
    </row>
    <row r="76" ht="15.0" customHeight="1">
      <c r="A76" s="8" t="s">
        <v>259</v>
      </c>
      <c r="B76" s="8">
        <v>184.0</v>
      </c>
      <c r="C76" s="8">
        <v>1.0</v>
      </c>
    </row>
    <row r="77" ht="15.0" customHeight="1">
      <c r="A77" s="8" t="s">
        <v>368</v>
      </c>
      <c r="B77" s="8">
        <v>185.0</v>
      </c>
      <c r="C77" s="8">
        <v>1.0</v>
      </c>
      <c r="BR77" s="8">
        <v>1.0</v>
      </c>
    </row>
    <row r="78" ht="15.0" customHeight="1">
      <c r="A78" s="8" t="s">
        <v>368</v>
      </c>
      <c r="B78" s="8">
        <v>186.0</v>
      </c>
      <c r="E78" s="8">
        <v>1.0</v>
      </c>
      <c r="O78" s="8">
        <v>1.0</v>
      </c>
      <c r="AB78" s="8">
        <v>1.0</v>
      </c>
      <c r="AQ78" s="8">
        <v>1.0</v>
      </c>
      <c r="AY78" s="8">
        <v>1.0</v>
      </c>
      <c r="BA78" s="8">
        <v>1.0</v>
      </c>
      <c r="BD78" s="8">
        <v>1.0</v>
      </c>
      <c r="BJ78" s="8">
        <v>1.0</v>
      </c>
      <c r="BR78" s="8">
        <v>1.0</v>
      </c>
    </row>
    <row r="79" ht="15.0" customHeight="1">
      <c r="A79" s="8" t="s">
        <v>138</v>
      </c>
      <c r="B79" s="8">
        <v>187.0</v>
      </c>
      <c r="C79" s="8">
        <v>1.0</v>
      </c>
      <c r="G79" s="8">
        <v>1.0</v>
      </c>
      <c r="H79" s="8">
        <v>1.0</v>
      </c>
      <c r="AB79" s="8">
        <v>1.0</v>
      </c>
      <c r="BG79" s="8">
        <v>1.0</v>
      </c>
      <c r="BM79" s="8">
        <v>1.0</v>
      </c>
      <c r="BR79" s="8">
        <v>1.0</v>
      </c>
    </row>
    <row r="80" ht="15.0" customHeight="1">
      <c r="A80" s="8" t="s">
        <v>219</v>
      </c>
      <c r="B80" s="8">
        <v>188.0</v>
      </c>
    </row>
    <row r="81" ht="15.0" customHeight="1">
      <c r="A81" s="8" t="s">
        <v>261</v>
      </c>
      <c r="B81" s="8">
        <v>189.0</v>
      </c>
      <c r="C81" s="8">
        <v>1.0</v>
      </c>
      <c r="BM81" s="8">
        <v>1.0</v>
      </c>
    </row>
    <row r="82" ht="15.0" customHeight="1">
      <c r="A82" s="8" t="s">
        <v>260</v>
      </c>
      <c r="B82" s="8">
        <v>190.0</v>
      </c>
      <c r="C82" s="8">
        <v>1.0</v>
      </c>
      <c r="G82" s="8">
        <v>1.0</v>
      </c>
      <c r="H82" s="8">
        <v>1.0</v>
      </c>
      <c r="U82" s="8">
        <v>1.0</v>
      </c>
      <c r="AM82" s="8">
        <v>1.0</v>
      </c>
      <c r="BH82" s="8">
        <v>1.0</v>
      </c>
      <c r="BR82" s="8">
        <v>1.0</v>
      </c>
    </row>
    <row r="83" ht="15.0" customHeight="1">
      <c r="A83" s="8" t="s">
        <v>261</v>
      </c>
      <c r="B83" s="8">
        <v>191.0</v>
      </c>
      <c r="C83" s="8">
        <v>1.0</v>
      </c>
      <c r="G83" s="8">
        <v>1.0</v>
      </c>
      <c r="K83" s="8">
        <v>1.0</v>
      </c>
      <c r="V83" s="8">
        <v>1.0</v>
      </c>
      <c r="AV83" s="8">
        <v>1.0</v>
      </c>
      <c r="BF83" s="8">
        <v>1.0</v>
      </c>
      <c r="CB83" s="8">
        <v>1.0</v>
      </c>
      <c r="CD83" s="8">
        <v>1.0</v>
      </c>
    </row>
    <row r="84" ht="15.0" customHeight="1">
      <c r="A84" s="8" t="s">
        <v>86</v>
      </c>
      <c r="B84" s="8" t="s">
        <v>407</v>
      </c>
      <c r="C84" s="8">
        <v>1.0</v>
      </c>
      <c r="BI84" s="8">
        <v>1.0</v>
      </c>
    </row>
    <row r="85" ht="15.0" customHeight="1">
      <c r="A85" s="8" t="s">
        <v>120</v>
      </c>
      <c r="B85" s="3" t="s">
        <v>408</v>
      </c>
      <c r="V85" s="8">
        <v>1.0</v>
      </c>
    </row>
    <row r="86" ht="15.0" customHeight="1">
      <c r="A86" s="8" t="s">
        <v>101</v>
      </c>
      <c r="B86" s="3" t="s">
        <v>409</v>
      </c>
      <c r="J86" s="8">
        <v>1.0</v>
      </c>
      <c r="P86" s="8">
        <v>1.0</v>
      </c>
      <c r="V86" s="8">
        <v>1.0</v>
      </c>
    </row>
    <row r="87" ht="15.0" customHeight="1">
      <c r="A87" s="8" t="s">
        <v>114</v>
      </c>
      <c r="B87" s="3" t="s">
        <v>410</v>
      </c>
      <c r="I87" s="8">
        <v>1.0</v>
      </c>
      <c r="J87" s="8">
        <v>1.0</v>
      </c>
      <c r="P87" s="8">
        <v>1.0</v>
      </c>
      <c r="V87" s="8">
        <v>1.0</v>
      </c>
      <c r="Y87" s="8">
        <v>1.0</v>
      </c>
      <c r="BM87" s="8">
        <v>1.0</v>
      </c>
      <c r="BZ87" s="8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34.13"/>
    <col customWidth="1" min="3" max="88" width="10.25"/>
  </cols>
  <sheetData>
    <row r="1" ht="15.0" customHeight="1">
      <c r="A1" s="3" t="s">
        <v>0</v>
      </c>
      <c r="B1" s="3" t="s">
        <v>156</v>
      </c>
      <c r="C1" s="3" t="s">
        <v>37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13</v>
      </c>
      <c r="O1" s="3" t="s">
        <v>244</v>
      </c>
      <c r="P1" s="3" t="s">
        <v>15</v>
      </c>
      <c r="Q1" s="3" t="s">
        <v>16</v>
      </c>
      <c r="R1" s="3" t="s">
        <v>17</v>
      </c>
      <c r="S1" s="3" t="s">
        <v>159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364</v>
      </c>
      <c r="Y1" s="3" t="s">
        <v>22</v>
      </c>
      <c r="Z1" s="3" t="s">
        <v>23</v>
      </c>
      <c r="AA1" s="3" t="s">
        <v>24</v>
      </c>
      <c r="AB1" s="3" t="s">
        <v>403</v>
      </c>
      <c r="AC1" s="3" t="s">
        <v>246</v>
      </c>
      <c r="AD1" s="3" t="s">
        <v>25</v>
      </c>
      <c r="AE1" s="3" t="s">
        <v>26</v>
      </c>
      <c r="AF1" s="3" t="s">
        <v>161</v>
      </c>
      <c r="AG1" s="3" t="s">
        <v>27</v>
      </c>
      <c r="AH1" s="3" t="s">
        <v>28</v>
      </c>
      <c r="AI1" s="3" t="s">
        <v>387</v>
      </c>
      <c r="AJ1" s="3" t="s">
        <v>29</v>
      </c>
      <c r="AK1" s="3" t="s">
        <v>30</v>
      </c>
      <c r="AL1" s="3" t="s">
        <v>365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162</v>
      </c>
      <c r="AS1" s="3" t="s">
        <v>163</v>
      </c>
      <c r="AT1" s="3" t="s">
        <v>38</v>
      </c>
      <c r="AU1" s="3" t="s">
        <v>39</v>
      </c>
      <c r="AV1" s="3" t="s">
        <v>40</v>
      </c>
      <c r="AW1" s="3" t="s">
        <v>164</v>
      </c>
      <c r="AX1" s="3" t="s">
        <v>42</v>
      </c>
      <c r="AY1" s="3" t="s">
        <v>165</v>
      </c>
      <c r="AZ1" s="3" t="s">
        <v>43</v>
      </c>
      <c r="BA1" s="3" t="s">
        <v>167</v>
      </c>
      <c r="BB1" s="3" t="s">
        <v>45</v>
      </c>
      <c r="BC1" s="3" t="s">
        <v>404</v>
      </c>
      <c r="BD1" s="3" t="s">
        <v>169</v>
      </c>
      <c r="BE1" s="3" t="s">
        <v>411</v>
      </c>
      <c r="BF1" s="3" t="s">
        <v>170</v>
      </c>
      <c r="BG1" s="3" t="s">
        <v>2</v>
      </c>
      <c r="BH1" s="3" t="s">
        <v>405</v>
      </c>
      <c r="BI1" s="3" t="s">
        <v>171</v>
      </c>
      <c r="BJ1" s="3" t="s">
        <v>317</v>
      </c>
      <c r="BK1" s="3" t="s">
        <v>48</v>
      </c>
      <c r="BL1" s="3" t="s">
        <v>50</v>
      </c>
      <c r="BM1" s="3" t="s">
        <v>51</v>
      </c>
      <c r="BN1" s="3" t="s">
        <v>52</v>
      </c>
      <c r="BO1" s="3" t="s">
        <v>53</v>
      </c>
      <c r="BP1" s="3" t="s">
        <v>54</v>
      </c>
      <c r="BQ1" s="3" t="s">
        <v>412</v>
      </c>
      <c r="BR1" s="3" t="s">
        <v>172</v>
      </c>
      <c r="BS1" s="3" t="s">
        <v>318</v>
      </c>
      <c r="BT1" s="3" t="s">
        <v>173</v>
      </c>
      <c r="BU1" s="3" t="s">
        <v>249</v>
      </c>
      <c r="BV1" s="3" t="s">
        <v>56</v>
      </c>
      <c r="BW1" s="3" t="s">
        <v>57</v>
      </c>
      <c r="BX1" s="3" t="s">
        <v>58</v>
      </c>
      <c r="BY1" s="3" t="s">
        <v>59</v>
      </c>
      <c r="BZ1" s="3" t="s">
        <v>319</v>
      </c>
      <c r="CA1" s="3" t="s">
        <v>60</v>
      </c>
      <c r="CB1" s="3" t="s">
        <v>61</v>
      </c>
      <c r="CC1" s="3" t="s">
        <v>62</v>
      </c>
      <c r="CD1" s="3" t="s">
        <v>63</v>
      </c>
      <c r="CE1" s="3" t="s">
        <v>64</v>
      </c>
      <c r="CF1" s="3" t="s">
        <v>65</v>
      </c>
      <c r="CG1" s="3" t="s">
        <v>250</v>
      </c>
      <c r="CH1" s="3" t="s">
        <v>67</v>
      </c>
      <c r="CI1" s="3" t="s">
        <v>68</v>
      </c>
      <c r="CJ1" s="3" t="s">
        <v>69</v>
      </c>
    </row>
    <row r="2" ht="15.0" customHeight="1">
      <c r="A2" s="3" t="s">
        <v>70</v>
      </c>
      <c r="B2" s="5">
        <f>COUNTA(B7:B48)</f>
        <v>42</v>
      </c>
    </row>
    <row r="3" ht="15.0" customHeight="1">
      <c r="A3" s="3" t="s">
        <v>71</v>
      </c>
      <c r="B3" s="5">
        <f>COUNTA(B7:B44)</f>
        <v>38</v>
      </c>
    </row>
    <row r="4" ht="15.0" customHeight="1">
      <c r="A4" s="3" t="s">
        <v>72</v>
      </c>
      <c r="C4" s="5">
        <f t="shared" ref="C4:CJ4" si="1">SUM(C7:C48)</f>
        <v>36</v>
      </c>
      <c r="D4" s="5">
        <f t="shared" si="1"/>
        <v>1</v>
      </c>
      <c r="E4" s="5">
        <f t="shared" si="1"/>
        <v>0</v>
      </c>
      <c r="F4" s="5">
        <f t="shared" si="1"/>
        <v>1</v>
      </c>
      <c r="G4" s="5">
        <f t="shared" si="1"/>
        <v>2</v>
      </c>
      <c r="H4" s="5">
        <f t="shared" si="1"/>
        <v>1</v>
      </c>
      <c r="I4" s="5">
        <f t="shared" si="1"/>
        <v>1</v>
      </c>
      <c r="J4" s="5">
        <f t="shared" si="1"/>
        <v>1</v>
      </c>
      <c r="K4" s="5">
        <f t="shared" si="1"/>
        <v>2</v>
      </c>
      <c r="L4" s="5">
        <f t="shared" si="1"/>
        <v>0</v>
      </c>
      <c r="M4" s="5">
        <f t="shared" si="1"/>
        <v>0</v>
      </c>
      <c r="N4" s="5">
        <f t="shared" si="1"/>
        <v>0</v>
      </c>
      <c r="O4" s="5">
        <f t="shared" si="1"/>
        <v>0</v>
      </c>
      <c r="P4" s="5">
        <f t="shared" si="1"/>
        <v>0</v>
      </c>
      <c r="Q4" s="5">
        <f t="shared" si="1"/>
        <v>0</v>
      </c>
      <c r="R4" s="5">
        <f t="shared" si="1"/>
        <v>0</v>
      </c>
      <c r="S4" s="5">
        <f t="shared" si="1"/>
        <v>1</v>
      </c>
      <c r="T4" s="5">
        <f t="shared" si="1"/>
        <v>0</v>
      </c>
      <c r="U4" s="5">
        <f t="shared" si="1"/>
        <v>0</v>
      </c>
      <c r="V4" s="5">
        <f t="shared" si="1"/>
        <v>0</v>
      </c>
      <c r="W4" s="5">
        <f t="shared" si="1"/>
        <v>1</v>
      </c>
      <c r="X4" s="5">
        <f t="shared" si="1"/>
        <v>0</v>
      </c>
      <c r="Y4" s="5">
        <f t="shared" si="1"/>
        <v>1</v>
      </c>
      <c r="Z4" s="5">
        <f t="shared" si="1"/>
        <v>4</v>
      </c>
      <c r="AA4" s="5">
        <f t="shared" si="1"/>
        <v>0</v>
      </c>
      <c r="AB4" s="5">
        <f t="shared" si="1"/>
        <v>0</v>
      </c>
      <c r="AC4" s="5">
        <f t="shared" si="1"/>
        <v>0</v>
      </c>
      <c r="AD4" s="5">
        <f t="shared" si="1"/>
        <v>1</v>
      </c>
      <c r="AE4" s="5">
        <f t="shared" si="1"/>
        <v>0</v>
      </c>
      <c r="AF4" s="5">
        <f t="shared" si="1"/>
        <v>2</v>
      </c>
      <c r="AG4" s="5">
        <f t="shared" si="1"/>
        <v>2</v>
      </c>
      <c r="AH4" s="5">
        <f t="shared" si="1"/>
        <v>0</v>
      </c>
      <c r="AI4" s="5">
        <f t="shared" si="1"/>
        <v>1</v>
      </c>
      <c r="AJ4" s="5">
        <f t="shared" si="1"/>
        <v>1</v>
      </c>
      <c r="AK4" s="5">
        <f t="shared" si="1"/>
        <v>2</v>
      </c>
      <c r="AL4" s="5">
        <f t="shared" si="1"/>
        <v>0</v>
      </c>
      <c r="AM4" s="5">
        <f t="shared" si="1"/>
        <v>0</v>
      </c>
      <c r="AN4" s="5">
        <f t="shared" si="1"/>
        <v>2</v>
      </c>
      <c r="AO4" s="5">
        <f t="shared" si="1"/>
        <v>0</v>
      </c>
      <c r="AP4" s="5">
        <f t="shared" si="1"/>
        <v>8</v>
      </c>
      <c r="AQ4" s="5">
        <f t="shared" si="1"/>
        <v>15</v>
      </c>
      <c r="AR4" s="5">
        <f t="shared" si="1"/>
        <v>5</v>
      </c>
      <c r="AS4" s="5">
        <f t="shared" si="1"/>
        <v>1</v>
      </c>
      <c r="AT4" s="5">
        <f t="shared" si="1"/>
        <v>3</v>
      </c>
      <c r="AU4" s="5">
        <f t="shared" si="1"/>
        <v>0</v>
      </c>
      <c r="AV4" s="5">
        <f t="shared" si="1"/>
        <v>0</v>
      </c>
      <c r="AW4" s="5">
        <f t="shared" si="1"/>
        <v>0</v>
      </c>
      <c r="AX4" s="5">
        <f t="shared" si="1"/>
        <v>1</v>
      </c>
      <c r="AY4" s="5">
        <f t="shared" si="1"/>
        <v>0</v>
      </c>
      <c r="AZ4" s="5">
        <f t="shared" si="1"/>
        <v>0</v>
      </c>
      <c r="BA4" s="5">
        <f t="shared" si="1"/>
        <v>1</v>
      </c>
      <c r="BB4" s="5">
        <f t="shared" si="1"/>
        <v>0</v>
      </c>
      <c r="BC4" s="5">
        <f t="shared" si="1"/>
        <v>0</v>
      </c>
      <c r="BD4" s="5">
        <f t="shared" si="1"/>
        <v>0</v>
      </c>
      <c r="BE4" s="5">
        <f t="shared" si="1"/>
        <v>1</v>
      </c>
      <c r="BF4" s="5">
        <f t="shared" si="1"/>
        <v>2</v>
      </c>
      <c r="BG4" s="5">
        <f t="shared" si="1"/>
        <v>0</v>
      </c>
      <c r="BH4" s="5">
        <f t="shared" si="1"/>
        <v>0</v>
      </c>
      <c r="BI4" s="5">
        <f t="shared" si="1"/>
        <v>0</v>
      </c>
      <c r="BJ4" s="5">
        <f t="shared" si="1"/>
        <v>0</v>
      </c>
      <c r="BK4" s="5">
        <f t="shared" si="1"/>
        <v>13</v>
      </c>
      <c r="BL4" s="5">
        <f t="shared" si="1"/>
        <v>1</v>
      </c>
      <c r="BM4" s="5">
        <f t="shared" si="1"/>
        <v>4</v>
      </c>
      <c r="BN4" s="5">
        <f t="shared" si="1"/>
        <v>11</v>
      </c>
      <c r="BO4" s="5">
        <f t="shared" si="1"/>
        <v>0</v>
      </c>
      <c r="BP4" s="5">
        <f t="shared" si="1"/>
        <v>5</v>
      </c>
      <c r="BQ4" s="5">
        <f t="shared" si="1"/>
        <v>1</v>
      </c>
      <c r="BR4" s="5">
        <f t="shared" si="1"/>
        <v>0</v>
      </c>
      <c r="BS4" s="5">
        <f t="shared" si="1"/>
        <v>0</v>
      </c>
      <c r="BT4" s="5">
        <f t="shared" si="1"/>
        <v>8</v>
      </c>
      <c r="BU4" s="5">
        <f t="shared" si="1"/>
        <v>0</v>
      </c>
      <c r="BV4" s="5">
        <f t="shared" si="1"/>
        <v>1</v>
      </c>
      <c r="BW4" s="5">
        <f t="shared" si="1"/>
        <v>0</v>
      </c>
      <c r="BX4" s="5">
        <f t="shared" si="1"/>
        <v>0</v>
      </c>
      <c r="BY4" s="5">
        <f t="shared" si="1"/>
        <v>5</v>
      </c>
      <c r="BZ4" s="5">
        <f t="shared" si="1"/>
        <v>0</v>
      </c>
      <c r="CA4" s="5">
        <f t="shared" si="1"/>
        <v>2</v>
      </c>
      <c r="CB4" s="5">
        <f t="shared" si="1"/>
        <v>0</v>
      </c>
      <c r="CC4" s="5">
        <f t="shared" si="1"/>
        <v>0</v>
      </c>
      <c r="CD4" s="5">
        <f t="shared" si="1"/>
        <v>0</v>
      </c>
      <c r="CE4" s="5">
        <f t="shared" si="1"/>
        <v>1</v>
      </c>
      <c r="CF4" s="5">
        <f t="shared" si="1"/>
        <v>3</v>
      </c>
      <c r="CG4" s="5">
        <f t="shared" si="1"/>
        <v>2</v>
      </c>
      <c r="CH4" s="5">
        <f t="shared" si="1"/>
        <v>0</v>
      </c>
      <c r="CI4" s="5">
        <f t="shared" si="1"/>
        <v>0</v>
      </c>
      <c r="CJ4" s="5">
        <f t="shared" si="1"/>
        <v>1</v>
      </c>
    </row>
    <row r="5" ht="15.0" customHeight="1">
      <c r="A5" s="3" t="s">
        <v>73</v>
      </c>
      <c r="C5" s="5">
        <f t="shared" ref="C5:CJ5" si="2">SUM(C7:C44)</f>
        <v>36</v>
      </c>
      <c r="D5" s="5">
        <f t="shared" si="2"/>
        <v>1</v>
      </c>
      <c r="E5" s="5">
        <f t="shared" si="2"/>
        <v>0</v>
      </c>
      <c r="F5" s="5">
        <f t="shared" si="2"/>
        <v>1</v>
      </c>
      <c r="G5" s="5">
        <f t="shared" si="2"/>
        <v>2</v>
      </c>
      <c r="H5" s="5">
        <f t="shared" si="2"/>
        <v>1</v>
      </c>
      <c r="I5" s="5">
        <f t="shared" si="2"/>
        <v>1</v>
      </c>
      <c r="J5" s="5">
        <f t="shared" si="2"/>
        <v>1</v>
      </c>
      <c r="K5" s="5">
        <f t="shared" si="2"/>
        <v>2</v>
      </c>
      <c r="L5" s="5">
        <f t="shared" si="2"/>
        <v>0</v>
      </c>
      <c r="M5" s="5">
        <f t="shared" si="2"/>
        <v>0</v>
      </c>
      <c r="N5" s="5">
        <f t="shared" si="2"/>
        <v>0</v>
      </c>
      <c r="O5" s="5">
        <f t="shared" si="2"/>
        <v>0</v>
      </c>
      <c r="P5" s="5">
        <f t="shared" si="2"/>
        <v>0</v>
      </c>
      <c r="Q5" s="5">
        <f t="shared" si="2"/>
        <v>0</v>
      </c>
      <c r="R5" s="5">
        <f t="shared" si="2"/>
        <v>0</v>
      </c>
      <c r="S5" s="5">
        <f t="shared" si="2"/>
        <v>1</v>
      </c>
      <c r="T5" s="5">
        <f t="shared" si="2"/>
        <v>0</v>
      </c>
      <c r="U5" s="5">
        <f t="shared" si="2"/>
        <v>0</v>
      </c>
      <c r="V5" s="5">
        <f t="shared" si="2"/>
        <v>0</v>
      </c>
      <c r="W5" s="5">
        <f t="shared" si="2"/>
        <v>0</v>
      </c>
      <c r="X5" s="5">
        <f t="shared" si="2"/>
        <v>0</v>
      </c>
      <c r="Y5" s="5">
        <f t="shared" si="2"/>
        <v>1</v>
      </c>
      <c r="Z5" s="5">
        <f t="shared" si="2"/>
        <v>3</v>
      </c>
      <c r="AA5" s="5">
        <f t="shared" si="2"/>
        <v>0</v>
      </c>
      <c r="AB5" s="5">
        <f t="shared" si="2"/>
        <v>0</v>
      </c>
      <c r="AC5" s="5">
        <f t="shared" si="2"/>
        <v>0</v>
      </c>
      <c r="AD5" s="5">
        <f t="shared" si="2"/>
        <v>1</v>
      </c>
      <c r="AE5" s="5">
        <f t="shared" si="2"/>
        <v>0</v>
      </c>
      <c r="AF5" s="5">
        <f t="shared" si="2"/>
        <v>2</v>
      </c>
      <c r="AG5" s="5">
        <f t="shared" si="2"/>
        <v>2</v>
      </c>
      <c r="AH5" s="5">
        <f t="shared" si="2"/>
        <v>0</v>
      </c>
      <c r="AI5" s="5">
        <f t="shared" si="2"/>
        <v>1</v>
      </c>
      <c r="AJ5" s="5">
        <f t="shared" si="2"/>
        <v>1</v>
      </c>
      <c r="AK5" s="5">
        <f t="shared" si="2"/>
        <v>1</v>
      </c>
      <c r="AL5" s="5">
        <f t="shared" si="2"/>
        <v>0</v>
      </c>
      <c r="AM5" s="5">
        <f t="shared" si="2"/>
        <v>0</v>
      </c>
      <c r="AN5" s="5">
        <f t="shared" si="2"/>
        <v>2</v>
      </c>
      <c r="AO5" s="5">
        <f t="shared" si="2"/>
        <v>0</v>
      </c>
      <c r="AP5" s="5">
        <f t="shared" si="2"/>
        <v>8</v>
      </c>
      <c r="AQ5" s="5">
        <f t="shared" si="2"/>
        <v>11</v>
      </c>
      <c r="AR5" s="5">
        <f t="shared" si="2"/>
        <v>5</v>
      </c>
      <c r="AS5" s="5">
        <f t="shared" si="2"/>
        <v>1</v>
      </c>
      <c r="AT5" s="5">
        <f t="shared" si="2"/>
        <v>2</v>
      </c>
      <c r="AU5" s="5">
        <f t="shared" si="2"/>
        <v>0</v>
      </c>
      <c r="AV5" s="5">
        <f t="shared" si="2"/>
        <v>0</v>
      </c>
      <c r="AW5" s="5">
        <f t="shared" si="2"/>
        <v>0</v>
      </c>
      <c r="AX5" s="5">
        <f t="shared" si="2"/>
        <v>1</v>
      </c>
      <c r="AY5" s="5">
        <f t="shared" si="2"/>
        <v>0</v>
      </c>
      <c r="AZ5" s="5">
        <f t="shared" si="2"/>
        <v>0</v>
      </c>
      <c r="BA5" s="5">
        <f t="shared" si="2"/>
        <v>1</v>
      </c>
      <c r="BB5" s="5">
        <f t="shared" si="2"/>
        <v>0</v>
      </c>
      <c r="BC5" s="5">
        <f t="shared" si="2"/>
        <v>0</v>
      </c>
      <c r="BD5" s="5">
        <f t="shared" si="2"/>
        <v>0</v>
      </c>
      <c r="BE5" s="5">
        <f t="shared" si="2"/>
        <v>1</v>
      </c>
      <c r="BF5" s="5">
        <f t="shared" si="2"/>
        <v>2</v>
      </c>
      <c r="BG5" s="5">
        <f t="shared" si="2"/>
        <v>0</v>
      </c>
      <c r="BH5" s="5">
        <f t="shared" si="2"/>
        <v>0</v>
      </c>
      <c r="BI5" s="5">
        <f t="shared" si="2"/>
        <v>0</v>
      </c>
      <c r="BJ5" s="5">
        <f t="shared" si="2"/>
        <v>0</v>
      </c>
      <c r="BK5" s="5">
        <f t="shared" si="2"/>
        <v>13</v>
      </c>
      <c r="BL5" s="5">
        <f t="shared" si="2"/>
        <v>1</v>
      </c>
      <c r="BM5" s="5">
        <f t="shared" si="2"/>
        <v>4</v>
      </c>
      <c r="BN5" s="5">
        <f t="shared" si="2"/>
        <v>11</v>
      </c>
      <c r="BO5" s="5">
        <f t="shared" si="2"/>
        <v>0</v>
      </c>
      <c r="BP5" s="5">
        <f t="shared" si="2"/>
        <v>5</v>
      </c>
      <c r="BQ5" s="5">
        <f t="shared" si="2"/>
        <v>1</v>
      </c>
      <c r="BR5" s="5">
        <f t="shared" si="2"/>
        <v>0</v>
      </c>
      <c r="BS5" s="5">
        <f t="shared" si="2"/>
        <v>0</v>
      </c>
      <c r="BT5" s="5">
        <f t="shared" si="2"/>
        <v>7</v>
      </c>
      <c r="BU5" s="5">
        <f t="shared" si="2"/>
        <v>0</v>
      </c>
      <c r="BV5" s="5">
        <f t="shared" si="2"/>
        <v>1</v>
      </c>
      <c r="BW5" s="5">
        <f t="shared" si="2"/>
        <v>0</v>
      </c>
      <c r="BX5" s="5">
        <f t="shared" si="2"/>
        <v>0</v>
      </c>
      <c r="BY5" s="5">
        <f t="shared" si="2"/>
        <v>5</v>
      </c>
      <c r="BZ5" s="5">
        <f t="shared" si="2"/>
        <v>0</v>
      </c>
      <c r="CA5" s="5">
        <f t="shared" si="2"/>
        <v>2</v>
      </c>
      <c r="CB5" s="5">
        <f t="shared" si="2"/>
        <v>0</v>
      </c>
      <c r="CC5" s="5">
        <f t="shared" si="2"/>
        <v>0</v>
      </c>
      <c r="CD5" s="5">
        <f t="shared" si="2"/>
        <v>0</v>
      </c>
      <c r="CE5" s="5">
        <f t="shared" si="2"/>
        <v>1</v>
      </c>
      <c r="CF5" s="5">
        <f t="shared" si="2"/>
        <v>3</v>
      </c>
      <c r="CG5" s="5">
        <f t="shared" si="2"/>
        <v>2</v>
      </c>
      <c r="CH5" s="5">
        <f t="shared" si="2"/>
        <v>0</v>
      </c>
      <c r="CI5" s="5">
        <f t="shared" si="2"/>
        <v>0</v>
      </c>
      <c r="CJ5" s="5">
        <f t="shared" si="2"/>
        <v>1</v>
      </c>
    </row>
    <row r="6" ht="15.0" customHeight="1">
      <c r="A6" s="3" t="s">
        <v>74</v>
      </c>
      <c r="C6" s="5">
        <f t="shared" ref="C6:CJ6" si="3">C5/38</f>
        <v>0.9473684211</v>
      </c>
      <c r="D6" s="5">
        <f t="shared" si="3"/>
        <v>0.02631578947</v>
      </c>
      <c r="E6" s="5">
        <f t="shared" si="3"/>
        <v>0</v>
      </c>
      <c r="F6" s="5">
        <f t="shared" si="3"/>
        <v>0.02631578947</v>
      </c>
      <c r="G6" s="5">
        <f t="shared" si="3"/>
        <v>0.05263157895</v>
      </c>
      <c r="H6" s="5">
        <f t="shared" si="3"/>
        <v>0.02631578947</v>
      </c>
      <c r="I6" s="5">
        <f t="shared" si="3"/>
        <v>0.02631578947</v>
      </c>
      <c r="J6" s="5">
        <f t="shared" si="3"/>
        <v>0.02631578947</v>
      </c>
      <c r="K6" s="5">
        <f t="shared" si="3"/>
        <v>0.05263157895</v>
      </c>
      <c r="L6" s="5">
        <f t="shared" si="3"/>
        <v>0</v>
      </c>
      <c r="M6" s="5">
        <f t="shared" si="3"/>
        <v>0</v>
      </c>
      <c r="N6" s="5">
        <f t="shared" si="3"/>
        <v>0</v>
      </c>
      <c r="O6" s="5">
        <f t="shared" si="3"/>
        <v>0</v>
      </c>
      <c r="P6" s="5">
        <f t="shared" si="3"/>
        <v>0</v>
      </c>
      <c r="Q6" s="5">
        <f t="shared" si="3"/>
        <v>0</v>
      </c>
      <c r="R6" s="5">
        <f t="shared" si="3"/>
        <v>0</v>
      </c>
      <c r="S6" s="5">
        <f t="shared" si="3"/>
        <v>0.02631578947</v>
      </c>
      <c r="T6" s="5">
        <f t="shared" si="3"/>
        <v>0</v>
      </c>
      <c r="U6" s="5">
        <f t="shared" si="3"/>
        <v>0</v>
      </c>
      <c r="V6" s="5">
        <f t="shared" si="3"/>
        <v>0</v>
      </c>
      <c r="W6" s="5">
        <f t="shared" si="3"/>
        <v>0</v>
      </c>
      <c r="X6" s="5">
        <f t="shared" si="3"/>
        <v>0</v>
      </c>
      <c r="Y6" s="5">
        <f t="shared" si="3"/>
        <v>0.02631578947</v>
      </c>
      <c r="Z6" s="5">
        <f t="shared" si="3"/>
        <v>0.07894736842</v>
      </c>
      <c r="AA6" s="5">
        <f t="shared" si="3"/>
        <v>0</v>
      </c>
      <c r="AB6" s="5">
        <f t="shared" si="3"/>
        <v>0</v>
      </c>
      <c r="AC6" s="5">
        <f t="shared" si="3"/>
        <v>0</v>
      </c>
      <c r="AD6" s="5">
        <f t="shared" si="3"/>
        <v>0.02631578947</v>
      </c>
      <c r="AE6" s="5">
        <f t="shared" si="3"/>
        <v>0</v>
      </c>
      <c r="AF6" s="5">
        <f t="shared" si="3"/>
        <v>0.05263157895</v>
      </c>
      <c r="AG6" s="5">
        <f t="shared" si="3"/>
        <v>0.05263157895</v>
      </c>
      <c r="AH6" s="5">
        <f t="shared" si="3"/>
        <v>0</v>
      </c>
      <c r="AI6" s="5">
        <f t="shared" si="3"/>
        <v>0.02631578947</v>
      </c>
      <c r="AJ6" s="5">
        <f t="shared" si="3"/>
        <v>0.02631578947</v>
      </c>
      <c r="AK6" s="5">
        <f t="shared" si="3"/>
        <v>0.02631578947</v>
      </c>
      <c r="AL6" s="5">
        <f t="shared" si="3"/>
        <v>0</v>
      </c>
      <c r="AM6" s="5">
        <f t="shared" si="3"/>
        <v>0</v>
      </c>
      <c r="AN6" s="5">
        <f t="shared" si="3"/>
        <v>0.05263157895</v>
      </c>
      <c r="AO6" s="5">
        <f t="shared" si="3"/>
        <v>0</v>
      </c>
      <c r="AP6" s="5">
        <f t="shared" si="3"/>
        <v>0.2105263158</v>
      </c>
      <c r="AQ6" s="5">
        <f t="shared" si="3"/>
        <v>0.2894736842</v>
      </c>
      <c r="AR6" s="5">
        <f t="shared" si="3"/>
        <v>0.1315789474</v>
      </c>
      <c r="AS6" s="5">
        <f t="shared" si="3"/>
        <v>0.02631578947</v>
      </c>
      <c r="AT6" s="5">
        <f t="shared" si="3"/>
        <v>0.05263157895</v>
      </c>
      <c r="AU6" s="5">
        <f t="shared" si="3"/>
        <v>0</v>
      </c>
      <c r="AV6" s="5">
        <f t="shared" si="3"/>
        <v>0</v>
      </c>
      <c r="AW6" s="5">
        <f t="shared" si="3"/>
        <v>0</v>
      </c>
      <c r="AX6" s="5">
        <f t="shared" si="3"/>
        <v>0.02631578947</v>
      </c>
      <c r="AY6" s="5">
        <f t="shared" si="3"/>
        <v>0</v>
      </c>
      <c r="AZ6" s="5">
        <f t="shared" si="3"/>
        <v>0</v>
      </c>
      <c r="BA6" s="5">
        <f t="shared" si="3"/>
        <v>0.02631578947</v>
      </c>
      <c r="BB6" s="5">
        <f t="shared" si="3"/>
        <v>0</v>
      </c>
      <c r="BC6" s="5">
        <f t="shared" si="3"/>
        <v>0</v>
      </c>
      <c r="BD6" s="5">
        <f t="shared" si="3"/>
        <v>0</v>
      </c>
      <c r="BE6" s="5">
        <f t="shared" si="3"/>
        <v>0.02631578947</v>
      </c>
      <c r="BF6" s="5">
        <f t="shared" si="3"/>
        <v>0.05263157895</v>
      </c>
      <c r="BG6" s="5">
        <f t="shared" si="3"/>
        <v>0</v>
      </c>
      <c r="BH6" s="5">
        <f t="shared" si="3"/>
        <v>0</v>
      </c>
      <c r="BI6" s="5">
        <f t="shared" si="3"/>
        <v>0</v>
      </c>
      <c r="BJ6" s="5">
        <f t="shared" si="3"/>
        <v>0</v>
      </c>
      <c r="BK6" s="5">
        <f t="shared" si="3"/>
        <v>0.3421052632</v>
      </c>
      <c r="BL6" s="5">
        <f t="shared" si="3"/>
        <v>0.02631578947</v>
      </c>
      <c r="BM6" s="5">
        <f t="shared" si="3"/>
        <v>0.1052631579</v>
      </c>
      <c r="BN6" s="5">
        <f t="shared" si="3"/>
        <v>0.2894736842</v>
      </c>
      <c r="BO6" s="5">
        <f t="shared" si="3"/>
        <v>0</v>
      </c>
      <c r="BP6" s="5">
        <f t="shared" si="3"/>
        <v>0.1315789474</v>
      </c>
      <c r="BQ6" s="5">
        <f t="shared" si="3"/>
        <v>0.02631578947</v>
      </c>
      <c r="BR6" s="5">
        <f t="shared" si="3"/>
        <v>0</v>
      </c>
      <c r="BS6" s="5">
        <f t="shared" si="3"/>
        <v>0</v>
      </c>
      <c r="BT6" s="5">
        <f t="shared" si="3"/>
        <v>0.1842105263</v>
      </c>
      <c r="BU6" s="5">
        <f t="shared" si="3"/>
        <v>0</v>
      </c>
      <c r="BV6" s="5">
        <f t="shared" si="3"/>
        <v>0.02631578947</v>
      </c>
      <c r="BW6" s="5">
        <f t="shared" si="3"/>
        <v>0</v>
      </c>
      <c r="BX6" s="5">
        <f t="shared" si="3"/>
        <v>0</v>
      </c>
      <c r="BY6" s="5">
        <f t="shared" si="3"/>
        <v>0.1315789474</v>
      </c>
      <c r="BZ6" s="5">
        <f t="shared" si="3"/>
        <v>0</v>
      </c>
      <c r="CA6" s="5">
        <f t="shared" si="3"/>
        <v>0.05263157895</v>
      </c>
      <c r="CB6" s="5">
        <f t="shared" si="3"/>
        <v>0</v>
      </c>
      <c r="CC6" s="5">
        <f t="shared" si="3"/>
        <v>0</v>
      </c>
      <c r="CD6" s="5">
        <f t="shared" si="3"/>
        <v>0</v>
      </c>
      <c r="CE6" s="5">
        <f t="shared" si="3"/>
        <v>0.02631578947</v>
      </c>
      <c r="CF6" s="5">
        <f t="shared" si="3"/>
        <v>0.07894736842</v>
      </c>
      <c r="CG6" s="5">
        <f t="shared" si="3"/>
        <v>0.05263157895</v>
      </c>
      <c r="CH6" s="5">
        <f t="shared" si="3"/>
        <v>0</v>
      </c>
      <c r="CI6" s="5">
        <f t="shared" si="3"/>
        <v>0</v>
      </c>
      <c r="CJ6" s="5">
        <f t="shared" si="3"/>
        <v>0.02631578947</v>
      </c>
    </row>
    <row r="7" ht="15.0" customHeight="1">
      <c r="A7" s="8" t="s">
        <v>76</v>
      </c>
      <c r="B7" s="8">
        <v>56.0</v>
      </c>
      <c r="C7" s="8">
        <v>1.0</v>
      </c>
      <c r="Z7" s="8">
        <v>1.0</v>
      </c>
      <c r="AP7" s="8">
        <v>1.0</v>
      </c>
      <c r="BM7" s="8">
        <v>1.0</v>
      </c>
      <c r="BN7" s="8">
        <v>1.0</v>
      </c>
    </row>
    <row r="8" ht="15.0" customHeight="1">
      <c r="A8" s="8" t="s">
        <v>77</v>
      </c>
      <c r="B8" s="8">
        <v>57.0</v>
      </c>
      <c r="C8" s="8">
        <v>1.0</v>
      </c>
      <c r="AQ8" s="8">
        <v>1.0</v>
      </c>
      <c r="AR8" s="8">
        <v>1.0</v>
      </c>
      <c r="AT8" s="8">
        <v>1.0</v>
      </c>
      <c r="BK8" s="8">
        <v>1.0</v>
      </c>
      <c r="BN8" s="8">
        <v>1.0</v>
      </c>
    </row>
    <row r="9" ht="15.0" customHeight="1">
      <c r="A9" s="8" t="s">
        <v>79</v>
      </c>
      <c r="B9" s="8">
        <v>58.0</v>
      </c>
      <c r="C9" s="8">
        <v>1.0</v>
      </c>
      <c r="F9" s="8">
        <v>1.0</v>
      </c>
      <c r="AG9" s="8">
        <v>1.0</v>
      </c>
      <c r="AQ9" s="8">
        <v>1.0</v>
      </c>
      <c r="AS9" s="8">
        <v>1.0</v>
      </c>
      <c r="AX9" s="8">
        <v>1.0</v>
      </c>
      <c r="BK9" s="8">
        <v>1.0</v>
      </c>
      <c r="BL9" s="8">
        <v>1.0</v>
      </c>
    </row>
    <row r="10" ht="15.0" customHeight="1">
      <c r="A10" s="8" t="s">
        <v>82</v>
      </c>
      <c r="B10" s="8">
        <v>59.0</v>
      </c>
      <c r="C10" s="8">
        <v>1.0</v>
      </c>
      <c r="AI10" s="8">
        <v>1.0</v>
      </c>
      <c r="AN10" s="8">
        <v>1.0</v>
      </c>
      <c r="AP10" s="8">
        <v>1.0</v>
      </c>
      <c r="AQ10" s="8">
        <v>1.0</v>
      </c>
      <c r="BE10" s="8">
        <v>1.0</v>
      </c>
      <c r="BK10" s="8">
        <v>1.0</v>
      </c>
      <c r="CF10" s="8">
        <v>1.0</v>
      </c>
    </row>
    <row r="11" ht="15.0" customHeight="1">
      <c r="A11" s="8" t="s">
        <v>214</v>
      </c>
      <c r="B11" s="8">
        <v>60.0</v>
      </c>
      <c r="C11" s="8">
        <v>1.0</v>
      </c>
      <c r="BY11" s="8">
        <v>1.0</v>
      </c>
    </row>
    <row r="12" ht="15.0" customHeight="1">
      <c r="A12" s="8" t="s">
        <v>84</v>
      </c>
      <c r="B12" s="8">
        <v>61.0</v>
      </c>
      <c r="C12" s="8">
        <v>1.0</v>
      </c>
      <c r="AP12" s="8">
        <v>1.0</v>
      </c>
      <c r="BM12" s="8">
        <v>1.0</v>
      </c>
      <c r="CE12" s="8">
        <v>1.0</v>
      </c>
    </row>
    <row r="13" ht="15.0" customHeight="1">
      <c r="A13" s="8" t="s">
        <v>86</v>
      </c>
      <c r="B13" s="8">
        <v>62.0</v>
      </c>
      <c r="C13" s="8">
        <v>1.0</v>
      </c>
    </row>
    <row r="14" ht="15.0" customHeight="1">
      <c r="A14" s="8" t="s">
        <v>87</v>
      </c>
      <c r="B14" s="8">
        <v>63.0</v>
      </c>
      <c r="C14" s="8">
        <v>1.0</v>
      </c>
      <c r="BT14" s="8">
        <v>1.0</v>
      </c>
    </row>
    <row r="15" ht="15.0" customHeight="1">
      <c r="A15" s="8" t="s">
        <v>89</v>
      </c>
      <c r="B15" s="8">
        <v>64.0</v>
      </c>
      <c r="C15" s="8">
        <v>1.0</v>
      </c>
      <c r="G15" s="8">
        <v>1.0</v>
      </c>
      <c r="AD15" s="8">
        <v>1.0</v>
      </c>
      <c r="AG15" s="8">
        <v>1.0</v>
      </c>
      <c r="BK15" s="8">
        <v>1.0</v>
      </c>
      <c r="BN15" s="8">
        <v>1.0</v>
      </c>
      <c r="BT15" s="8">
        <v>1.0</v>
      </c>
    </row>
    <row r="16" ht="15.0" customHeight="1">
      <c r="A16" s="8" t="s">
        <v>149</v>
      </c>
      <c r="B16" s="8">
        <v>65.0</v>
      </c>
      <c r="C16" s="8">
        <v>1.0</v>
      </c>
    </row>
    <row r="17" ht="15.0" customHeight="1">
      <c r="A17" s="8" t="s">
        <v>212</v>
      </c>
      <c r="B17" s="8">
        <v>66.0</v>
      </c>
      <c r="C17" s="8">
        <v>1.0</v>
      </c>
      <c r="AJ17" s="8">
        <v>1.0</v>
      </c>
      <c r="BK17" s="8">
        <v>1.0</v>
      </c>
      <c r="BN17" s="8">
        <v>1.0</v>
      </c>
      <c r="BT17" s="8">
        <v>1.0</v>
      </c>
    </row>
    <row r="18" ht="15.0" customHeight="1">
      <c r="A18" s="8" t="s">
        <v>91</v>
      </c>
      <c r="B18" s="8">
        <v>68.0</v>
      </c>
      <c r="C18" s="8">
        <v>1.0</v>
      </c>
      <c r="AP18" s="8">
        <v>1.0</v>
      </c>
      <c r="AQ18" s="8">
        <v>1.0</v>
      </c>
      <c r="AR18" s="8">
        <v>1.0</v>
      </c>
      <c r="BK18" s="8">
        <v>1.0</v>
      </c>
      <c r="BN18" s="8">
        <v>1.0</v>
      </c>
      <c r="BP18" s="8">
        <v>1.0</v>
      </c>
      <c r="BT18" s="8">
        <v>1.0</v>
      </c>
      <c r="BY18" s="8">
        <v>1.0</v>
      </c>
      <c r="CG18" s="8">
        <v>1.0</v>
      </c>
    </row>
    <row r="19" ht="15.0" customHeight="1">
      <c r="A19" s="8" t="s">
        <v>195</v>
      </c>
      <c r="B19" s="8">
        <v>69.0</v>
      </c>
      <c r="C19" s="8">
        <v>1.0</v>
      </c>
      <c r="Z19" s="8">
        <v>1.0</v>
      </c>
    </row>
    <row r="20" ht="15.0" customHeight="1">
      <c r="A20" s="8" t="s">
        <v>179</v>
      </c>
      <c r="B20" s="8">
        <v>70.0</v>
      </c>
      <c r="C20" s="8">
        <v>1.0</v>
      </c>
      <c r="AR20" s="8">
        <v>1.0</v>
      </c>
      <c r="BK20" s="8">
        <v>1.0</v>
      </c>
    </row>
    <row r="21" ht="15.0" customHeight="1">
      <c r="A21" s="8" t="s">
        <v>97</v>
      </c>
      <c r="B21" s="8">
        <v>71.0</v>
      </c>
      <c r="AR21" s="8">
        <v>1.0</v>
      </c>
      <c r="BY21" s="8">
        <v>1.0</v>
      </c>
    </row>
    <row r="22" ht="15.0" customHeight="1">
      <c r="A22" s="8" t="s">
        <v>99</v>
      </c>
      <c r="B22" s="8">
        <v>72.0</v>
      </c>
      <c r="G22" s="8">
        <v>1.0</v>
      </c>
      <c r="BN22" s="8">
        <v>1.0</v>
      </c>
    </row>
    <row r="23" ht="15.0" customHeight="1">
      <c r="A23" s="8" t="s">
        <v>101</v>
      </c>
      <c r="B23" s="8">
        <v>73.0</v>
      </c>
      <c r="C23" s="8">
        <v>1.0</v>
      </c>
      <c r="AQ23" s="8">
        <v>1.0</v>
      </c>
      <c r="AT23" s="8">
        <v>1.0</v>
      </c>
    </row>
    <row r="24" ht="15.0" customHeight="1">
      <c r="A24" s="8" t="s">
        <v>181</v>
      </c>
      <c r="B24" s="8">
        <v>74.0</v>
      </c>
      <c r="C24" s="8">
        <v>1.0</v>
      </c>
      <c r="AQ24" s="8">
        <v>1.0</v>
      </c>
    </row>
    <row r="25" ht="15.0" customHeight="1">
      <c r="A25" s="8" t="s">
        <v>105</v>
      </c>
      <c r="B25" s="8">
        <v>75.0</v>
      </c>
      <c r="C25" s="8">
        <v>1.0</v>
      </c>
      <c r="AR25" s="8">
        <v>1.0</v>
      </c>
      <c r="BK25" s="8">
        <v>1.0</v>
      </c>
      <c r="BV25" s="8">
        <v>1.0</v>
      </c>
    </row>
    <row r="26" ht="15.0" customHeight="1">
      <c r="A26" s="8" t="s">
        <v>106</v>
      </c>
      <c r="B26" s="8">
        <v>76.0</v>
      </c>
      <c r="C26" s="8">
        <v>1.0</v>
      </c>
      <c r="BP26" s="8">
        <v>1.0</v>
      </c>
      <c r="BT26" s="8">
        <v>1.0</v>
      </c>
    </row>
    <row r="27" ht="15.0" customHeight="1">
      <c r="A27" s="8" t="s">
        <v>107</v>
      </c>
      <c r="B27" s="8">
        <v>77.0</v>
      </c>
      <c r="C27" s="8">
        <v>1.0</v>
      </c>
      <c r="AQ27" s="8">
        <v>1.0</v>
      </c>
      <c r="BK27" s="8">
        <v>1.0</v>
      </c>
      <c r="CF27" s="8">
        <v>1.0</v>
      </c>
    </row>
    <row r="28" ht="15.0" customHeight="1">
      <c r="A28" s="8" t="s">
        <v>108</v>
      </c>
      <c r="B28" s="8">
        <v>78.0</v>
      </c>
      <c r="C28" s="8">
        <v>1.0</v>
      </c>
      <c r="AP28" s="8">
        <v>1.0</v>
      </c>
      <c r="BK28" s="8">
        <v>1.0</v>
      </c>
      <c r="BN28" s="8">
        <v>1.0</v>
      </c>
    </row>
    <row r="29" ht="15.0" customHeight="1">
      <c r="A29" s="8" t="s">
        <v>111</v>
      </c>
      <c r="B29" s="8">
        <v>79.0</v>
      </c>
      <c r="C29" s="8">
        <v>1.0</v>
      </c>
      <c r="J29" s="8">
        <v>1.0</v>
      </c>
      <c r="BT29" s="8">
        <v>1.0</v>
      </c>
      <c r="CA29" s="8">
        <v>1.0</v>
      </c>
      <c r="CF29" s="8">
        <v>1.0</v>
      </c>
    </row>
    <row r="30" ht="15.0" customHeight="1">
      <c r="A30" s="8" t="s">
        <v>196</v>
      </c>
      <c r="B30" s="8">
        <v>80.0</v>
      </c>
      <c r="C30" s="8">
        <v>1.0</v>
      </c>
      <c r="AQ30" s="8">
        <v>1.0</v>
      </c>
      <c r="BK30" s="8">
        <v>1.0</v>
      </c>
      <c r="BP30" s="8">
        <v>1.0</v>
      </c>
    </row>
    <row r="31" ht="15.0" customHeight="1">
      <c r="A31" s="8" t="s">
        <v>112</v>
      </c>
      <c r="B31" s="8">
        <v>81.0</v>
      </c>
      <c r="C31" s="8">
        <v>1.0</v>
      </c>
      <c r="BK31" s="8">
        <v>1.0</v>
      </c>
      <c r="BM31" s="8">
        <v>1.0</v>
      </c>
      <c r="BP31" s="8">
        <v>1.0</v>
      </c>
      <c r="CG31" s="8">
        <v>1.0</v>
      </c>
    </row>
    <row r="32" ht="15.0" customHeight="1">
      <c r="A32" s="8" t="s">
        <v>113</v>
      </c>
      <c r="B32" s="8">
        <v>82.0</v>
      </c>
      <c r="C32" s="8">
        <v>1.0</v>
      </c>
      <c r="Z32" s="8">
        <v>1.0</v>
      </c>
      <c r="AP32" s="8">
        <v>1.0</v>
      </c>
      <c r="BN32" s="8">
        <v>1.0</v>
      </c>
      <c r="BY32" s="8">
        <v>1.0</v>
      </c>
    </row>
    <row r="33" ht="15.0" customHeight="1">
      <c r="A33" s="8" t="s">
        <v>211</v>
      </c>
      <c r="B33" s="8">
        <v>83.0</v>
      </c>
      <c r="C33" s="8">
        <v>1.0</v>
      </c>
      <c r="Y33" s="8">
        <v>1.0</v>
      </c>
    </row>
    <row r="34" ht="15.0" customHeight="1">
      <c r="A34" s="8" t="s">
        <v>203</v>
      </c>
      <c r="B34" s="8">
        <v>84.0</v>
      </c>
      <c r="C34" s="8">
        <v>1.0</v>
      </c>
      <c r="AP34" s="8">
        <v>1.0</v>
      </c>
      <c r="BY34" s="8">
        <v>1.0</v>
      </c>
    </row>
    <row r="35" ht="15.0" customHeight="1">
      <c r="A35" s="8" t="s">
        <v>117</v>
      </c>
      <c r="B35" s="8">
        <v>85.0</v>
      </c>
      <c r="C35" s="8">
        <v>1.0</v>
      </c>
      <c r="AP35" s="8">
        <v>1.0</v>
      </c>
      <c r="BF35" s="8">
        <v>1.0</v>
      </c>
    </row>
    <row r="36" ht="15.0" customHeight="1">
      <c r="A36" s="8" t="s">
        <v>118</v>
      </c>
      <c r="B36" s="8">
        <v>87.0</v>
      </c>
      <c r="C36" s="8">
        <v>1.0</v>
      </c>
      <c r="S36" s="8">
        <v>1.0</v>
      </c>
      <c r="AK36" s="8">
        <v>1.0</v>
      </c>
    </row>
    <row r="37" ht="15.0" customHeight="1">
      <c r="A37" s="8" t="s">
        <v>197</v>
      </c>
      <c r="B37" s="8">
        <v>88.0</v>
      </c>
      <c r="C37" s="8">
        <v>1.0</v>
      </c>
      <c r="AQ37" s="8">
        <v>1.0</v>
      </c>
    </row>
    <row r="38" ht="15.0" customHeight="1">
      <c r="A38" s="8" t="s">
        <v>120</v>
      </c>
      <c r="B38" s="8">
        <v>90.0</v>
      </c>
      <c r="C38" s="8">
        <v>1.0</v>
      </c>
    </row>
    <row r="39" ht="15.0" customHeight="1">
      <c r="A39" s="8" t="s">
        <v>121</v>
      </c>
      <c r="B39" s="8">
        <v>91.0</v>
      </c>
      <c r="C39" s="8">
        <v>1.0</v>
      </c>
      <c r="AQ39" s="8">
        <v>1.0</v>
      </c>
      <c r="BM39" s="8">
        <v>1.0</v>
      </c>
      <c r="BN39" s="8">
        <v>1.0</v>
      </c>
      <c r="BP39" s="8">
        <v>1.0</v>
      </c>
    </row>
    <row r="40" ht="15.0" customHeight="1">
      <c r="A40" s="8" t="s">
        <v>200</v>
      </c>
      <c r="B40" s="8">
        <v>92.0</v>
      </c>
      <c r="C40" s="8">
        <v>1.0</v>
      </c>
      <c r="K40" s="8">
        <v>1.0</v>
      </c>
      <c r="BN40" s="8">
        <v>1.0</v>
      </c>
    </row>
    <row r="41" ht="15.0" customHeight="1">
      <c r="A41" s="8" t="s">
        <v>206</v>
      </c>
      <c r="B41" s="8">
        <v>93.0</v>
      </c>
      <c r="C41" s="8">
        <v>1.0</v>
      </c>
      <c r="BN41" s="8">
        <v>1.0</v>
      </c>
    </row>
    <row r="42" ht="15.0" customHeight="1">
      <c r="A42" s="8" t="s">
        <v>205</v>
      </c>
      <c r="B42" s="8">
        <v>96.0</v>
      </c>
      <c r="C42" s="8">
        <v>1.0</v>
      </c>
      <c r="I42" s="8">
        <v>1.0</v>
      </c>
      <c r="AF42" s="8">
        <v>1.0</v>
      </c>
      <c r="AN42" s="8">
        <v>1.0</v>
      </c>
      <c r="BA42" s="8">
        <v>1.0</v>
      </c>
      <c r="BF42" s="8">
        <v>1.0</v>
      </c>
    </row>
    <row r="43" ht="15.0" customHeight="1">
      <c r="A43" s="8" t="s">
        <v>218</v>
      </c>
      <c r="B43" s="8">
        <v>98.0</v>
      </c>
      <c r="C43" s="8">
        <v>1.0</v>
      </c>
      <c r="D43" s="8">
        <v>1.0</v>
      </c>
      <c r="H43" s="8">
        <v>1.0</v>
      </c>
      <c r="AF43" s="8">
        <v>1.0</v>
      </c>
      <c r="AQ43" s="8">
        <v>1.0</v>
      </c>
      <c r="BK43" s="8">
        <v>1.0</v>
      </c>
      <c r="BQ43" s="8">
        <v>1.0</v>
      </c>
      <c r="BT43" s="8">
        <v>1.0</v>
      </c>
      <c r="CA43" s="8">
        <v>1.0</v>
      </c>
      <c r="CJ43" s="8">
        <v>1.0</v>
      </c>
    </row>
    <row r="44" ht="15.0" customHeight="1">
      <c r="A44" s="8" t="s">
        <v>220</v>
      </c>
      <c r="B44" s="8">
        <v>99.0</v>
      </c>
      <c r="C44" s="8">
        <v>1.0</v>
      </c>
      <c r="K44" s="8">
        <v>1.0</v>
      </c>
    </row>
    <row r="45" ht="15.0" customHeight="1">
      <c r="A45" s="8" t="s">
        <v>111</v>
      </c>
      <c r="B45" s="3" t="s">
        <v>413</v>
      </c>
      <c r="Z45" s="8">
        <v>1.0</v>
      </c>
      <c r="AQ45" s="8">
        <v>1.0</v>
      </c>
    </row>
    <row r="46" ht="15.0" customHeight="1">
      <c r="A46" s="8" t="s">
        <v>209</v>
      </c>
      <c r="B46" s="3" t="s">
        <v>414</v>
      </c>
      <c r="AQ46" s="8">
        <v>1.0</v>
      </c>
      <c r="AT46" s="8">
        <v>1.0</v>
      </c>
    </row>
    <row r="47" ht="15.0" customHeight="1">
      <c r="A47" s="8" t="s">
        <v>114</v>
      </c>
      <c r="B47" s="3" t="s">
        <v>415</v>
      </c>
      <c r="AK47" s="8">
        <v>1.0</v>
      </c>
      <c r="AQ47" s="8">
        <v>1.0</v>
      </c>
      <c r="BT47" s="8">
        <v>1.0</v>
      </c>
    </row>
    <row r="48" ht="15.0" customHeight="1">
      <c r="A48" s="8" t="s">
        <v>131</v>
      </c>
      <c r="B48" s="3" t="s">
        <v>416</v>
      </c>
      <c r="W48" s="8">
        <v>1.0</v>
      </c>
      <c r="AQ48" s="8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7.63"/>
    <col customWidth="1" min="3" max="88" width="10.25"/>
  </cols>
  <sheetData>
    <row r="1" ht="15.0" customHeight="1">
      <c r="A1" s="3" t="s">
        <v>0</v>
      </c>
      <c r="B1" s="3" t="s">
        <v>156</v>
      </c>
      <c r="C1" s="3" t="s">
        <v>16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13</v>
      </c>
      <c r="O1" s="3" t="s">
        <v>244</v>
      </c>
      <c r="P1" s="3" t="s">
        <v>15</v>
      </c>
      <c r="Q1" s="3" t="s">
        <v>17</v>
      </c>
      <c r="R1" s="3" t="s">
        <v>159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364</v>
      </c>
      <c r="X1" s="3" t="s">
        <v>22</v>
      </c>
      <c r="Y1" s="3" t="s">
        <v>23</v>
      </c>
      <c r="Z1" s="3" t="s">
        <v>24</v>
      </c>
      <c r="AA1" s="3" t="s">
        <v>403</v>
      </c>
      <c r="AB1" s="3" t="s">
        <v>246</v>
      </c>
      <c r="AC1" s="3" t="s">
        <v>25</v>
      </c>
      <c r="AD1" s="3" t="s">
        <v>26</v>
      </c>
      <c r="AE1" s="3" t="s">
        <v>161</v>
      </c>
      <c r="AF1" s="3" t="s">
        <v>27</v>
      </c>
      <c r="AG1" s="3" t="s">
        <v>28</v>
      </c>
      <c r="AH1" s="3" t="s">
        <v>387</v>
      </c>
      <c r="AI1" s="3" t="s">
        <v>29</v>
      </c>
      <c r="AJ1" s="3" t="s">
        <v>30</v>
      </c>
      <c r="AK1" s="3" t="s">
        <v>365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162</v>
      </c>
      <c r="AR1" s="3" t="s">
        <v>163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164</v>
      </c>
      <c r="AX1" s="3" t="s">
        <v>42</v>
      </c>
      <c r="AY1" s="3" t="s">
        <v>165</v>
      </c>
      <c r="AZ1" s="3" t="s">
        <v>43</v>
      </c>
      <c r="BA1" s="3" t="s">
        <v>167</v>
      </c>
      <c r="BB1" s="3" t="s">
        <v>45</v>
      </c>
      <c r="BC1" s="3" t="s">
        <v>404</v>
      </c>
      <c r="BD1" s="3" t="s">
        <v>169</v>
      </c>
      <c r="BE1" s="3" t="s">
        <v>411</v>
      </c>
      <c r="BF1" s="3" t="s">
        <v>170</v>
      </c>
      <c r="BG1" s="3" t="s">
        <v>2</v>
      </c>
      <c r="BH1" s="3" t="s">
        <v>405</v>
      </c>
      <c r="BI1" s="3" t="s">
        <v>171</v>
      </c>
      <c r="BJ1" s="3" t="s">
        <v>317</v>
      </c>
      <c r="BK1" s="3" t="s">
        <v>48</v>
      </c>
      <c r="BL1" s="3" t="s">
        <v>50</v>
      </c>
      <c r="BM1" s="3" t="s">
        <v>51</v>
      </c>
      <c r="BN1" s="3" t="s">
        <v>52</v>
      </c>
      <c r="BO1" s="3" t="s">
        <v>53</v>
      </c>
      <c r="BP1" s="3" t="s">
        <v>54</v>
      </c>
      <c r="BQ1" s="3" t="s">
        <v>412</v>
      </c>
      <c r="BR1" s="3" t="s">
        <v>172</v>
      </c>
      <c r="BS1" s="3" t="s">
        <v>318</v>
      </c>
      <c r="BT1" s="3" t="s">
        <v>173</v>
      </c>
      <c r="BU1" s="3" t="s">
        <v>249</v>
      </c>
      <c r="BV1" s="3" t="s">
        <v>56</v>
      </c>
      <c r="BW1" s="3" t="s">
        <v>57</v>
      </c>
      <c r="BX1" s="3" t="s">
        <v>58</v>
      </c>
      <c r="BY1" s="3" t="s">
        <v>59</v>
      </c>
      <c r="BZ1" s="3" t="s">
        <v>319</v>
      </c>
      <c r="CA1" s="3" t="s">
        <v>60</v>
      </c>
      <c r="CB1" s="3" t="s">
        <v>61</v>
      </c>
      <c r="CC1" s="3" t="s">
        <v>62</v>
      </c>
      <c r="CD1" s="3" t="s">
        <v>63</v>
      </c>
      <c r="CE1" s="3" t="s">
        <v>64</v>
      </c>
      <c r="CF1" s="3" t="s">
        <v>65</v>
      </c>
      <c r="CG1" s="3" t="s">
        <v>250</v>
      </c>
      <c r="CH1" s="3" t="s">
        <v>67</v>
      </c>
      <c r="CI1" s="3" t="s">
        <v>68</v>
      </c>
      <c r="CJ1" s="3" t="s">
        <v>69</v>
      </c>
    </row>
    <row r="2" ht="15.0" customHeight="1">
      <c r="A2" s="3" t="s">
        <v>70</v>
      </c>
      <c r="B2" s="5">
        <f>COUNTA(B5:B29)</f>
        <v>25</v>
      </c>
    </row>
    <row r="3" ht="15.0" customHeight="1">
      <c r="A3" s="3" t="s">
        <v>320</v>
      </c>
      <c r="C3" s="5">
        <f t="shared" ref="C3:CJ3" si="1">SUM(C5:C29)</f>
        <v>13</v>
      </c>
      <c r="D3" s="5">
        <f t="shared" si="1"/>
        <v>0</v>
      </c>
      <c r="E3" s="5">
        <f t="shared" si="1"/>
        <v>0</v>
      </c>
      <c r="F3" s="5">
        <f t="shared" si="1"/>
        <v>2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1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11</v>
      </c>
      <c r="AD3" s="5">
        <f t="shared" si="1"/>
        <v>1</v>
      </c>
      <c r="AE3" s="5">
        <f t="shared" si="1"/>
        <v>0</v>
      </c>
      <c r="AF3" s="5">
        <f t="shared" si="1"/>
        <v>0</v>
      </c>
      <c r="AG3" s="5">
        <f t="shared" si="1"/>
        <v>0</v>
      </c>
      <c r="AH3" s="5">
        <f t="shared" si="1"/>
        <v>0</v>
      </c>
      <c r="AI3" s="5">
        <f t="shared" si="1"/>
        <v>0</v>
      </c>
      <c r="AJ3" s="5">
        <f t="shared" si="1"/>
        <v>0</v>
      </c>
      <c r="AK3" s="5">
        <f t="shared" si="1"/>
        <v>0</v>
      </c>
      <c r="AL3" s="5">
        <f t="shared" si="1"/>
        <v>0</v>
      </c>
      <c r="AM3" s="5">
        <f t="shared" si="1"/>
        <v>2</v>
      </c>
      <c r="AN3" s="5">
        <f t="shared" si="1"/>
        <v>0</v>
      </c>
      <c r="AO3" s="5">
        <f t="shared" si="1"/>
        <v>3</v>
      </c>
      <c r="AP3" s="5">
        <f t="shared" si="1"/>
        <v>0</v>
      </c>
      <c r="AQ3" s="5">
        <f t="shared" si="1"/>
        <v>0</v>
      </c>
      <c r="AR3" s="5">
        <f t="shared" si="1"/>
        <v>0</v>
      </c>
      <c r="AS3" s="5">
        <f t="shared" si="1"/>
        <v>0</v>
      </c>
      <c r="AT3" s="5">
        <f t="shared" si="1"/>
        <v>3</v>
      </c>
      <c r="AU3" s="5">
        <f t="shared" si="1"/>
        <v>1</v>
      </c>
      <c r="AV3" s="5">
        <f t="shared" si="1"/>
        <v>0</v>
      </c>
      <c r="AW3" s="5">
        <f t="shared" si="1"/>
        <v>0</v>
      </c>
      <c r="AX3" s="5">
        <f t="shared" si="1"/>
        <v>0</v>
      </c>
      <c r="AY3" s="5">
        <f t="shared" si="1"/>
        <v>0</v>
      </c>
      <c r="AZ3" s="5">
        <f t="shared" si="1"/>
        <v>0</v>
      </c>
      <c r="BA3" s="5">
        <f t="shared" si="1"/>
        <v>0</v>
      </c>
      <c r="BB3" s="5">
        <f t="shared" si="1"/>
        <v>0</v>
      </c>
      <c r="BC3" s="5">
        <f t="shared" si="1"/>
        <v>0</v>
      </c>
      <c r="BD3" s="5">
        <f t="shared" si="1"/>
        <v>0</v>
      </c>
      <c r="BE3" s="5">
        <f t="shared" si="1"/>
        <v>0</v>
      </c>
      <c r="BF3" s="5">
        <f t="shared" si="1"/>
        <v>0</v>
      </c>
      <c r="BG3" s="5">
        <f t="shared" si="1"/>
        <v>0</v>
      </c>
      <c r="BH3" s="5">
        <f t="shared" si="1"/>
        <v>0</v>
      </c>
      <c r="BI3" s="5">
        <f t="shared" si="1"/>
        <v>0</v>
      </c>
      <c r="BJ3" s="5">
        <f t="shared" si="1"/>
        <v>0</v>
      </c>
      <c r="BK3" s="5">
        <f t="shared" si="1"/>
        <v>0</v>
      </c>
      <c r="BL3" s="5">
        <f t="shared" si="1"/>
        <v>0</v>
      </c>
      <c r="BM3" s="5">
        <f t="shared" si="1"/>
        <v>0</v>
      </c>
      <c r="BN3" s="5">
        <f t="shared" si="1"/>
        <v>0</v>
      </c>
      <c r="BO3" s="5">
        <f t="shared" si="1"/>
        <v>0</v>
      </c>
      <c r="BP3" s="5">
        <f t="shared" si="1"/>
        <v>0</v>
      </c>
      <c r="BQ3" s="5">
        <f t="shared" si="1"/>
        <v>0</v>
      </c>
      <c r="BR3" s="5">
        <f t="shared" si="1"/>
        <v>0</v>
      </c>
      <c r="BS3" s="5">
        <f t="shared" si="1"/>
        <v>1</v>
      </c>
      <c r="BT3" s="5">
        <f t="shared" si="1"/>
        <v>0</v>
      </c>
      <c r="BU3" s="5">
        <f t="shared" si="1"/>
        <v>0</v>
      </c>
      <c r="BV3" s="5">
        <f t="shared" si="1"/>
        <v>7</v>
      </c>
      <c r="BW3" s="5">
        <f t="shared" si="1"/>
        <v>0</v>
      </c>
      <c r="BX3" s="5">
        <f t="shared" si="1"/>
        <v>0</v>
      </c>
      <c r="BY3" s="5">
        <f t="shared" si="1"/>
        <v>0</v>
      </c>
      <c r="BZ3" s="5">
        <f t="shared" si="1"/>
        <v>0</v>
      </c>
      <c r="CA3" s="5">
        <f t="shared" si="1"/>
        <v>0</v>
      </c>
      <c r="CB3" s="5">
        <f t="shared" si="1"/>
        <v>0</v>
      </c>
      <c r="CC3" s="5">
        <f t="shared" si="1"/>
        <v>0</v>
      </c>
      <c r="CD3" s="5">
        <f t="shared" si="1"/>
        <v>0</v>
      </c>
      <c r="CE3" s="5">
        <f t="shared" si="1"/>
        <v>0</v>
      </c>
      <c r="CF3" s="5">
        <f t="shared" si="1"/>
        <v>0</v>
      </c>
      <c r="CG3" s="5">
        <f t="shared" si="1"/>
        <v>0</v>
      </c>
      <c r="CH3" s="5">
        <f t="shared" si="1"/>
        <v>0</v>
      </c>
      <c r="CI3" s="5">
        <f t="shared" si="1"/>
        <v>0</v>
      </c>
      <c r="CJ3" s="5">
        <f t="shared" si="1"/>
        <v>0</v>
      </c>
    </row>
    <row r="4" ht="15.0" customHeight="1">
      <c r="A4" s="3" t="s">
        <v>417</v>
      </c>
      <c r="C4" s="5">
        <f t="shared" ref="C4:CJ4" si="2">C3/25</f>
        <v>0.52</v>
      </c>
      <c r="D4" s="5">
        <f t="shared" si="2"/>
        <v>0</v>
      </c>
      <c r="E4" s="5">
        <f t="shared" si="2"/>
        <v>0</v>
      </c>
      <c r="F4" s="5">
        <f t="shared" si="2"/>
        <v>0.08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0.04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0.44</v>
      </c>
      <c r="AD4" s="5">
        <f t="shared" si="2"/>
        <v>0.04</v>
      </c>
      <c r="AE4" s="5">
        <f t="shared" si="2"/>
        <v>0</v>
      </c>
      <c r="AF4" s="5">
        <f t="shared" si="2"/>
        <v>0</v>
      </c>
      <c r="AG4" s="5">
        <f t="shared" si="2"/>
        <v>0</v>
      </c>
      <c r="AH4" s="5">
        <f t="shared" si="2"/>
        <v>0</v>
      </c>
      <c r="AI4" s="5">
        <f t="shared" si="2"/>
        <v>0</v>
      </c>
      <c r="AJ4" s="5">
        <f t="shared" si="2"/>
        <v>0</v>
      </c>
      <c r="AK4" s="5">
        <f t="shared" si="2"/>
        <v>0</v>
      </c>
      <c r="AL4" s="5">
        <f t="shared" si="2"/>
        <v>0</v>
      </c>
      <c r="AM4" s="5">
        <f t="shared" si="2"/>
        <v>0.08</v>
      </c>
      <c r="AN4" s="5">
        <f t="shared" si="2"/>
        <v>0</v>
      </c>
      <c r="AO4" s="5">
        <f t="shared" si="2"/>
        <v>0.12</v>
      </c>
      <c r="AP4" s="5">
        <f t="shared" si="2"/>
        <v>0</v>
      </c>
      <c r="AQ4" s="5">
        <f t="shared" si="2"/>
        <v>0</v>
      </c>
      <c r="AR4" s="5">
        <f t="shared" si="2"/>
        <v>0</v>
      </c>
      <c r="AS4" s="5">
        <f t="shared" si="2"/>
        <v>0</v>
      </c>
      <c r="AT4" s="5">
        <f t="shared" si="2"/>
        <v>0.12</v>
      </c>
      <c r="AU4" s="5">
        <f t="shared" si="2"/>
        <v>0.04</v>
      </c>
      <c r="AV4" s="5">
        <f t="shared" si="2"/>
        <v>0</v>
      </c>
      <c r="AW4" s="5">
        <f t="shared" si="2"/>
        <v>0</v>
      </c>
      <c r="AX4" s="5">
        <f t="shared" si="2"/>
        <v>0</v>
      </c>
      <c r="AY4" s="5">
        <f t="shared" si="2"/>
        <v>0</v>
      </c>
      <c r="AZ4" s="5">
        <f t="shared" si="2"/>
        <v>0</v>
      </c>
      <c r="BA4" s="5">
        <f t="shared" si="2"/>
        <v>0</v>
      </c>
      <c r="BB4" s="5">
        <f t="shared" si="2"/>
        <v>0</v>
      </c>
      <c r="BC4" s="5">
        <f t="shared" si="2"/>
        <v>0</v>
      </c>
      <c r="BD4" s="5">
        <f t="shared" si="2"/>
        <v>0</v>
      </c>
      <c r="BE4" s="5">
        <f t="shared" si="2"/>
        <v>0</v>
      </c>
      <c r="BF4" s="5">
        <f t="shared" si="2"/>
        <v>0</v>
      </c>
      <c r="BG4" s="5">
        <f t="shared" si="2"/>
        <v>0</v>
      </c>
      <c r="BH4" s="5">
        <f t="shared" si="2"/>
        <v>0</v>
      </c>
      <c r="BI4" s="5">
        <f t="shared" si="2"/>
        <v>0</v>
      </c>
      <c r="BJ4" s="5">
        <f t="shared" si="2"/>
        <v>0</v>
      </c>
      <c r="BK4" s="5">
        <f t="shared" si="2"/>
        <v>0</v>
      </c>
      <c r="BL4" s="5">
        <f t="shared" si="2"/>
        <v>0</v>
      </c>
      <c r="BM4" s="5">
        <f t="shared" si="2"/>
        <v>0</v>
      </c>
      <c r="BN4" s="5">
        <f t="shared" si="2"/>
        <v>0</v>
      </c>
      <c r="BO4" s="5">
        <f t="shared" si="2"/>
        <v>0</v>
      </c>
      <c r="BP4" s="5">
        <f t="shared" si="2"/>
        <v>0</v>
      </c>
      <c r="BQ4" s="5">
        <f t="shared" si="2"/>
        <v>0</v>
      </c>
      <c r="BR4" s="5">
        <f t="shared" si="2"/>
        <v>0</v>
      </c>
      <c r="BS4" s="5">
        <f t="shared" si="2"/>
        <v>0.04</v>
      </c>
      <c r="BT4" s="5">
        <f t="shared" si="2"/>
        <v>0</v>
      </c>
      <c r="BU4" s="5">
        <f t="shared" si="2"/>
        <v>0</v>
      </c>
      <c r="BV4" s="5">
        <f t="shared" si="2"/>
        <v>0.28</v>
      </c>
      <c r="BW4" s="5">
        <f t="shared" si="2"/>
        <v>0</v>
      </c>
      <c r="BX4" s="5">
        <f t="shared" si="2"/>
        <v>0</v>
      </c>
      <c r="BY4" s="5">
        <f t="shared" si="2"/>
        <v>0</v>
      </c>
      <c r="BZ4" s="5">
        <f t="shared" si="2"/>
        <v>0</v>
      </c>
      <c r="CA4" s="5">
        <f t="shared" si="2"/>
        <v>0</v>
      </c>
      <c r="CB4" s="5">
        <f t="shared" si="2"/>
        <v>0</v>
      </c>
      <c r="CC4" s="5">
        <f t="shared" si="2"/>
        <v>0</v>
      </c>
      <c r="CD4" s="5">
        <f t="shared" si="2"/>
        <v>0</v>
      </c>
      <c r="CE4" s="5">
        <f t="shared" si="2"/>
        <v>0</v>
      </c>
      <c r="CF4" s="5">
        <f t="shared" si="2"/>
        <v>0</v>
      </c>
      <c r="CG4" s="5">
        <f t="shared" si="2"/>
        <v>0</v>
      </c>
      <c r="CH4" s="5">
        <f t="shared" si="2"/>
        <v>0</v>
      </c>
      <c r="CI4" s="5">
        <f t="shared" si="2"/>
        <v>0</v>
      </c>
      <c r="CJ4" s="5">
        <f t="shared" si="2"/>
        <v>0</v>
      </c>
    </row>
    <row r="5" ht="15.0" customHeight="1">
      <c r="A5" s="8" t="s">
        <v>204</v>
      </c>
      <c r="B5" s="8">
        <v>58.0</v>
      </c>
      <c r="C5" s="8">
        <v>1.0</v>
      </c>
      <c r="AM5" s="8">
        <v>1.0</v>
      </c>
    </row>
    <row r="6" ht="15.0" customHeight="1">
      <c r="A6" s="8" t="s">
        <v>194</v>
      </c>
      <c r="B6" s="8">
        <v>57.0</v>
      </c>
      <c r="C6" s="8">
        <v>1.0</v>
      </c>
    </row>
    <row r="7" ht="15.0" customHeight="1">
      <c r="A7" s="8" t="s">
        <v>132</v>
      </c>
      <c r="B7" s="8">
        <v>56.0</v>
      </c>
      <c r="C7" s="8">
        <v>1.0</v>
      </c>
      <c r="F7" s="8">
        <v>1.0</v>
      </c>
      <c r="AD7" s="8">
        <v>1.0</v>
      </c>
      <c r="AM7" s="8">
        <v>1.0</v>
      </c>
      <c r="AT7" s="8">
        <v>1.0</v>
      </c>
      <c r="BV7" s="8">
        <v>1.0</v>
      </c>
    </row>
    <row r="8" ht="15.0" customHeight="1">
      <c r="A8" s="8" t="s">
        <v>129</v>
      </c>
      <c r="B8" s="8">
        <v>55.0</v>
      </c>
      <c r="C8" s="8">
        <v>1.0</v>
      </c>
    </row>
    <row r="9" ht="15.0" customHeight="1">
      <c r="A9" s="8" t="s">
        <v>120</v>
      </c>
      <c r="B9" s="8">
        <v>53.0</v>
      </c>
      <c r="BV9" s="8">
        <v>1.0</v>
      </c>
    </row>
    <row r="10" ht="15.0" customHeight="1">
      <c r="A10" s="8" t="s">
        <v>119</v>
      </c>
      <c r="B10" s="8">
        <v>54.0</v>
      </c>
      <c r="C10" s="8">
        <v>1.0</v>
      </c>
    </row>
    <row r="11" ht="15.0" customHeight="1">
      <c r="A11" s="8" t="s">
        <v>117</v>
      </c>
      <c r="B11" s="8">
        <v>51.0</v>
      </c>
      <c r="C11" s="8">
        <v>1.0</v>
      </c>
    </row>
    <row r="12" ht="15.0" customHeight="1">
      <c r="A12" s="8" t="s">
        <v>117</v>
      </c>
      <c r="B12" s="8">
        <v>52.0</v>
      </c>
      <c r="C12" s="8">
        <v>1.0</v>
      </c>
    </row>
    <row r="13" ht="15.0" customHeight="1">
      <c r="A13" s="8" t="s">
        <v>115</v>
      </c>
      <c r="B13" s="8">
        <v>49.0</v>
      </c>
      <c r="C13" s="8">
        <v>1.0</v>
      </c>
      <c r="BV13" s="8">
        <v>1.0</v>
      </c>
    </row>
    <row r="14" ht="15.0" customHeight="1">
      <c r="A14" s="8" t="s">
        <v>111</v>
      </c>
      <c r="B14" s="8">
        <v>46.0</v>
      </c>
      <c r="C14" s="8">
        <v>1.0</v>
      </c>
    </row>
    <row r="15" ht="15.0" customHeight="1">
      <c r="A15" s="8" t="s">
        <v>221</v>
      </c>
      <c r="B15" s="8">
        <v>48.0</v>
      </c>
      <c r="C15" s="8">
        <v>1.0</v>
      </c>
    </row>
    <row r="16" ht="15.0" customHeight="1">
      <c r="A16" s="8" t="s">
        <v>104</v>
      </c>
      <c r="B16" s="8">
        <v>45.0</v>
      </c>
      <c r="C16" s="8">
        <v>1.0</v>
      </c>
      <c r="F16" s="8">
        <v>1.0</v>
      </c>
    </row>
    <row r="17" ht="15.0" customHeight="1">
      <c r="A17" s="8" t="s">
        <v>101</v>
      </c>
      <c r="B17" s="8">
        <v>47.0</v>
      </c>
      <c r="C17" s="8">
        <v>1.0</v>
      </c>
      <c r="AU17" s="8">
        <v>1.0</v>
      </c>
    </row>
    <row r="18" ht="15.0" customHeight="1">
      <c r="A18" s="8" t="s">
        <v>98</v>
      </c>
      <c r="B18" s="8">
        <v>42.0</v>
      </c>
      <c r="AC18" s="8">
        <v>1.0</v>
      </c>
      <c r="AT18" s="8">
        <v>1.0</v>
      </c>
      <c r="BV18" s="8">
        <v>1.0</v>
      </c>
    </row>
    <row r="19" ht="15.0" customHeight="1">
      <c r="A19" s="8" t="s">
        <v>98</v>
      </c>
      <c r="B19" s="8">
        <v>40.0</v>
      </c>
      <c r="AC19" s="8">
        <v>1.0</v>
      </c>
      <c r="AT19" s="8">
        <v>1.0</v>
      </c>
      <c r="BV19" s="8">
        <v>1.0</v>
      </c>
    </row>
    <row r="20" ht="15.0" customHeight="1">
      <c r="A20" s="8" t="s">
        <v>268</v>
      </c>
      <c r="B20" s="8">
        <v>50.0</v>
      </c>
      <c r="AC20" s="8">
        <v>1.0</v>
      </c>
    </row>
    <row r="21" ht="15.0" customHeight="1">
      <c r="A21" s="8" t="s">
        <v>179</v>
      </c>
      <c r="B21" s="8">
        <v>39.0</v>
      </c>
      <c r="AC21" s="8">
        <v>1.0</v>
      </c>
    </row>
    <row r="22" ht="15.0" customHeight="1">
      <c r="A22" s="8" t="s">
        <v>96</v>
      </c>
      <c r="B22" s="8">
        <v>41.0</v>
      </c>
      <c r="C22" s="8">
        <v>1.0</v>
      </c>
      <c r="R22" s="8">
        <v>1.0</v>
      </c>
      <c r="AC22" s="8">
        <v>1.0</v>
      </c>
    </row>
    <row r="23" ht="15.0" customHeight="1">
      <c r="A23" s="8" t="s">
        <v>382</v>
      </c>
      <c r="B23" s="8">
        <v>44.0</v>
      </c>
      <c r="AC23" s="8">
        <v>1.0</v>
      </c>
      <c r="BS23" s="8">
        <v>1.0</v>
      </c>
    </row>
    <row r="24" ht="15.0" customHeight="1">
      <c r="A24" s="8" t="s">
        <v>95</v>
      </c>
      <c r="B24" s="8">
        <v>38.0</v>
      </c>
      <c r="AC24" s="8">
        <v>1.0</v>
      </c>
    </row>
    <row r="25" ht="15.0" customHeight="1">
      <c r="A25" s="8" t="s">
        <v>89</v>
      </c>
      <c r="B25" s="8">
        <v>37.0</v>
      </c>
      <c r="AC25" s="8">
        <v>1.0</v>
      </c>
    </row>
    <row r="26" ht="15.0" customHeight="1">
      <c r="A26" s="8" t="s">
        <v>83</v>
      </c>
      <c r="B26" s="8">
        <v>35.0</v>
      </c>
      <c r="AC26" s="8">
        <v>1.0</v>
      </c>
    </row>
    <row r="27" ht="15.0" customHeight="1">
      <c r="A27" s="8" t="s">
        <v>80</v>
      </c>
      <c r="B27" s="8">
        <v>34.0</v>
      </c>
      <c r="AO27" s="8">
        <v>1.0</v>
      </c>
      <c r="BV27" s="8">
        <v>1.0</v>
      </c>
    </row>
    <row r="28" ht="15.0" customHeight="1">
      <c r="A28" s="8" t="s">
        <v>77</v>
      </c>
      <c r="B28" s="8">
        <v>36.0</v>
      </c>
      <c r="AC28" s="8">
        <v>1.0</v>
      </c>
      <c r="AO28" s="8">
        <v>1.0</v>
      </c>
      <c r="BV28" s="8">
        <v>1.0</v>
      </c>
    </row>
    <row r="29" ht="15.0" customHeight="1">
      <c r="A29" s="8" t="s">
        <v>75</v>
      </c>
      <c r="B29" s="8">
        <v>33.0</v>
      </c>
      <c r="AC29" s="8">
        <v>1.0</v>
      </c>
      <c r="AO29" s="8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35.88"/>
    <col customWidth="1" min="3" max="88" width="10.25"/>
  </cols>
  <sheetData>
    <row r="1" ht="15.0" customHeight="1">
      <c r="A1" s="3" t="s">
        <v>0</v>
      </c>
      <c r="B1" s="3" t="s">
        <v>156</v>
      </c>
      <c r="C1" s="3" t="s">
        <v>64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13</v>
      </c>
      <c r="O1" s="3" t="s">
        <v>244</v>
      </c>
      <c r="P1" s="3" t="s">
        <v>15</v>
      </c>
      <c r="Q1" s="3" t="s">
        <v>16</v>
      </c>
      <c r="R1" s="3" t="s">
        <v>17</v>
      </c>
      <c r="S1" s="3" t="s">
        <v>159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364</v>
      </c>
      <c r="Y1" s="3" t="s">
        <v>22</v>
      </c>
      <c r="Z1" s="3" t="s">
        <v>23</v>
      </c>
      <c r="AA1" s="3" t="s">
        <v>24</v>
      </c>
      <c r="AB1" s="3" t="s">
        <v>403</v>
      </c>
      <c r="AC1" s="3" t="s">
        <v>246</v>
      </c>
      <c r="AD1" s="3" t="s">
        <v>25</v>
      </c>
      <c r="AE1" s="3" t="s">
        <v>26</v>
      </c>
      <c r="AF1" s="3" t="s">
        <v>161</v>
      </c>
      <c r="AG1" s="3" t="s">
        <v>27</v>
      </c>
      <c r="AH1" s="3" t="s">
        <v>28</v>
      </c>
      <c r="AI1" s="3" t="s">
        <v>387</v>
      </c>
      <c r="AJ1" s="3" t="s">
        <v>29</v>
      </c>
      <c r="AK1" s="3" t="s">
        <v>30</v>
      </c>
      <c r="AL1" s="3" t="s">
        <v>365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162</v>
      </c>
      <c r="AS1" s="3" t="s">
        <v>163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164</v>
      </c>
      <c r="AY1" s="3" t="s">
        <v>42</v>
      </c>
      <c r="AZ1" s="3" t="s">
        <v>165</v>
      </c>
      <c r="BA1" s="3" t="s">
        <v>43</v>
      </c>
      <c r="BB1" s="3" t="s">
        <v>167</v>
      </c>
      <c r="BC1" s="3" t="s">
        <v>45</v>
      </c>
      <c r="BD1" s="3" t="s">
        <v>404</v>
      </c>
      <c r="BE1" s="3" t="s">
        <v>169</v>
      </c>
      <c r="BF1" s="3" t="s">
        <v>411</v>
      </c>
      <c r="BG1" s="3" t="s">
        <v>170</v>
      </c>
      <c r="BH1" s="3" t="s">
        <v>2</v>
      </c>
      <c r="BI1" s="3" t="s">
        <v>405</v>
      </c>
      <c r="BJ1" s="3" t="s">
        <v>171</v>
      </c>
      <c r="BK1" s="3" t="s">
        <v>317</v>
      </c>
      <c r="BL1" s="3" t="s">
        <v>48</v>
      </c>
      <c r="BM1" s="3" t="s">
        <v>50</v>
      </c>
      <c r="BN1" s="3" t="s">
        <v>51</v>
      </c>
      <c r="BO1" s="3" t="s">
        <v>52</v>
      </c>
      <c r="BP1" s="3" t="s">
        <v>53</v>
      </c>
      <c r="BQ1" s="3" t="s">
        <v>54</v>
      </c>
      <c r="BR1" s="3" t="s">
        <v>412</v>
      </c>
      <c r="BS1" s="3" t="s">
        <v>172</v>
      </c>
      <c r="BT1" s="3" t="s">
        <v>318</v>
      </c>
      <c r="BU1" s="3" t="s">
        <v>173</v>
      </c>
      <c r="BV1" s="3" t="s">
        <v>249</v>
      </c>
      <c r="BW1" s="3" t="s">
        <v>56</v>
      </c>
      <c r="BX1" s="3" t="s">
        <v>57</v>
      </c>
      <c r="BY1" s="3" t="s">
        <v>58</v>
      </c>
      <c r="BZ1" s="3" t="s">
        <v>59</v>
      </c>
      <c r="CA1" s="3" t="s">
        <v>319</v>
      </c>
      <c r="CB1" s="3" t="s">
        <v>60</v>
      </c>
      <c r="CC1" s="3" t="s">
        <v>61</v>
      </c>
      <c r="CD1" s="3" t="s">
        <v>62</v>
      </c>
      <c r="CE1" s="3" t="s">
        <v>63</v>
      </c>
      <c r="CF1" s="3" t="s">
        <v>65</v>
      </c>
      <c r="CG1" s="3" t="s">
        <v>250</v>
      </c>
      <c r="CH1" s="3" t="s">
        <v>67</v>
      </c>
      <c r="CI1" s="3" t="s">
        <v>68</v>
      </c>
      <c r="CJ1" s="3" t="s">
        <v>69</v>
      </c>
    </row>
    <row r="2" ht="15.0" customHeight="1">
      <c r="A2" s="3" t="s">
        <v>70</v>
      </c>
      <c r="B2" s="5">
        <f>COUNTA(B5:B39)</f>
        <v>35</v>
      </c>
    </row>
    <row r="3" ht="15.0" customHeight="1">
      <c r="A3" s="3" t="s">
        <v>320</v>
      </c>
      <c r="C3" s="5">
        <f t="shared" ref="C3:CJ3" si="1">SUM(C5:C39)</f>
        <v>33</v>
      </c>
      <c r="D3" s="5">
        <f t="shared" si="1"/>
        <v>1</v>
      </c>
      <c r="E3" s="5">
        <f t="shared" si="1"/>
        <v>0</v>
      </c>
      <c r="F3" s="5">
        <f t="shared" si="1"/>
        <v>1</v>
      </c>
      <c r="G3" s="5">
        <f t="shared" si="1"/>
        <v>3</v>
      </c>
      <c r="H3" s="5">
        <f t="shared" si="1"/>
        <v>0</v>
      </c>
      <c r="I3" s="5">
        <f t="shared" si="1"/>
        <v>1</v>
      </c>
      <c r="J3" s="5">
        <f t="shared" si="1"/>
        <v>0</v>
      </c>
      <c r="K3" s="5">
        <f t="shared" si="1"/>
        <v>3</v>
      </c>
      <c r="L3" s="5">
        <f t="shared" si="1"/>
        <v>0</v>
      </c>
      <c r="M3" s="5">
        <f t="shared" si="1"/>
        <v>0</v>
      </c>
      <c r="N3" s="5">
        <f t="shared" si="1"/>
        <v>1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1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5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 t="shared" si="1"/>
        <v>1</v>
      </c>
      <c r="AH3" s="5">
        <f t="shared" si="1"/>
        <v>0</v>
      </c>
      <c r="AI3" s="5">
        <f t="shared" si="1"/>
        <v>0</v>
      </c>
      <c r="AJ3" s="5">
        <f t="shared" si="1"/>
        <v>0</v>
      </c>
      <c r="AK3" s="5">
        <f t="shared" si="1"/>
        <v>0</v>
      </c>
      <c r="AL3" s="5">
        <f t="shared" si="1"/>
        <v>0</v>
      </c>
      <c r="AM3" s="5">
        <f t="shared" si="1"/>
        <v>0</v>
      </c>
      <c r="AN3" s="5">
        <f t="shared" si="1"/>
        <v>2</v>
      </c>
      <c r="AO3" s="5">
        <f t="shared" si="1"/>
        <v>0</v>
      </c>
      <c r="AP3" s="5">
        <f t="shared" si="1"/>
        <v>0</v>
      </c>
      <c r="AQ3" s="5">
        <f t="shared" si="1"/>
        <v>0</v>
      </c>
      <c r="AR3" s="5">
        <f t="shared" si="1"/>
        <v>0</v>
      </c>
      <c r="AS3" s="5">
        <f t="shared" si="1"/>
        <v>0</v>
      </c>
      <c r="AT3" s="5">
        <f t="shared" si="1"/>
        <v>0</v>
      </c>
      <c r="AU3" s="5">
        <f t="shared" si="1"/>
        <v>1</v>
      </c>
      <c r="AV3" s="5">
        <f t="shared" si="1"/>
        <v>0</v>
      </c>
      <c r="AW3" s="5">
        <f t="shared" si="1"/>
        <v>0</v>
      </c>
      <c r="AX3" s="5">
        <f t="shared" si="1"/>
        <v>0</v>
      </c>
      <c r="AY3" s="5">
        <f t="shared" si="1"/>
        <v>0</v>
      </c>
      <c r="AZ3" s="5">
        <f t="shared" si="1"/>
        <v>1</v>
      </c>
      <c r="BA3" s="5">
        <f t="shared" si="1"/>
        <v>0</v>
      </c>
      <c r="BB3" s="5">
        <f t="shared" si="1"/>
        <v>2</v>
      </c>
      <c r="BC3" s="5">
        <f t="shared" si="1"/>
        <v>0</v>
      </c>
      <c r="BD3" s="5">
        <f t="shared" si="1"/>
        <v>0</v>
      </c>
      <c r="BE3" s="5">
        <f t="shared" si="1"/>
        <v>0</v>
      </c>
      <c r="BF3" s="5">
        <f t="shared" si="1"/>
        <v>0</v>
      </c>
      <c r="BG3" s="5">
        <f t="shared" si="1"/>
        <v>1</v>
      </c>
      <c r="BH3" s="5">
        <f t="shared" si="1"/>
        <v>0</v>
      </c>
      <c r="BI3" s="5">
        <f t="shared" si="1"/>
        <v>0</v>
      </c>
      <c r="BJ3" s="5">
        <f t="shared" si="1"/>
        <v>0</v>
      </c>
      <c r="BK3" s="5">
        <f t="shared" si="1"/>
        <v>0</v>
      </c>
      <c r="BL3" s="5">
        <f t="shared" si="1"/>
        <v>0</v>
      </c>
      <c r="BM3" s="5">
        <f t="shared" si="1"/>
        <v>0</v>
      </c>
      <c r="BN3" s="5">
        <f t="shared" si="1"/>
        <v>5</v>
      </c>
      <c r="BO3" s="5">
        <f t="shared" si="1"/>
        <v>3</v>
      </c>
      <c r="BP3" s="5">
        <f t="shared" si="1"/>
        <v>0</v>
      </c>
      <c r="BQ3" s="5">
        <f t="shared" si="1"/>
        <v>0</v>
      </c>
      <c r="BR3" s="5">
        <f t="shared" si="1"/>
        <v>0</v>
      </c>
      <c r="BS3" s="5">
        <f t="shared" si="1"/>
        <v>0</v>
      </c>
      <c r="BT3" s="5">
        <f t="shared" si="1"/>
        <v>1</v>
      </c>
      <c r="BU3" s="5">
        <f t="shared" si="1"/>
        <v>0</v>
      </c>
      <c r="BV3" s="5">
        <f t="shared" si="1"/>
        <v>0</v>
      </c>
      <c r="BW3" s="5">
        <f t="shared" si="1"/>
        <v>0</v>
      </c>
      <c r="BX3" s="5">
        <f t="shared" si="1"/>
        <v>0</v>
      </c>
      <c r="BY3" s="5">
        <f t="shared" si="1"/>
        <v>0</v>
      </c>
      <c r="BZ3" s="5">
        <f t="shared" si="1"/>
        <v>0</v>
      </c>
      <c r="CA3" s="5">
        <f t="shared" si="1"/>
        <v>0</v>
      </c>
      <c r="CB3" s="5">
        <f t="shared" si="1"/>
        <v>1</v>
      </c>
      <c r="CC3" s="5">
        <f t="shared" si="1"/>
        <v>0</v>
      </c>
      <c r="CD3" s="5">
        <f t="shared" si="1"/>
        <v>0</v>
      </c>
      <c r="CE3" s="5">
        <f t="shared" si="1"/>
        <v>0</v>
      </c>
      <c r="CF3" s="5">
        <f t="shared" si="1"/>
        <v>1</v>
      </c>
      <c r="CG3" s="5">
        <f t="shared" si="1"/>
        <v>1</v>
      </c>
      <c r="CH3" s="5">
        <f t="shared" si="1"/>
        <v>0</v>
      </c>
      <c r="CI3" s="5">
        <f t="shared" si="1"/>
        <v>0</v>
      </c>
      <c r="CJ3" s="5">
        <f t="shared" si="1"/>
        <v>0</v>
      </c>
    </row>
    <row r="4" ht="15.0" customHeight="1">
      <c r="A4" s="3" t="s">
        <v>417</v>
      </c>
      <c r="C4" s="5">
        <f t="shared" ref="C4:CJ4" si="2">C3/35</f>
        <v>0.9428571429</v>
      </c>
      <c r="D4" s="5">
        <f t="shared" si="2"/>
        <v>0.02857142857</v>
      </c>
      <c r="E4" s="5">
        <f t="shared" si="2"/>
        <v>0</v>
      </c>
      <c r="F4" s="5">
        <f t="shared" si="2"/>
        <v>0.02857142857</v>
      </c>
      <c r="G4" s="5">
        <f t="shared" si="2"/>
        <v>0.08571428571</v>
      </c>
      <c r="H4" s="5">
        <f t="shared" si="2"/>
        <v>0</v>
      </c>
      <c r="I4" s="5">
        <f t="shared" si="2"/>
        <v>0.02857142857</v>
      </c>
      <c r="J4" s="5">
        <f t="shared" si="2"/>
        <v>0</v>
      </c>
      <c r="K4" s="5">
        <f t="shared" si="2"/>
        <v>0.08571428571</v>
      </c>
      <c r="L4" s="5">
        <f t="shared" si="2"/>
        <v>0</v>
      </c>
      <c r="M4" s="5">
        <f t="shared" si="2"/>
        <v>0</v>
      </c>
      <c r="N4" s="5">
        <f t="shared" si="2"/>
        <v>0.02857142857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0.02857142857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0.1428571429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  <c r="AF4" s="5">
        <f t="shared" si="2"/>
        <v>0</v>
      </c>
      <c r="AG4" s="5">
        <f t="shared" si="2"/>
        <v>0.02857142857</v>
      </c>
      <c r="AH4" s="5">
        <f t="shared" si="2"/>
        <v>0</v>
      </c>
      <c r="AI4" s="5">
        <f t="shared" si="2"/>
        <v>0</v>
      </c>
      <c r="AJ4" s="5">
        <f t="shared" si="2"/>
        <v>0</v>
      </c>
      <c r="AK4" s="5">
        <f t="shared" si="2"/>
        <v>0</v>
      </c>
      <c r="AL4" s="5">
        <f t="shared" si="2"/>
        <v>0</v>
      </c>
      <c r="AM4" s="5">
        <f t="shared" si="2"/>
        <v>0</v>
      </c>
      <c r="AN4" s="5">
        <f t="shared" si="2"/>
        <v>0.05714285714</v>
      </c>
      <c r="AO4" s="5">
        <f t="shared" si="2"/>
        <v>0</v>
      </c>
      <c r="AP4" s="5">
        <f t="shared" si="2"/>
        <v>0</v>
      </c>
      <c r="AQ4" s="5">
        <f t="shared" si="2"/>
        <v>0</v>
      </c>
      <c r="AR4" s="5">
        <f t="shared" si="2"/>
        <v>0</v>
      </c>
      <c r="AS4" s="5">
        <f t="shared" si="2"/>
        <v>0</v>
      </c>
      <c r="AT4" s="5">
        <f t="shared" si="2"/>
        <v>0</v>
      </c>
      <c r="AU4" s="5">
        <f t="shared" si="2"/>
        <v>0.02857142857</v>
      </c>
      <c r="AV4" s="5">
        <f t="shared" si="2"/>
        <v>0</v>
      </c>
      <c r="AW4" s="5">
        <f t="shared" si="2"/>
        <v>0</v>
      </c>
      <c r="AX4" s="5">
        <f t="shared" si="2"/>
        <v>0</v>
      </c>
      <c r="AY4" s="5">
        <f t="shared" si="2"/>
        <v>0</v>
      </c>
      <c r="AZ4" s="5">
        <f t="shared" si="2"/>
        <v>0.02857142857</v>
      </c>
      <c r="BA4" s="5">
        <f t="shared" si="2"/>
        <v>0</v>
      </c>
      <c r="BB4" s="5">
        <f t="shared" si="2"/>
        <v>0.05714285714</v>
      </c>
      <c r="BC4" s="5">
        <f t="shared" si="2"/>
        <v>0</v>
      </c>
      <c r="BD4" s="5">
        <f t="shared" si="2"/>
        <v>0</v>
      </c>
      <c r="BE4" s="5">
        <f t="shared" si="2"/>
        <v>0</v>
      </c>
      <c r="BF4" s="5">
        <f t="shared" si="2"/>
        <v>0</v>
      </c>
      <c r="BG4" s="5">
        <f t="shared" si="2"/>
        <v>0.02857142857</v>
      </c>
      <c r="BH4" s="5">
        <f t="shared" si="2"/>
        <v>0</v>
      </c>
      <c r="BI4" s="5">
        <f t="shared" si="2"/>
        <v>0</v>
      </c>
      <c r="BJ4" s="5">
        <f t="shared" si="2"/>
        <v>0</v>
      </c>
      <c r="BK4" s="5">
        <f t="shared" si="2"/>
        <v>0</v>
      </c>
      <c r="BL4" s="5">
        <f t="shared" si="2"/>
        <v>0</v>
      </c>
      <c r="BM4" s="5">
        <f t="shared" si="2"/>
        <v>0</v>
      </c>
      <c r="BN4" s="5">
        <f t="shared" si="2"/>
        <v>0.1428571429</v>
      </c>
      <c r="BO4" s="5">
        <f t="shared" si="2"/>
        <v>0.08571428571</v>
      </c>
      <c r="BP4" s="5">
        <f t="shared" si="2"/>
        <v>0</v>
      </c>
      <c r="BQ4" s="5">
        <f t="shared" si="2"/>
        <v>0</v>
      </c>
      <c r="BR4" s="5">
        <f t="shared" si="2"/>
        <v>0</v>
      </c>
      <c r="BS4" s="5">
        <f t="shared" si="2"/>
        <v>0</v>
      </c>
      <c r="BT4" s="5">
        <f t="shared" si="2"/>
        <v>0.02857142857</v>
      </c>
      <c r="BU4" s="5">
        <f t="shared" si="2"/>
        <v>0</v>
      </c>
      <c r="BV4" s="5">
        <f t="shared" si="2"/>
        <v>0</v>
      </c>
      <c r="BW4" s="5">
        <f t="shared" si="2"/>
        <v>0</v>
      </c>
      <c r="BX4" s="5">
        <f t="shared" si="2"/>
        <v>0</v>
      </c>
      <c r="BY4" s="5">
        <f t="shared" si="2"/>
        <v>0</v>
      </c>
      <c r="BZ4" s="5">
        <f t="shared" si="2"/>
        <v>0</v>
      </c>
      <c r="CA4" s="5">
        <f t="shared" si="2"/>
        <v>0</v>
      </c>
      <c r="CB4" s="5">
        <f t="shared" si="2"/>
        <v>0.02857142857</v>
      </c>
      <c r="CC4" s="5">
        <f t="shared" si="2"/>
        <v>0</v>
      </c>
      <c r="CD4" s="5">
        <f t="shared" si="2"/>
        <v>0</v>
      </c>
      <c r="CE4" s="5">
        <f t="shared" si="2"/>
        <v>0</v>
      </c>
      <c r="CF4" s="5">
        <f t="shared" si="2"/>
        <v>0.02857142857</v>
      </c>
      <c r="CG4" s="5">
        <f t="shared" si="2"/>
        <v>0.02857142857</v>
      </c>
      <c r="CH4" s="5">
        <f t="shared" si="2"/>
        <v>0</v>
      </c>
      <c r="CI4" s="5">
        <f t="shared" si="2"/>
        <v>0</v>
      </c>
      <c r="CJ4" s="5">
        <f t="shared" si="2"/>
        <v>0</v>
      </c>
    </row>
    <row r="5" ht="15.0" customHeight="1">
      <c r="A5" s="8" t="s">
        <v>368</v>
      </c>
      <c r="B5" s="8">
        <v>100.0</v>
      </c>
      <c r="C5" s="8">
        <v>1.0</v>
      </c>
      <c r="K5" s="8">
        <v>1.0</v>
      </c>
      <c r="BO5" s="8">
        <v>1.0</v>
      </c>
    </row>
    <row r="6" ht="15.0" customHeight="1">
      <c r="A6" s="8" t="s">
        <v>261</v>
      </c>
      <c r="B6" s="8">
        <v>99.0</v>
      </c>
      <c r="C6" s="8">
        <v>1.0</v>
      </c>
      <c r="BO6" s="8">
        <v>1.0</v>
      </c>
    </row>
    <row r="7" ht="15.0" customHeight="1">
      <c r="A7" s="8" t="s">
        <v>136</v>
      </c>
      <c r="B7" s="8">
        <v>96.0</v>
      </c>
      <c r="C7" s="8">
        <v>1.0</v>
      </c>
    </row>
    <row r="8" ht="15.0" customHeight="1">
      <c r="A8" s="8" t="s">
        <v>305</v>
      </c>
      <c r="B8" s="8">
        <v>98.0</v>
      </c>
      <c r="C8" s="8">
        <v>1.0</v>
      </c>
      <c r="AN8" s="8">
        <v>1.0</v>
      </c>
    </row>
    <row r="9" ht="15.0" customHeight="1">
      <c r="A9" s="8" t="s">
        <v>137</v>
      </c>
      <c r="B9" s="8">
        <v>97.0</v>
      </c>
      <c r="C9" s="8">
        <v>1.0</v>
      </c>
      <c r="AA9" s="8">
        <v>1.0</v>
      </c>
      <c r="AN9" s="8">
        <v>1.0</v>
      </c>
    </row>
    <row r="10" ht="15.0" customHeight="1">
      <c r="A10" s="8" t="s">
        <v>218</v>
      </c>
      <c r="B10" s="8">
        <v>95.0</v>
      </c>
      <c r="C10" s="8">
        <v>1.0</v>
      </c>
    </row>
    <row r="11" ht="15.0" customHeight="1">
      <c r="A11" s="8" t="s">
        <v>237</v>
      </c>
      <c r="B11" s="8">
        <v>94.0</v>
      </c>
      <c r="C11" s="8">
        <v>1.0</v>
      </c>
      <c r="K11" s="8">
        <v>1.0</v>
      </c>
      <c r="AG11" s="8">
        <v>1.0</v>
      </c>
    </row>
    <row r="12" ht="15.0" customHeight="1">
      <c r="A12" s="8" t="s">
        <v>134</v>
      </c>
      <c r="B12" s="8">
        <v>93.0</v>
      </c>
      <c r="C12" s="8">
        <v>1.0</v>
      </c>
    </row>
    <row r="13" ht="15.0" customHeight="1">
      <c r="A13" s="8" t="s">
        <v>205</v>
      </c>
      <c r="B13" s="8">
        <v>92.0</v>
      </c>
      <c r="C13" s="8">
        <v>1.0</v>
      </c>
    </row>
    <row r="14" ht="15.0" customHeight="1">
      <c r="A14" s="8" t="s">
        <v>130</v>
      </c>
      <c r="B14" s="8">
        <v>91.0</v>
      </c>
      <c r="C14" s="8">
        <v>1.0</v>
      </c>
      <c r="N14" s="8">
        <v>1.0</v>
      </c>
      <c r="AA14" s="8">
        <v>1.0</v>
      </c>
      <c r="BN14" s="8">
        <v>1.0</v>
      </c>
    </row>
    <row r="15" ht="15.0" customHeight="1">
      <c r="A15" s="8" t="s">
        <v>206</v>
      </c>
      <c r="B15" s="8">
        <v>90.0</v>
      </c>
      <c r="C15" s="8">
        <v>1.0</v>
      </c>
      <c r="D15" s="8">
        <v>1.0</v>
      </c>
    </row>
    <row r="16" ht="15.0" customHeight="1">
      <c r="A16" s="8" t="s">
        <v>128</v>
      </c>
      <c r="B16" s="8">
        <v>89.0</v>
      </c>
      <c r="C16" s="8">
        <v>1.0</v>
      </c>
      <c r="AA16" s="8">
        <v>1.0</v>
      </c>
    </row>
    <row r="17" ht="15.0" customHeight="1">
      <c r="A17" s="8" t="s">
        <v>121</v>
      </c>
      <c r="B17" s="8">
        <v>88.0</v>
      </c>
      <c r="C17" s="8">
        <v>1.0</v>
      </c>
    </row>
    <row r="18" ht="15.0" customHeight="1">
      <c r="A18" s="8" t="s">
        <v>197</v>
      </c>
      <c r="B18" s="8">
        <v>87.0</v>
      </c>
      <c r="C18" s="8">
        <v>1.0</v>
      </c>
      <c r="AA18" s="8">
        <v>1.0</v>
      </c>
    </row>
    <row r="19" ht="15.0" customHeight="1">
      <c r="A19" s="8" t="s">
        <v>118</v>
      </c>
      <c r="B19" s="8">
        <v>86.0</v>
      </c>
      <c r="C19" s="8">
        <v>1.0</v>
      </c>
      <c r="G19" s="8">
        <v>1.0</v>
      </c>
      <c r="AA19" s="8">
        <v>1.0</v>
      </c>
    </row>
    <row r="20" ht="15.0" customHeight="1">
      <c r="A20" s="8" t="s">
        <v>112</v>
      </c>
      <c r="B20" s="8">
        <v>85.0</v>
      </c>
      <c r="C20" s="8">
        <v>1.0</v>
      </c>
    </row>
    <row r="21" ht="15.0" customHeight="1">
      <c r="A21" s="8" t="s">
        <v>108</v>
      </c>
      <c r="B21" s="8">
        <v>84.0</v>
      </c>
      <c r="C21" s="8">
        <v>1.0</v>
      </c>
    </row>
    <row r="22" ht="15.0" customHeight="1">
      <c r="A22" s="8" t="s">
        <v>107</v>
      </c>
      <c r="B22" s="8">
        <v>83.0</v>
      </c>
      <c r="C22" s="8">
        <v>1.0</v>
      </c>
    </row>
    <row r="23" ht="15.0" customHeight="1">
      <c r="A23" s="8" t="s">
        <v>217</v>
      </c>
      <c r="B23" s="8">
        <v>82.0</v>
      </c>
      <c r="I23" s="8">
        <v>1.0</v>
      </c>
      <c r="V23" s="8">
        <v>1.0</v>
      </c>
      <c r="BB23" s="8">
        <v>1.0</v>
      </c>
      <c r="BN23" s="8">
        <v>1.0</v>
      </c>
      <c r="CG23" s="8">
        <v>1.0</v>
      </c>
    </row>
    <row r="24" ht="15.0" customHeight="1">
      <c r="A24" s="8" t="s">
        <v>181</v>
      </c>
      <c r="B24" s="8">
        <v>81.0</v>
      </c>
      <c r="BB24" s="8">
        <v>1.0</v>
      </c>
    </row>
    <row r="25" ht="15.0" customHeight="1">
      <c r="A25" s="8" t="s">
        <v>104</v>
      </c>
      <c r="B25" s="8">
        <v>79.0</v>
      </c>
      <c r="C25" s="8">
        <v>1.0</v>
      </c>
      <c r="G25" s="8">
        <v>1.0</v>
      </c>
    </row>
    <row r="26" ht="15.0" customHeight="1">
      <c r="A26" s="8" t="s">
        <v>103</v>
      </c>
      <c r="B26" s="8">
        <v>78.0</v>
      </c>
      <c r="C26" s="8">
        <v>1.0</v>
      </c>
      <c r="F26" s="8">
        <v>1.0</v>
      </c>
      <c r="BG26" s="8">
        <v>1.0</v>
      </c>
      <c r="BN26" s="8">
        <v>1.0</v>
      </c>
    </row>
    <row r="27" ht="15.0" customHeight="1">
      <c r="A27" s="8" t="s">
        <v>187</v>
      </c>
      <c r="B27" s="8">
        <v>77.0</v>
      </c>
      <c r="C27" s="8">
        <v>1.0</v>
      </c>
    </row>
    <row r="28" ht="15.0" customHeight="1">
      <c r="A28" s="8" t="s">
        <v>146</v>
      </c>
      <c r="B28" s="8">
        <v>76.0</v>
      </c>
      <c r="C28" s="8">
        <v>1.0</v>
      </c>
      <c r="BO28" s="8">
        <v>1.0</v>
      </c>
    </row>
    <row r="29" ht="15.0" customHeight="1">
      <c r="A29" s="8" t="s">
        <v>180</v>
      </c>
      <c r="B29" s="8">
        <v>75.0</v>
      </c>
      <c r="C29" s="8">
        <v>1.0</v>
      </c>
    </row>
    <row r="30" ht="15.0" customHeight="1">
      <c r="A30" s="8" t="s">
        <v>102</v>
      </c>
      <c r="B30" s="8">
        <v>74.0</v>
      </c>
      <c r="C30" s="8">
        <v>1.0</v>
      </c>
    </row>
    <row r="31" ht="15.0" customHeight="1">
      <c r="A31" s="8" t="s">
        <v>101</v>
      </c>
      <c r="B31" s="8">
        <v>73.0</v>
      </c>
      <c r="C31" s="8">
        <v>1.0</v>
      </c>
    </row>
    <row r="32" ht="15.0" customHeight="1">
      <c r="A32" s="8" t="s">
        <v>96</v>
      </c>
      <c r="B32" s="8">
        <v>72.0</v>
      </c>
      <c r="C32" s="8">
        <v>1.0</v>
      </c>
      <c r="G32" s="8">
        <v>1.0</v>
      </c>
    </row>
    <row r="33" ht="15.0" customHeight="1">
      <c r="A33" s="8" t="s">
        <v>94</v>
      </c>
      <c r="B33" s="8">
        <v>70.0</v>
      </c>
      <c r="C33" s="8">
        <v>1.0</v>
      </c>
      <c r="AZ33" s="8">
        <v>1.0</v>
      </c>
    </row>
    <row r="34" ht="15.0" customHeight="1">
      <c r="A34" s="8" t="s">
        <v>212</v>
      </c>
      <c r="B34" s="8">
        <v>69.0</v>
      </c>
      <c r="C34" s="8">
        <v>1.0</v>
      </c>
      <c r="BT34" s="8">
        <v>1.0</v>
      </c>
    </row>
    <row r="35" ht="15.0" customHeight="1">
      <c r="A35" s="8" t="s">
        <v>88</v>
      </c>
      <c r="B35" s="8">
        <v>68.0</v>
      </c>
      <c r="C35" s="8">
        <v>1.0</v>
      </c>
      <c r="K35" s="8">
        <v>1.0</v>
      </c>
      <c r="CB35" s="8">
        <v>1.0</v>
      </c>
    </row>
    <row r="36" ht="15.0" customHeight="1">
      <c r="A36" s="8" t="s">
        <v>87</v>
      </c>
      <c r="B36" s="8">
        <v>67.0</v>
      </c>
      <c r="C36" s="8">
        <v>1.0</v>
      </c>
      <c r="AU36" s="8">
        <v>1.0</v>
      </c>
      <c r="CF36" s="8">
        <v>1.0</v>
      </c>
    </row>
    <row r="37" ht="15.0" customHeight="1">
      <c r="A37" s="8" t="s">
        <v>214</v>
      </c>
      <c r="B37" s="8">
        <v>65.0</v>
      </c>
      <c r="C37" s="8">
        <v>1.0</v>
      </c>
    </row>
    <row r="38" ht="15.0" customHeight="1">
      <c r="A38" s="8" t="s">
        <v>78</v>
      </c>
      <c r="B38" s="8">
        <v>64.0</v>
      </c>
      <c r="C38" s="8">
        <v>1.0</v>
      </c>
      <c r="BN38" s="8">
        <v>1.0</v>
      </c>
    </row>
    <row r="39" ht="15.0" customHeight="1">
      <c r="A39" s="8" t="s">
        <v>75</v>
      </c>
      <c r="B39" s="8">
        <v>63.0</v>
      </c>
      <c r="C39" s="8">
        <v>1.0</v>
      </c>
      <c r="BN39" s="8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5" width="10.25"/>
  </cols>
  <sheetData>
    <row r="1" ht="15.0" customHeight="1">
      <c r="A1" s="3" t="s">
        <v>0</v>
      </c>
      <c r="B1" s="3" t="s">
        <v>156</v>
      </c>
      <c r="C1" s="3" t="s">
        <v>169</v>
      </c>
      <c r="D1" s="3" t="s">
        <v>8</v>
      </c>
      <c r="E1" s="3" t="s">
        <v>9</v>
      </c>
      <c r="F1" s="3" t="s">
        <v>15</v>
      </c>
      <c r="G1" s="3" t="s">
        <v>20</v>
      </c>
      <c r="H1" s="3" t="s">
        <v>23</v>
      </c>
      <c r="I1" s="3" t="s">
        <v>30</v>
      </c>
      <c r="J1" s="3" t="s">
        <v>35</v>
      </c>
      <c r="K1" s="3" t="s">
        <v>38</v>
      </c>
      <c r="L1" s="3" t="s">
        <v>40</v>
      </c>
      <c r="M1" s="3" t="s">
        <v>164</v>
      </c>
      <c r="N1" s="3" t="s">
        <v>51</v>
      </c>
      <c r="O1" s="3" t="s">
        <v>61</v>
      </c>
    </row>
    <row r="2" ht="15.0" customHeight="1">
      <c r="A2" s="3" t="s">
        <v>70</v>
      </c>
      <c r="B2" s="5">
        <f>COUNTA(B5:B28)</f>
        <v>24</v>
      </c>
    </row>
    <row r="3" ht="15.0" customHeight="1">
      <c r="A3" s="3" t="s">
        <v>320</v>
      </c>
      <c r="C3" s="5">
        <f t="shared" ref="C3:O3" si="1">SUM(C5:C28)</f>
        <v>24</v>
      </c>
      <c r="D3" s="5">
        <f t="shared" si="1"/>
        <v>1</v>
      </c>
      <c r="E3" s="5">
        <f t="shared" si="1"/>
        <v>1</v>
      </c>
      <c r="F3" s="5">
        <f t="shared" si="1"/>
        <v>1</v>
      </c>
      <c r="G3" s="5">
        <f t="shared" si="1"/>
        <v>1</v>
      </c>
      <c r="H3" s="5">
        <f t="shared" si="1"/>
        <v>1</v>
      </c>
      <c r="I3" s="5">
        <f t="shared" si="1"/>
        <v>3</v>
      </c>
      <c r="J3" s="5">
        <f t="shared" si="1"/>
        <v>1</v>
      </c>
      <c r="K3" s="5">
        <f t="shared" si="1"/>
        <v>1</v>
      </c>
      <c r="L3" s="5">
        <f t="shared" si="1"/>
        <v>2</v>
      </c>
      <c r="M3" s="5">
        <f t="shared" si="1"/>
        <v>1</v>
      </c>
      <c r="N3" s="5">
        <f t="shared" si="1"/>
        <v>1</v>
      </c>
      <c r="O3" s="5">
        <f t="shared" si="1"/>
        <v>1</v>
      </c>
    </row>
    <row r="4" ht="15.0" customHeight="1">
      <c r="A4" s="3" t="s">
        <v>417</v>
      </c>
      <c r="C4" s="5">
        <f t="shared" ref="C4:O4" si="2">C3/24</f>
        <v>1</v>
      </c>
      <c r="D4" s="5">
        <f t="shared" si="2"/>
        <v>0.04166666667</v>
      </c>
      <c r="E4" s="5">
        <f t="shared" si="2"/>
        <v>0.04166666667</v>
      </c>
      <c r="F4" s="5">
        <f t="shared" si="2"/>
        <v>0.04166666667</v>
      </c>
      <c r="G4" s="5">
        <f t="shared" si="2"/>
        <v>0.04166666667</v>
      </c>
      <c r="H4" s="5">
        <f t="shared" si="2"/>
        <v>0.04166666667</v>
      </c>
      <c r="I4" s="5">
        <f t="shared" si="2"/>
        <v>0.125</v>
      </c>
      <c r="J4" s="5">
        <f t="shared" si="2"/>
        <v>0.04166666667</v>
      </c>
      <c r="K4" s="5">
        <f t="shared" si="2"/>
        <v>0.04166666667</v>
      </c>
      <c r="L4" s="5">
        <f t="shared" si="2"/>
        <v>0.08333333333</v>
      </c>
      <c r="M4" s="5">
        <f t="shared" si="2"/>
        <v>0.04166666667</v>
      </c>
      <c r="N4" s="5">
        <f t="shared" si="2"/>
        <v>0.04166666667</v>
      </c>
      <c r="O4" s="5">
        <f t="shared" si="2"/>
        <v>0.04166666667</v>
      </c>
    </row>
    <row r="5" ht="15.0" customHeight="1">
      <c r="A5" s="8" t="s">
        <v>133</v>
      </c>
      <c r="B5" s="8">
        <v>54.0</v>
      </c>
      <c r="C5" s="8">
        <v>1.0</v>
      </c>
    </row>
    <row r="6" ht="15.0" customHeight="1">
      <c r="A6" s="8" t="s">
        <v>132</v>
      </c>
      <c r="B6" s="8">
        <v>51.0</v>
      </c>
      <c r="C6" s="8">
        <v>1.0</v>
      </c>
      <c r="D6" s="8">
        <v>1.0</v>
      </c>
      <c r="G6" s="8">
        <v>1.0</v>
      </c>
      <c r="I6" s="8">
        <v>1.0</v>
      </c>
    </row>
    <row r="7" ht="15.0" customHeight="1">
      <c r="A7" s="8" t="s">
        <v>216</v>
      </c>
      <c r="B7" s="8">
        <v>53.0</v>
      </c>
      <c r="C7" s="8">
        <v>1.0</v>
      </c>
      <c r="I7" s="8">
        <v>1.0</v>
      </c>
      <c r="N7" s="8">
        <v>1.0</v>
      </c>
    </row>
    <row r="8" ht="15.0" customHeight="1">
      <c r="A8" s="8" t="s">
        <v>208</v>
      </c>
      <c r="B8" s="8">
        <v>52.0</v>
      </c>
      <c r="C8" s="8">
        <v>1.0</v>
      </c>
    </row>
    <row r="9" ht="15.0" customHeight="1">
      <c r="A9" s="8" t="s">
        <v>206</v>
      </c>
      <c r="B9" s="8">
        <v>49.0</v>
      </c>
      <c r="C9" s="8">
        <v>1.0</v>
      </c>
    </row>
    <row r="10" ht="15.0" customHeight="1">
      <c r="A10" s="8" t="s">
        <v>116</v>
      </c>
      <c r="B10" s="8">
        <v>48.0</v>
      </c>
      <c r="C10" s="8">
        <v>1.0</v>
      </c>
    </row>
    <row r="11" ht="15.0" customHeight="1">
      <c r="A11" s="8" t="s">
        <v>203</v>
      </c>
      <c r="B11" s="8">
        <v>46.0</v>
      </c>
      <c r="C11" s="8">
        <v>1.0</v>
      </c>
    </row>
    <row r="12" ht="15.0" customHeight="1">
      <c r="A12" s="8" t="s">
        <v>112</v>
      </c>
      <c r="B12" s="8">
        <v>45.0</v>
      </c>
      <c r="C12" s="8">
        <v>1.0</v>
      </c>
      <c r="F12" s="8">
        <v>1.0</v>
      </c>
    </row>
    <row r="13" ht="15.0" customHeight="1">
      <c r="A13" s="8" t="s">
        <v>110</v>
      </c>
      <c r="B13" s="8">
        <v>43.0</v>
      </c>
      <c r="C13" s="8">
        <v>1.0</v>
      </c>
    </row>
    <row r="14" ht="15.0" customHeight="1">
      <c r="A14" s="8" t="s">
        <v>254</v>
      </c>
      <c r="B14" s="8">
        <v>47.0</v>
      </c>
      <c r="C14" s="8">
        <v>1.0</v>
      </c>
    </row>
    <row r="15" ht="15.0" customHeight="1">
      <c r="A15" s="8" t="s">
        <v>217</v>
      </c>
      <c r="B15" s="8">
        <v>44.0</v>
      </c>
      <c r="C15" s="8">
        <v>1.0</v>
      </c>
    </row>
    <row r="16" ht="15.0" customHeight="1">
      <c r="A16" s="8" t="s">
        <v>201</v>
      </c>
      <c r="B16" s="8">
        <v>42.0</v>
      </c>
      <c r="C16" s="8">
        <v>1.0</v>
      </c>
    </row>
    <row r="17" ht="15.0" customHeight="1">
      <c r="A17" s="8" t="s">
        <v>103</v>
      </c>
      <c r="B17" s="8">
        <v>40.0</v>
      </c>
      <c r="C17" s="8">
        <v>1.0</v>
      </c>
    </row>
    <row r="18" ht="15.0" customHeight="1">
      <c r="A18" s="8" t="s">
        <v>180</v>
      </c>
      <c r="B18" s="8">
        <v>41.0</v>
      </c>
      <c r="C18" s="8">
        <v>1.0</v>
      </c>
    </row>
    <row r="19" ht="15.0" customHeight="1">
      <c r="A19" s="8" t="s">
        <v>102</v>
      </c>
      <c r="B19" s="8">
        <v>50.0</v>
      </c>
      <c r="C19" s="8">
        <v>1.0</v>
      </c>
    </row>
    <row r="20" ht="15.0" customHeight="1">
      <c r="A20" s="8" t="s">
        <v>213</v>
      </c>
      <c r="B20" s="8">
        <v>37.0</v>
      </c>
      <c r="C20" s="8">
        <v>1.0</v>
      </c>
      <c r="L20" s="8">
        <v>1.0</v>
      </c>
    </row>
    <row r="21" ht="15.0" customHeight="1">
      <c r="A21" s="8" t="s">
        <v>97</v>
      </c>
      <c r="B21" s="8">
        <v>39.0</v>
      </c>
      <c r="C21" s="8">
        <v>1.0</v>
      </c>
    </row>
    <row r="22" ht="15.0" customHeight="1">
      <c r="A22" s="8" t="s">
        <v>212</v>
      </c>
      <c r="B22" s="8">
        <v>35.0</v>
      </c>
      <c r="C22" s="8">
        <v>1.0</v>
      </c>
      <c r="L22" s="8">
        <v>1.0</v>
      </c>
      <c r="M22" s="8">
        <v>1.0</v>
      </c>
    </row>
    <row r="23" ht="15.0" customHeight="1">
      <c r="A23" s="8" t="s">
        <v>212</v>
      </c>
      <c r="B23" s="8">
        <v>36.0</v>
      </c>
      <c r="C23" s="8">
        <v>1.0</v>
      </c>
      <c r="O23" s="8">
        <v>1.0</v>
      </c>
    </row>
    <row r="24" ht="15.0" customHeight="1">
      <c r="A24" s="8" t="s">
        <v>88</v>
      </c>
      <c r="B24" s="8">
        <v>34.0</v>
      </c>
      <c r="C24" s="8">
        <v>1.0</v>
      </c>
      <c r="E24" s="8">
        <v>1.0</v>
      </c>
      <c r="H24" s="8">
        <v>1.0</v>
      </c>
      <c r="I24" s="8">
        <v>1.0</v>
      </c>
      <c r="J24" s="8">
        <v>1.0</v>
      </c>
      <c r="K24" s="8">
        <v>1.0</v>
      </c>
    </row>
    <row r="25" ht="15.0" customHeight="1">
      <c r="A25" s="8" t="s">
        <v>86</v>
      </c>
      <c r="B25" s="8">
        <v>33.0</v>
      </c>
      <c r="C25" s="8">
        <v>1.0</v>
      </c>
    </row>
    <row r="26" ht="15.0" customHeight="1">
      <c r="A26" s="8" t="s">
        <v>176</v>
      </c>
      <c r="B26" s="8">
        <v>32.0</v>
      </c>
      <c r="C26" s="8">
        <v>1.0</v>
      </c>
    </row>
    <row r="27" ht="15.0" customHeight="1">
      <c r="A27" s="8" t="s">
        <v>79</v>
      </c>
      <c r="B27" s="8">
        <v>31.0</v>
      </c>
      <c r="C27" s="8">
        <v>1.0</v>
      </c>
    </row>
    <row r="28" ht="15.0" customHeight="1">
      <c r="A28" s="8" t="s">
        <v>175</v>
      </c>
      <c r="B28" s="8">
        <v>38.0</v>
      </c>
      <c r="C28" s="8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7.63"/>
    <col customWidth="1" min="3" max="20" width="10.25"/>
  </cols>
  <sheetData>
    <row r="1" ht="15.0" customHeight="1">
      <c r="A1" s="3" t="s">
        <v>0</v>
      </c>
      <c r="B1" s="3" t="s">
        <v>156</v>
      </c>
      <c r="C1" s="3" t="s">
        <v>54</v>
      </c>
      <c r="D1" s="3" t="s">
        <v>7</v>
      </c>
      <c r="E1" s="3" t="s">
        <v>14</v>
      </c>
      <c r="F1" s="3" t="s">
        <v>15</v>
      </c>
      <c r="G1" s="3" t="s">
        <v>17</v>
      </c>
      <c r="H1" s="3" t="s">
        <v>159</v>
      </c>
      <c r="I1" s="3" t="s">
        <v>22</v>
      </c>
      <c r="J1" s="3" t="s">
        <v>23</v>
      </c>
      <c r="K1" s="3" t="s">
        <v>26</v>
      </c>
      <c r="L1" s="3" t="s">
        <v>28</v>
      </c>
      <c r="M1" s="3" t="s">
        <v>37</v>
      </c>
      <c r="N1" s="3" t="s">
        <v>170</v>
      </c>
      <c r="O1" s="3" t="s">
        <v>48</v>
      </c>
      <c r="P1" s="3" t="s">
        <v>51</v>
      </c>
      <c r="Q1" s="3" t="s">
        <v>173</v>
      </c>
      <c r="R1" s="3" t="s">
        <v>56</v>
      </c>
      <c r="S1" s="3" t="s">
        <v>418</v>
      </c>
      <c r="T1" s="3" t="s">
        <v>67</v>
      </c>
    </row>
    <row r="2" ht="15.0" customHeight="1">
      <c r="A2" s="3" t="s">
        <v>70</v>
      </c>
      <c r="B2" s="5">
        <f>COUNTA(B5:B44)</f>
        <v>40</v>
      </c>
    </row>
    <row r="3" ht="15.0" customHeight="1">
      <c r="A3" s="3" t="s">
        <v>320</v>
      </c>
      <c r="C3" s="5">
        <f t="shared" ref="C3:T3" si="1">SUM(C5:C44)</f>
        <v>40</v>
      </c>
      <c r="D3" s="5">
        <f t="shared" si="1"/>
        <v>1</v>
      </c>
      <c r="E3" s="5">
        <f t="shared" si="1"/>
        <v>1</v>
      </c>
      <c r="F3" s="5">
        <f t="shared" si="1"/>
        <v>1</v>
      </c>
      <c r="G3" s="5">
        <f t="shared" si="1"/>
        <v>1</v>
      </c>
      <c r="H3" s="5">
        <f t="shared" si="1"/>
        <v>1</v>
      </c>
      <c r="I3" s="5">
        <f t="shared" si="1"/>
        <v>2</v>
      </c>
      <c r="J3" s="5">
        <f t="shared" si="1"/>
        <v>1</v>
      </c>
      <c r="K3" s="5">
        <f t="shared" si="1"/>
        <v>2</v>
      </c>
      <c r="L3" s="5">
        <f t="shared" si="1"/>
        <v>1</v>
      </c>
      <c r="M3" s="5">
        <f t="shared" si="1"/>
        <v>1</v>
      </c>
      <c r="N3" s="5">
        <f t="shared" si="1"/>
        <v>2</v>
      </c>
      <c r="O3" s="5">
        <f t="shared" si="1"/>
        <v>3</v>
      </c>
      <c r="P3" s="5">
        <f t="shared" si="1"/>
        <v>6</v>
      </c>
      <c r="Q3" s="5">
        <f t="shared" si="1"/>
        <v>6</v>
      </c>
      <c r="R3" s="5">
        <f t="shared" si="1"/>
        <v>2</v>
      </c>
      <c r="S3" s="5">
        <f t="shared" si="1"/>
        <v>11</v>
      </c>
      <c r="T3" s="5">
        <f t="shared" si="1"/>
        <v>4</v>
      </c>
    </row>
    <row r="4" ht="15.0" customHeight="1">
      <c r="A4" s="3" t="s">
        <v>417</v>
      </c>
      <c r="C4" s="5">
        <f t="shared" ref="C4:T4" si="2">C3/40</f>
        <v>1</v>
      </c>
      <c r="D4" s="5">
        <f t="shared" si="2"/>
        <v>0.025</v>
      </c>
      <c r="E4" s="5">
        <f t="shared" si="2"/>
        <v>0.025</v>
      </c>
      <c r="F4" s="5">
        <f t="shared" si="2"/>
        <v>0.025</v>
      </c>
      <c r="G4" s="5">
        <f t="shared" si="2"/>
        <v>0.025</v>
      </c>
      <c r="H4" s="5">
        <f t="shared" si="2"/>
        <v>0.025</v>
      </c>
      <c r="I4" s="5">
        <f t="shared" si="2"/>
        <v>0.05</v>
      </c>
      <c r="J4" s="5">
        <f t="shared" si="2"/>
        <v>0.025</v>
      </c>
      <c r="K4" s="5">
        <f t="shared" si="2"/>
        <v>0.05</v>
      </c>
      <c r="L4" s="5">
        <f t="shared" si="2"/>
        <v>0.025</v>
      </c>
      <c r="M4" s="5">
        <f t="shared" si="2"/>
        <v>0.025</v>
      </c>
      <c r="N4" s="5">
        <f t="shared" si="2"/>
        <v>0.05</v>
      </c>
      <c r="O4" s="5">
        <f t="shared" si="2"/>
        <v>0.075</v>
      </c>
      <c r="P4" s="5">
        <f t="shared" si="2"/>
        <v>0.15</v>
      </c>
      <c r="Q4" s="5">
        <f t="shared" si="2"/>
        <v>0.15</v>
      </c>
      <c r="R4" s="5">
        <f t="shared" si="2"/>
        <v>0.05</v>
      </c>
      <c r="S4" s="5">
        <f t="shared" si="2"/>
        <v>0.275</v>
      </c>
      <c r="T4" s="5">
        <f t="shared" si="2"/>
        <v>0.1</v>
      </c>
    </row>
    <row r="5" ht="15.0" customHeight="1">
      <c r="A5" s="8" t="s">
        <v>134</v>
      </c>
      <c r="B5" s="8">
        <v>111.0</v>
      </c>
      <c r="C5" s="8">
        <v>1.0</v>
      </c>
      <c r="S5" s="8">
        <v>1.0</v>
      </c>
    </row>
    <row r="6" ht="15.0" customHeight="1">
      <c r="A6" s="8" t="s">
        <v>205</v>
      </c>
      <c r="B6" s="8">
        <v>110.0</v>
      </c>
      <c r="C6" s="8">
        <v>1.0</v>
      </c>
    </row>
    <row r="7" ht="15.0" customHeight="1">
      <c r="A7" s="8" t="s">
        <v>133</v>
      </c>
      <c r="B7" s="8">
        <v>109.0</v>
      </c>
      <c r="C7" s="8">
        <v>1.0</v>
      </c>
      <c r="Q7" s="8">
        <v>1.0</v>
      </c>
    </row>
    <row r="8" ht="15.0" customHeight="1">
      <c r="A8" s="8" t="s">
        <v>194</v>
      </c>
      <c r="B8" s="8">
        <v>108.0</v>
      </c>
      <c r="C8" s="8">
        <v>1.0</v>
      </c>
      <c r="L8" s="8">
        <v>1.0</v>
      </c>
    </row>
    <row r="9" ht="15.0" customHeight="1">
      <c r="A9" s="8" t="s">
        <v>256</v>
      </c>
      <c r="B9" s="8">
        <v>107.0</v>
      </c>
      <c r="C9" s="8">
        <v>1.0</v>
      </c>
    </row>
    <row r="10" ht="15.0" customHeight="1">
      <c r="A10" s="8" t="s">
        <v>208</v>
      </c>
      <c r="B10" s="8">
        <v>104.0</v>
      </c>
      <c r="C10" s="8">
        <v>1.0</v>
      </c>
    </row>
    <row r="11" ht="15.0" customHeight="1">
      <c r="A11" s="8" t="s">
        <v>129</v>
      </c>
      <c r="B11" s="8">
        <v>102.0</v>
      </c>
      <c r="C11" s="8">
        <v>1.0</v>
      </c>
      <c r="Q11" s="8">
        <v>1.0</v>
      </c>
    </row>
    <row r="12" ht="15.0" customHeight="1">
      <c r="A12" s="8" t="s">
        <v>200</v>
      </c>
      <c r="B12" s="8">
        <v>103.0</v>
      </c>
      <c r="C12" s="8">
        <v>1.0</v>
      </c>
    </row>
    <row r="13" ht="15.0" customHeight="1">
      <c r="A13" s="8" t="s">
        <v>128</v>
      </c>
      <c r="B13" s="8">
        <v>101.0</v>
      </c>
      <c r="C13" s="8">
        <v>1.0</v>
      </c>
      <c r="O13" s="8">
        <v>1.0</v>
      </c>
      <c r="S13" s="8">
        <v>1.0</v>
      </c>
    </row>
    <row r="14" ht="15.0" customHeight="1">
      <c r="A14" s="8" t="s">
        <v>390</v>
      </c>
      <c r="B14" s="8">
        <v>100.0</v>
      </c>
      <c r="C14" s="8">
        <v>1.0</v>
      </c>
      <c r="D14" s="8">
        <v>1.0</v>
      </c>
      <c r="M14" s="8">
        <v>1.0</v>
      </c>
      <c r="S14" s="8">
        <v>1.0</v>
      </c>
    </row>
    <row r="15" ht="15.0" customHeight="1">
      <c r="A15" s="8" t="s">
        <v>419</v>
      </c>
      <c r="B15" s="8">
        <v>99.0</v>
      </c>
      <c r="C15" s="8">
        <v>1.0</v>
      </c>
      <c r="E15" s="8">
        <v>1.0</v>
      </c>
    </row>
    <row r="16" ht="15.0" customHeight="1">
      <c r="A16" s="8" t="s">
        <v>420</v>
      </c>
      <c r="B16" s="8">
        <v>98.0</v>
      </c>
      <c r="C16" s="8">
        <v>1.0</v>
      </c>
    </row>
    <row r="17" ht="15.0" customHeight="1">
      <c r="A17" s="8" t="s">
        <v>197</v>
      </c>
      <c r="B17" s="8">
        <v>96.0</v>
      </c>
      <c r="C17" s="8">
        <v>1.0</v>
      </c>
      <c r="F17" s="8">
        <v>1.0</v>
      </c>
      <c r="S17" s="8">
        <v>1.0</v>
      </c>
    </row>
    <row r="18" ht="15.0" customHeight="1">
      <c r="A18" s="8" t="s">
        <v>117</v>
      </c>
      <c r="B18" s="8">
        <v>95.0</v>
      </c>
      <c r="C18" s="8">
        <v>1.0</v>
      </c>
      <c r="K18" s="8">
        <v>1.0</v>
      </c>
      <c r="P18" s="8">
        <v>1.0</v>
      </c>
      <c r="Q18" s="8">
        <v>1.0</v>
      </c>
    </row>
    <row r="19" ht="15.0" customHeight="1">
      <c r="A19" s="8" t="s">
        <v>115</v>
      </c>
      <c r="B19" s="8">
        <v>94.0</v>
      </c>
      <c r="C19" s="8">
        <v>1.0</v>
      </c>
      <c r="P19" s="8">
        <v>1.0</v>
      </c>
      <c r="S19" s="8">
        <v>1.0</v>
      </c>
    </row>
    <row r="20" ht="15.0" customHeight="1">
      <c r="A20" s="8" t="s">
        <v>211</v>
      </c>
      <c r="B20" s="8">
        <v>93.0</v>
      </c>
      <c r="C20" s="8">
        <v>1.0</v>
      </c>
    </row>
    <row r="21" ht="15.0" customHeight="1">
      <c r="A21" s="8" t="s">
        <v>114</v>
      </c>
      <c r="B21" s="8">
        <v>91.0</v>
      </c>
      <c r="C21" s="8">
        <v>1.0</v>
      </c>
      <c r="P21" s="8">
        <v>1.0</v>
      </c>
      <c r="S21" s="8">
        <v>1.0</v>
      </c>
    </row>
    <row r="22" ht="15.0" customHeight="1">
      <c r="A22" s="8" t="s">
        <v>111</v>
      </c>
      <c r="B22" s="8">
        <v>89.0</v>
      </c>
      <c r="C22" s="8">
        <v>1.0</v>
      </c>
      <c r="I22" s="8">
        <v>1.0</v>
      </c>
      <c r="P22" s="8">
        <v>1.0</v>
      </c>
      <c r="Q22" s="8">
        <v>1.0</v>
      </c>
      <c r="S22" s="8">
        <v>1.0</v>
      </c>
      <c r="T22" s="8">
        <v>1.0</v>
      </c>
    </row>
    <row r="23" ht="15.0" customHeight="1">
      <c r="A23" s="8" t="s">
        <v>108</v>
      </c>
      <c r="B23" s="8">
        <v>88.0</v>
      </c>
      <c r="C23" s="8">
        <v>1.0</v>
      </c>
    </row>
    <row r="24" ht="15.0" customHeight="1">
      <c r="A24" s="8" t="s">
        <v>106</v>
      </c>
      <c r="B24" s="8">
        <v>87.0</v>
      </c>
      <c r="C24" s="8">
        <v>1.0</v>
      </c>
      <c r="R24" s="8">
        <v>1.0</v>
      </c>
    </row>
    <row r="25" ht="15.0" customHeight="1">
      <c r="A25" s="8" t="s">
        <v>105</v>
      </c>
      <c r="B25" s="8">
        <v>85.0</v>
      </c>
      <c r="C25" s="8">
        <v>1.0</v>
      </c>
    </row>
    <row r="26" ht="15.0" customHeight="1">
      <c r="A26" s="8" t="s">
        <v>104</v>
      </c>
      <c r="B26" s="8">
        <v>84.0</v>
      </c>
      <c r="C26" s="8">
        <v>1.0</v>
      </c>
      <c r="S26" s="8">
        <v>1.0</v>
      </c>
    </row>
    <row r="27" ht="15.0" customHeight="1">
      <c r="A27" s="8" t="s">
        <v>146</v>
      </c>
      <c r="B27" s="8">
        <v>83.0</v>
      </c>
      <c r="C27" s="8">
        <v>1.0</v>
      </c>
      <c r="Q27" s="8">
        <v>1.0</v>
      </c>
    </row>
    <row r="28" ht="15.0" customHeight="1">
      <c r="A28" s="8" t="s">
        <v>101</v>
      </c>
      <c r="B28" s="8">
        <v>82.0</v>
      </c>
      <c r="C28" s="8">
        <v>1.0</v>
      </c>
      <c r="I28" s="8">
        <v>1.0</v>
      </c>
      <c r="T28" s="8">
        <v>1.0</v>
      </c>
    </row>
    <row r="29" ht="15.0" customHeight="1">
      <c r="A29" s="8" t="s">
        <v>99</v>
      </c>
      <c r="B29" s="8">
        <v>81.0</v>
      </c>
      <c r="C29" s="8">
        <v>1.0</v>
      </c>
      <c r="P29" s="8">
        <v>1.0</v>
      </c>
    </row>
    <row r="30" ht="15.0" customHeight="1">
      <c r="A30" s="8" t="s">
        <v>99</v>
      </c>
      <c r="B30" s="8">
        <v>80.0</v>
      </c>
      <c r="C30" s="8">
        <v>1.0</v>
      </c>
      <c r="P30" s="8">
        <v>1.0</v>
      </c>
    </row>
    <row r="31" ht="15.0" customHeight="1">
      <c r="A31" s="8" t="s">
        <v>97</v>
      </c>
      <c r="B31" s="8">
        <v>79.0</v>
      </c>
      <c r="C31" s="8">
        <v>1.0</v>
      </c>
    </row>
    <row r="32" ht="15.0" customHeight="1">
      <c r="A32" s="8" t="s">
        <v>95</v>
      </c>
      <c r="B32" s="8">
        <v>78.0</v>
      </c>
      <c r="C32" s="8">
        <v>1.0</v>
      </c>
    </row>
    <row r="33" ht="15.0" customHeight="1">
      <c r="A33" s="8" t="s">
        <v>222</v>
      </c>
      <c r="B33" s="8">
        <v>77.0</v>
      </c>
      <c r="C33" s="8">
        <v>1.0</v>
      </c>
      <c r="S33" s="8">
        <v>1.0</v>
      </c>
    </row>
    <row r="34" ht="15.0" customHeight="1">
      <c r="A34" s="8" t="s">
        <v>90</v>
      </c>
      <c r="B34" s="8">
        <v>75.0</v>
      </c>
      <c r="C34" s="8">
        <v>1.0</v>
      </c>
      <c r="G34" s="8">
        <v>1.0</v>
      </c>
      <c r="S34" s="8">
        <v>1.0</v>
      </c>
    </row>
    <row r="35" ht="15.0" customHeight="1">
      <c r="A35" s="8" t="s">
        <v>89</v>
      </c>
      <c r="B35" s="8">
        <v>74.0</v>
      </c>
      <c r="C35" s="8">
        <v>1.0</v>
      </c>
      <c r="Q35" s="8">
        <v>1.0</v>
      </c>
    </row>
    <row r="36" ht="15.0" customHeight="1">
      <c r="A36" s="8" t="s">
        <v>86</v>
      </c>
      <c r="B36" s="8">
        <v>73.0</v>
      </c>
      <c r="C36" s="8">
        <v>1.0</v>
      </c>
    </row>
    <row r="37" ht="15.0" customHeight="1">
      <c r="A37" s="8" t="s">
        <v>421</v>
      </c>
      <c r="B37" s="8">
        <v>72.0</v>
      </c>
      <c r="C37" s="8">
        <v>1.0</v>
      </c>
      <c r="O37" s="8">
        <v>1.0</v>
      </c>
      <c r="S37" s="8">
        <v>1.0</v>
      </c>
      <c r="T37" s="8">
        <v>1.0</v>
      </c>
    </row>
    <row r="38" ht="15.0" customHeight="1">
      <c r="A38" s="8" t="s">
        <v>176</v>
      </c>
      <c r="B38" s="8">
        <v>71.0</v>
      </c>
      <c r="C38" s="8">
        <v>1.0</v>
      </c>
      <c r="N38" s="8">
        <v>1.0</v>
      </c>
      <c r="T38" s="8">
        <v>1.0</v>
      </c>
    </row>
    <row r="39" ht="15.0" customHeight="1">
      <c r="A39" s="8" t="s">
        <v>83</v>
      </c>
      <c r="B39" s="8">
        <v>70.0</v>
      </c>
      <c r="C39" s="8">
        <v>1.0</v>
      </c>
      <c r="J39" s="8">
        <v>1.0</v>
      </c>
      <c r="K39" s="8">
        <v>1.0</v>
      </c>
      <c r="N39" s="8">
        <v>1.0</v>
      </c>
    </row>
    <row r="40" ht="15.0" customHeight="1">
      <c r="A40" s="8" t="s">
        <v>82</v>
      </c>
      <c r="B40" s="8">
        <v>69.0</v>
      </c>
      <c r="C40" s="8">
        <v>1.0</v>
      </c>
      <c r="R40" s="8">
        <v>1.0</v>
      </c>
    </row>
    <row r="41" ht="15.0" customHeight="1">
      <c r="A41" s="8" t="s">
        <v>210</v>
      </c>
      <c r="B41" s="8">
        <v>68.0</v>
      </c>
      <c r="C41" s="8">
        <v>1.0</v>
      </c>
      <c r="H41" s="8">
        <v>1.0</v>
      </c>
    </row>
    <row r="42" ht="15.0" customHeight="1">
      <c r="A42" s="8" t="s">
        <v>80</v>
      </c>
      <c r="B42" s="8">
        <v>67.0</v>
      </c>
      <c r="C42" s="8">
        <v>1.0</v>
      </c>
      <c r="O42" s="8">
        <v>1.0</v>
      </c>
    </row>
    <row r="43" ht="15.0" customHeight="1">
      <c r="A43" s="8" t="s">
        <v>78</v>
      </c>
      <c r="B43" s="8">
        <v>66.0</v>
      </c>
      <c r="C43" s="8">
        <v>1.0</v>
      </c>
    </row>
    <row r="44" ht="15.0" customHeight="1">
      <c r="A44" s="8" t="s">
        <v>175</v>
      </c>
      <c r="B44" s="8">
        <v>65.0</v>
      </c>
      <c r="C44" s="8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7.63"/>
    <col customWidth="1" min="3" max="87" width="10.25"/>
  </cols>
  <sheetData>
    <row r="1" ht="15.0" customHeight="1">
      <c r="A1" s="3" t="s">
        <v>0</v>
      </c>
      <c r="B1" s="3" t="s">
        <v>156</v>
      </c>
      <c r="C1" s="3" t="s">
        <v>11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12</v>
      </c>
      <c r="K1" s="3" t="s">
        <v>14</v>
      </c>
      <c r="L1" s="3" t="s">
        <v>13</v>
      </c>
      <c r="M1" s="3" t="s">
        <v>244</v>
      </c>
      <c r="N1" s="3" t="s">
        <v>15</v>
      </c>
      <c r="O1" s="3" t="s">
        <v>16</v>
      </c>
      <c r="P1" s="3" t="s">
        <v>17</v>
      </c>
      <c r="Q1" s="3" t="s">
        <v>159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364</v>
      </c>
      <c r="W1" s="3" t="s">
        <v>22</v>
      </c>
      <c r="X1" s="3" t="s">
        <v>23</v>
      </c>
      <c r="Y1" s="3" t="s">
        <v>24</v>
      </c>
      <c r="Z1" s="3" t="s">
        <v>403</v>
      </c>
      <c r="AA1" s="3" t="s">
        <v>246</v>
      </c>
      <c r="AB1" s="3" t="s">
        <v>25</v>
      </c>
      <c r="AC1" s="3" t="s">
        <v>26</v>
      </c>
      <c r="AD1" s="3" t="s">
        <v>161</v>
      </c>
      <c r="AE1" s="3" t="s">
        <v>27</v>
      </c>
      <c r="AF1" s="3" t="s">
        <v>28</v>
      </c>
      <c r="AG1" s="3" t="s">
        <v>387</v>
      </c>
      <c r="AH1" s="3" t="s">
        <v>29</v>
      </c>
      <c r="AI1" s="3" t="s">
        <v>30</v>
      </c>
      <c r="AJ1" s="3" t="s">
        <v>365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162</v>
      </c>
      <c r="AQ1" s="3" t="s">
        <v>163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164</v>
      </c>
      <c r="AW1" s="3" t="s">
        <v>42</v>
      </c>
      <c r="AX1" s="3" t="s">
        <v>165</v>
      </c>
      <c r="AY1" s="3" t="s">
        <v>43</v>
      </c>
      <c r="AZ1" s="3" t="s">
        <v>167</v>
      </c>
      <c r="BA1" s="3" t="s">
        <v>45</v>
      </c>
      <c r="BB1" s="3" t="s">
        <v>404</v>
      </c>
      <c r="BC1" s="3" t="s">
        <v>169</v>
      </c>
      <c r="BD1" s="3" t="s">
        <v>411</v>
      </c>
      <c r="BE1" s="3" t="s">
        <v>170</v>
      </c>
      <c r="BF1" s="3" t="s">
        <v>2</v>
      </c>
      <c r="BG1" s="3" t="s">
        <v>405</v>
      </c>
      <c r="BH1" s="3" t="s">
        <v>171</v>
      </c>
      <c r="BI1" s="3" t="s">
        <v>317</v>
      </c>
      <c r="BJ1" s="3" t="s">
        <v>48</v>
      </c>
      <c r="BK1" s="3" t="s">
        <v>50</v>
      </c>
      <c r="BL1" s="3" t="s">
        <v>51</v>
      </c>
      <c r="BM1" s="3" t="s">
        <v>52</v>
      </c>
      <c r="BN1" s="3" t="s">
        <v>53</v>
      </c>
      <c r="BO1" s="3" t="s">
        <v>54</v>
      </c>
      <c r="BP1" s="3" t="s">
        <v>412</v>
      </c>
      <c r="BQ1" s="3" t="s">
        <v>172</v>
      </c>
      <c r="BR1" s="3" t="s">
        <v>318</v>
      </c>
      <c r="BS1" s="3" t="s">
        <v>173</v>
      </c>
      <c r="BT1" s="3" t="s">
        <v>249</v>
      </c>
      <c r="BU1" s="3" t="s">
        <v>56</v>
      </c>
      <c r="BV1" s="3" t="s">
        <v>57</v>
      </c>
      <c r="BW1" s="3" t="s">
        <v>58</v>
      </c>
      <c r="BX1" s="3" t="s">
        <v>59</v>
      </c>
      <c r="BY1" s="3" t="s">
        <v>319</v>
      </c>
      <c r="BZ1" s="3" t="s">
        <v>60</v>
      </c>
      <c r="CA1" s="3" t="s">
        <v>61</v>
      </c>
      <c r="CB1" s="3" t="s">
        <v>62</v>
      </c>
      <c r="CC1" s="3" t="s">
        <v>63</v>
      </c>
      <c r="CD1" s="3" t="s">
        <v>64</v>
      </c>
      <c r="CE1" s="3" t="s">
        <v>65</v>
      </c>
      <c r="CF1" s="3" t="s">
        <v>250</v>
      </c>
      <c r="CG1" s="3" t="s">
        <v>67</v>
      </c>
      <c r="CH1" s="3" t="s">
        <v>68</v>
      </c>
      <c r="CI1" s="3" t="s">
        <v>69</v>
      </c>
    </row>
    <row r="2" ht="15.0" customHeight="1">
      <c r="A2" s="3" t="s">
        <v>70</v>
      </c>
      <c r="B2" s="5">
        <f>COUNTA(B5:B60)</f>
        <v>56</v>
      </c>
    </row>
    <row r="3" ht="15.0" customHeight="1">
      <c r="A3" s="3" t="s">
        <v>320</v>
      </c>
      <c r="C3" s="5">
        <f t="shared" ref="C3:CI3" si="1">SUM(C5:C60)</f>
        <v>47</v>
      </c>
      <c r="D3" s="5">
        <f t="shared" si="1"/>
        <v>1</v>
      </c>
      <c r="E3" s="5">
        <f t="shared" si="1"/>
        <v>1</v>
      </c>
      <c r="F3" s="5">
        <f t="shared" si="1"/>
        <v>2</v>
      </c>
      <c r="G3" s="5">
        <f t="shared" si="1"/>
        <v>0</v>
      </c>
      <c r="H3" s="5">
        <f t="shared" si="1"/>
        <v>4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2</v>
      </c>
      <c r="P3" s="5">
        <f t="shared" si="1"/>
        <v>0</v>
      </c>
      <c r="Q3" s="5">
        <f t="shared" si="1"/>
        <v>1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2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2</v>
      </c>
      <c r="AD3" s="5">
        <f t="shared" si="1"/>
        <v>0</v>
      </c>
      <c r="AE3" s="5">
        <f t="shared" si="1"/>
        <v>0</v>
      </c>
      <c r="AF3" s="5">
        <f t="shared" si="1"/>
        <v>1</v>
      </c>
      <c r="AG3" s="5">
        <f t="shared" si="1"/>
        <v>6</v>
      </c>
      <c r="AH3" s="5">
        <f t="shared" si="1"/>
        <v>10</v>
      </c>
      <c r="AI3" s="5">
        <f t="shared" si="1"/>
        <v>0</v>
      </c>
      <c r="AJ3" s="5">
        <f t="shared" si="1"/>
        <v>1</v>
      </c>
      <c r="AK3" s="5">
        <f t="shared" si="1"/>
        <v>0</v>
      </c>
      <c r="AL3" s="5">
        <f t="shared" si="1"/>
        <v>0</v>
      </c>
      <c r="AM3" s="5">
        <f t="shared" si="1"/>
        <v>0</v>
      </c>
      <c r="AN3" s="5">
        <f t="shared" si="1"/>
        <v>0</v>
      </c>
      <c r="AO3" s="5">
        <f t="shared" si="1"/>
        <v>9</v>
      </c>
      <c r="AP3" s="5">
        <f t="shared" si="1"/>
        <v>5</v>
      </c>
      <c r="AQ3" s="5">
        <f t="shared" si="1"/>
        <v>0</v>
      </c>
      <c r="AR3" s="5">
        <f t="shared" si="1"/>
        <v>3</v>
      </c>
      <c r="AS3" s="5">
        <f t="shared" si="1"/>
        <v>2</v>
      </c>
      <c r="AT3" s="5">
        <f t="shared" si="1"/>
        <v>0</v>
      </c>
      <c r="AU3" s="5">
        <f t="shared" si="1"/>
        <v>0</v>
      </c>
      <c r="AV3" s="5">
        <f t="shared" si="1"/>
        <v>0</v>
      </c>
      <c r="AW3" s="5">
        <f t="shared" si="1"/>
        <v>1</v>
      </c>
      <c r="AX3" s="5">
        <f t="shared" si="1"/>
        <v>0</v>
      </c>
      <c r="AY3" s="5">
        <f t="shared" si="1"/>
        <v>0</v>
      </c>
      <c r="AZ3" s="5">
        <f t="shared" si="1"/>
        <v>0</v>
      </c>
      <c r="BA3" s="5">
        <f t="shared" si="1"/>
        <v>0</v>
      </c>
      <c r="BB3" s="5">
        <f t="shared" si="1"/>
        <v>0</v>
      </c>
      <c r="BC3" s="5">
        <f t="shared" si="1"/>
        <v>0</v>
      </c>
      <c r="BD3" s="5">
        <f t="shared" si="1"/>
        <v>0</v>
      </c>
      <c r="BE3" s="5">
        <f t="shared" si="1"/>
        <v>16</v>
      </c>
      <c r="BF3" s="5">
        <f t="shared" si="1"/>
        <v>0</v>
      </c>
      <c r="BG3" s="5">
        <f t="shared" si="1"/>
        <v>0</v>
      </c>
      <c r="BH3" s="5">
        <f t="shared" si="1"/>
        <v>0</v>
      </c>
      <c r="BI3" s="5">
        <f t="shared" si="1"/>
        <v>0</v>
      </c>
      <c r="BJ3" s="5">
        <f t="shared" si="1"/>
        <v>6</v>
      </c>
      <c r="BK3" s="5">
        <f t="shared" si="1"/>
        <v>0</v>
      </c>
      <c r="BL3" s="5">
        <f t="shared" si="1"/>
        <v>2</v>
      </c>
      <c r="BM3" s="5">
        <f t="shared" si="1"/>
        <v>1</v>
      </c>
      <c r="BN3" s="5">
        <f t="shared" si="1"/>
        <v>0</v>
      </c>
      <c r="BO3" s="5">
        <f t="shared" si="1"/>
        <v>11</v>
      </c>
      <c r="BP3" s="5">
        <f t="shared" si="1"/>
        <v>0</v>
      </c>
      <c r="BQ3" s="5">
        <f t="shared" si="1"/>
        <v>0</v>
      </c>
      <c r="BR3" s="5">
        <f t="shared" si="1"/>
        <v>1</v>
      </c>
      <c r="BS3" s="5">
        <f t="shared" si="1"/>
        <v>0</v>
      </c>
      <c r="BT3" s="5">
        <f t="shared" si="1"/>
        <v>0</v>
      </c>
      <c r="BU3" s="5">
        <f t="shared" si="1"/>
        <v>0</v>
      </c>
      <c r="BV3" s="5">
        <f t="shared" si="1"/>
        <v>0</v>
      </c>
      <c r="BW3" s="5">
        <f t="shared" si="1"/>
        <v>0</v>
      </c>
      <c r="BX3" s="5">
        <f t="shared" si="1"/>
        <v>0</v>
      </c>
      <c r="BY3" s="5">
        <f t="shared" si="1"/>
        <v>0</v>
      </c>
      <c r="BZ3" s="5">
        <f t="shared" si="1"/>
        <v>0</v>
      </c>
      <c r="CA3" s="5">
        <f t="shared" si="1"/>
        <v>0</v>
      </c>
      <c r="CB3" s="5">
        <f t="shared" si="1"/>
        <v>0</v>
      </c>
      <c r="CC3" s="5">
        <f t="shared" si="1"/>
        <v>3</v>
      </c>
      <c r="CD3" s="5">
        <f t="shared" si="1"/>
        <v>2</v>
      </c>
      <c r="CE3" s="5">
        <f t="shared" si="1"/>
        <v>0</v>
      </c>
      <c r="CF3" s="5">
        <f t="shared" si="1"/>
        <v>0</v>
      </c>
      <c r="CG3" s="5">
        <f t="shared" si="1"/>
        <v>0</v>
      </c>
      <c r="CH3" s="5">
        <f t="shared" si="1"/>
        <v>0</v>
      </c>
      <c r="CI3" s="5">
        <f t="shared" si="1"/>
        <v>3</v>
      </c>
    </row>
    <row r="4" ht="15.0" customHeight="1">
      <c r="A4" s="3" t="s">
        <v>417</v>
      </c>
      <c r="C4" s="5">
        <f t="shared" ref="C4:CI4" si="2">C3/56</f>
        <v>0.8392857143</v>
      </c>
      <c r="D4" s="5">
        <f t="shared" si="2"/>
        <v>0.01785714286</v>
      </c>
      <c r="E4" s="5">
        <f t="shared" si="2"/>
        <v>0.01785714286</v>
      </c>
      <c r="F4" s="5">
        <f t="shared" si="2"/>
        <v>0.03571428571</v>
      </c>
      <c r="G4" s="5">
        <f t="shared" si="2"/>
        <v>0</v>
      </c>
      <c r="H4" s="5">
        <f t="shared" si="2"/>
        <v>0.07142857143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0.03571428571</v>
      </c>
      <c r="P4" s="5">
        <f t="shared" si="2"/>
        <v>0</v>
      </c>
      <c r="Q4" s="5">
        <f t="shared" si="2"/>
        <v>0.01785714286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0.03571428571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0.03571428571</v>
      </c>
      <c r="AD4" s="5">
        <f t="shared" si="2"/>
        <v>0</v>
      </c>
      <c r="AE4" s="5">
        <f t="shared" si="2"/>
        <v>0</v>
      </c>
      <c r="AF4" s="5">
        <f t="shared" si="2"/>
        <v>0.01785714286</v>
      </c>
      <c r="AG4" s="5">
        <f t="shared" si="2"/>
        <v>0.1071428571</v>
      </c>
      <c r="AH4" s="5">
        <f t="shared" si="2"/>
        <v>0.1785714286</v>
      </c>
      <c r="AI4" s="5">
        <f t="shared" si="2"/>
        <v>0</v>
      </c>
      <c r="AJ4" s="5">
        <f t="shared" si="2"/>
        <v>0.01785714286</v>
      </c>
      <c r="AK4" s="5">
        <f t="shared" si="2"/>
        <v>0</v>
      </c>
      <c r="AL4" s="5">
        <f t="shared" si="2"/>
        <v>0</v>
      </c>
      <c r="AM4" s="5">
        <f t="shared" si="2"/>
        <v>0</v>
      </c>
      <c r="AN4" s="5">
        <f t="shared" si="2"/>
        <v>0</v>
      </c>
      <c r="AO4" s="5">
        <f t="shared" si="2"/>
        <v>0.1607142857</v>
      </c>
      <c r="AP4" s="5">
        <f t="shared" si="2"/>
        <v>0.08928571429</v>
      </c>
      <c r="AQ4" s="5">
        <f t="shared" si="2"/>
        <v>0</v>
      </c>
      <c r="AR4" s="5">
        <f t="shared" si="2"/>
        <v>0.05357142857</v>
      </c>
      <c r="AS4" s="5">
        <f t="shared" si="2"/>
        <v>0.03571428571</v>
      </c>
      <c r="AT4" s="5">
        <f t="shared" si="2"/>
        <v>0</v>
      </c>
      <c r="AU4" s="5">
        <f t="shared" si="2"/>
        <v>0</v>
      </c>
      <c r="AV4" s="5">
        <f t="shared" si="2"/>
        <v>0</v>
      </c>
      <c r="AW4" s="5">
        <f t="shared" si="2"/>
        <v>0.01785714286</v>
      </c>
      <c r="AX4" s="5">
        <f t="shared" si="2"/>
        <v>0</v>
      </c>
      <c r="AY4" s="5">
        <f t="shared" si="2"/>
        <v>0</v>
      </c>
      <c r="AZ4" s="5">
        <f t="shared" si="2"/>
        <v>0</v>
      </c>
      <c r="BA4" s="5">
        <f t="shared" si="2"/>
        <v>0</v>
      </c>
      <c r="BB4" s="5">
        <f t="shared" si="2"/>
        <v>0</v>
      </c>
      <c r="BC4" s="5">
        <f t="shared" si="2"/>
        <v>0</v>
      </c>
      <c r="BD4" s="5">
        <f t="shared" si="2"/>
        <v>0</v>
      </c>
      <c r="BE4" s="5">
        <f t="shared" si="2"/>
        <v>0.2857142857</v>
      </c>
      <c r="BF4" s="5">
        <f t="shared" si="2"/>
        <v>0</v>
      </c>
      <c r="BG4" s="5">
        <f t="shared" si="2"/>
        <v>0</v>
      </c>
      <c r="BH4" s="5">
        <f t="shared" si="2"/>
        <v>0</v>
      </c>
      <c r="BI4" s="5">
        <f t="shared" si="2"/>
        <v>0</v>
      </c>
      <c r="BJ4" s="5">
        <f t="shared" si="2"/>
        <v>0.1071428571</v>
      </c>
      <c r="BK4" s="5">
        <f t="shared" si="2"/>
        <v>0</v>
      </c>
      <c r="BL4" s="5">
        <f t="shared" si="2"/>
        <v>0.03571428571</v>
      </c>
      <c r="BM4" s="5">
        <f t="shared" si="2"/>
        <v>0.01785714286</v>
      </c>
      <c r="BN4" s="5">
        <f t="shared" si="2"/>
        <v>0</v>
      </c>
      <c r="BO4" s="5">
        <f t="shared" si="2"/>
        <v>0.1964285714</v>
      </c>
      <c r="BP4" s="5">
        <f t="shared" si="2"/>
        <v>0</v>
      </c>
      <c r="BQ4" s="5">
        <f t="shared" si="2"/>
        <v>0</v>
      </c>
      <c r="BR4" s="5">
        <f t="shared" si="2"/>
        <v>0.01785714286</v>
      </c>
      <c r="BS4" s="5">
        <f t="shared" si="2"/>
        <v>0</v>
      </c>
      <c r="BT4" s="5">
        <f t="shared" si="2"/>
        <v>0</v>
      </c>
      <c r="BU4" s="5">
        <f t="shared" si="2"/>
        <v>0</v>
      </c>
      <c r="BV4" s="5">
        <f t="shared" si="2"/>
        <v>0</v>
      </c>
      <c r="BW4" s="5">
        <f t="shared" si="2"/>
        <v>0</v>
      </c>
      <c r="BX4" s="5">
        <f t="shared" si="2"/>
        <v>0</v>
      </c>
      <c r="BY4" s="5">
        <f t="shared" si="2"/>
        <v>0</v>
      </c>
      <c r="BZ4" s="5">
        <f t="shared" si="2"/>
        <v>0</v>
      </c>
      <c r="CA4" s="5">
        <f t="shared" si="2"/>
        <v>0</v>
      </c>
      <c r="CB4" s="5">
        <f t="shared" si="2"/>
        <v>0</v>
      </c>
      <c r="CC4" s="5">
        <f t="shared" si="2"/>
        <v>0.05357142857</v>
      </c>
      <c r="CD4" s="5">
        <f t="shared" si="2"/>
        <v>0.03571428571</v>
      </c>
      <c r="CE4" s="5">
        <f t="shared" si="2"/>
        <v>0</v>
      </c>
      <c r="CF4" s="5">
        <f t="shared" si="2"/>
        <v>0</v>
      </c>
      <c r="CG4" s="5">
        <f t="shared" si="2"/>
        <v>0</v>
      </c>
      <c r="CH4" s="5">
        <f t="shared" si="2"/>
        <v>0</v>
      </c>
      <c r="CI4" s="5">
        <f t="shared" si="2"/>
        <v>0.05357142857</v>
      </c>
    </row>
    <row r="5" ht="15.0" customHeight="1">
      <c r="A5" s="8" t="s">
        <v>219</v>
      </c>
      <c r="B5" s="8">
        <v>133.0</v>
      </c>
      <c r="C5" s="8">
        <v>1.0</v>
      </c>
      <c r="AP5" s="8">
        <v>1.0</v>
      </c>
      <c r="BR5" s="8">
        <v>1.0</v>
      </c>
    </row>
    <row r="6" ht="15.0" customHeight="1">
      <c r="A6" s="8" t="s">
        <v>154</v>
      </c>
      <c r="B6" s="8">
        <v>129.0</v>
      </c>
      <c r="C6" s="8">
        <v>1.0</v>
      </c>
    </row>
    <row r="7" ht="15.0" customHeight="1">
      <c r="A7" s="8" t="s">
        <v>133</v>
      </c>
      <c r="B7" s="8">
        <v>128.0</v>
      </c>
      <c r="C7" s="8">
        <v>1.0</v>
      </c>
    </row>
    <row r="8" ht="15.0" customHeight="1">
      <c r="A8" s="8" t="s">
        <v>130</v>
      </c>
      <c r="B8" s="8">
        <v>127.0</v>
      </c>
      <c r="C8" s="8">
        <v>1.0</v>
      </c>
      <c r="BE8" s="8">
        <v>1.0</v>
      </c>
    </row>
    <row r="9" ht="15.0" customHeight="1">
      <c r="A9" s="8" t="s">
        <v>130</v>
      </c>
      <c r="B9" s="8">
        <v>126.0</v>
      </c>
      <c r="C9" s="8">
        <v>1.0</v>
      </c>
      <c r="BJ9" s="8">
        <v>1.0</v>
      </c>
    </row>
    <row r="10" ht="15.0" customHeight="1">
      <c r="A10" s="8" t="s">
        <v>130</v>
      </c>
      <c r="B10" s="8">
        <v>125.0</v>
      </c>
      <c r="C10" s="8">
        <v>1.0</v>
      </c>
    </row>
    <row r="11" ht="15.0" customHeight="1">
      <c r="A11" s="8" t="s">
        <v>129</v>
      </c>
      <c r="B11" s="8">
        <v>124.0</v>
      </c>
      <c r="C11" s="8">
        <v>1.0</v>
      </c>
      <c r="AO11" s="8">
        <v>1.0</v>
      </c>
    </row>
    <row r="12" ht="15.0" customHeight="1">
      <c r="A12" s="8" t="s">
        <v>129</v>
      </c>
      <c r="B12" s="8">
        <v>123.0</v>
      </c>
      <c r="C12" s="8">
        <v>1.0</v>
      </c>
      <c r="AO12" s="8">
        <v>1.0</v>
      </c>
      <c r="BJ12" s="8">
        <v>1.0</v>
      </c>
    </row>
    <row r="13" ht="15.0" customHeight="1">
      <c r="A13" s="8" t="s">
        <v>127</v>
      </c>
      <c r="B13" s="8">
        <v>122.0</v>
      </c>
      <c r="C13" s="8">
        <v>1.0</v>
      </c>
      <c r="BE13" s="8">
        <v>1.0</v>
      </c>
    </row>
    <row r="14" ht="15.0" customHeight="1">
      <c r="A14" s="8" t="s">
        <v>124</v>
      </c>
      <c r="B14" s="8">
        <v>121.0</v>
      </c>
      <c r="C14" s="8">
        <v>1.0</v>
      </c>
      <c r="AO14" s="8">
        <v>1.0</v>
      </c>
      <c r="AR14" s="8">
        <v>1.0</v>
      </c>
      <c r="BE14" s="8">
        <v>1.0</v>
      </c>
      <c r="BJ14" s="8">
        <v>1.0</v>
      </c>
      <c r="BO14" s="8">
        <v>1.0</v>
      </c>
    </row>
    <row r="15" ht="15.0" customHeight="1">
      <c r="A15" s="8" t="s">
        <v>123</v>
      </c>
      <c r="B15" s="8">
        <v>120.0</v>
      </c>
      <c r="C15" s="8">
        <v>1.0</v>
      </c>
      <c r="F15" s="8">
        <v>1.0</v>
      </c>
      <c r="X15" s="8">
        <v>1.0</v>
      </c>
    </row>
    <row r="16" ht="15.0" customHeight="1">
      <c r="A16" s="8" t="s">
        <v>122</v>
      </c>
      <c r="B16" s="8">
        <v>119.0</v>
      </c>
      <c r="C16" s="8">
        <v>1.0</v>
      </c>
      <c r="AF16" s="8">
        <v>1.0</v>
      </c>
      <c r="AJ16" s="8">
        <v>1.0</v>
      </c>
      <c r="AO16" s="8">
        <v>1.0</v>
      </c>
      <c r="AR16" s="8">
        <v>1.0</v>
      </c>
      <c r="BE16" s="8">
        <v>1.0</v>
      </c>
      <c r="BJ16" s="8">
        <v>1.0</v>
      </c>
      <c r="BO16" s="8">
        <v>1.0</v>
      </c>
      <c r="CC16" s="8">
        <v>1.0</v>
      </c>
    </row>
    <row r="17" ht="15.0" customHeight="1">
      <c r="A17" s="8" t="s">
        <v>373</v>
      </c>
      <c r="B17" s="8">
        <v>118.0</v>
      </c>
      <c r="C17" s="8">
        <v>1.0</v>
      </c>
      <c r="BO17" s="8">
        <v>1.0</v>
      </c>
    </row>
    <row r="18" ht="15.0" customHeight="1">
      <c r="A18" s="8" t="s">
        <v>120</v>
      </c>
      <c r="B18" s="8">
        <v>117.0</v>
      </c>
      <c r="C18" s="8">
        <v>1.0</v>
      </c>
      <c r="CD18" s="8">
        <v>1.0</v>
      </c>
    </row>
    <row r="19" ht="15.0" customHeight="1">
      <c r="A19" s="8" t="s">
        <v>120</v>
      </c>
      <c r="B19" s="8">
        <v>116.0</v>
      </c>
      <c r="C19" s="8">
        <v>1.0</v>
      </c>
      <c r="D19" s="8">
        <v>1.0</v>
      </c>
      <c r="BE19" s="8">
        <v>1.0</v>
      </c>
      <c r="BL19" s="8">
        <v>1.0</v>
      </c>
      <c r="BO19" s="8">
        <v>1.0</v>
      </c>
      <c r="CC19" s="8">
        <v>1.0</v>
      </c>
    </row>
    <row r="20" ht="15.0" customHeight="1">
      <c r="A20" s="8" t="s">
        <v>119</v>
      </c>
      <c r="B20" s="8">
        <v>115.0</v>
      </c>
      <c r="C20" s="8">
        <v>1.0</v>
      </c>
      <c r="AO20" s="8">
        <v>1.0</v>
      </c>
      <c r="BE20" s="8">
        <v>1.0</v>
      </c>
      <c r="BL20" s="8">
        <v>1.0</v>
      </c>
    </row>
    <row r="21" ht="15.0" customHeight="1">
      <c r="A21" s="8" t="s">
        <v>184</v>
      </c>
      <c r="B21" s="8">
        <v>114.0</v>
      </c>
      <c r="C21" s="8">
        <v>1.0</v>
      </c>
    </row>
    <row r="22" ht="15.0" customHeight="1">
      <c r="A22" s="8" t="s">
        <v>117</v>
      </c>
      <c r="B22" s="8">
        <v>113.0</v>
      </c>
      <c r="C22" s="8">
        <v>1.0</v>
      </c>
      <c r="AS22" s="8">
        <v>1.0</v>
      </c>
    </row>
    <row r="23" ht="15.0" customHeight="1">
      <c r="A23" s="8" t="s">
        <v>116</v>
      </c>
      <c r="B23" s="8">
        <v>112.0</v>
      </c>
      <c r="C23" s="8">
        <v>1.0</v>
      </c>
      <c r="BE23" s="8">
        <v>1.0</v>
      </c>
      <c r="CC23" s="8">
        <v>1.0</v>
      </c>
    </row>
    <row r="24" ht="15.0" customHeight="1">
      <c r="A24" s="8" t="s">
        <v>115</v>
      </c>
      <c r="B24" s="8">
        <v>111.0</v>
      </c>
      <c r="C24" s="8">
        <v>1.0</v>
      </c>
      <c r="BE24" s="8">
        <v>1.0</v>
      </c>
    </row>
    <row r="25" ht="15.0" customHeight="1">
      <c r="A25" s="8" t="s">
        <v>115</v>
      </c>
      <c r="B25" s="8">
        <v>110.0</v>
      </c>
      <c r="C25" s="8">
        <v>1.0</v>
      </c>
      <c r="CI25" s="8">
        <v>1.0</v>
      </c>
    </row>
    <row r="26" ht="15.0" customHeight="1">
      <c r="A26" s="8" t="s">
        <v>374</v>
      </c>
      <c r="B26" s="8">
        <v>109.0</v>
      </c>
      <c r="C26" s="8">
        <v>1.0</v>
      </c>
    </row>
    <row r="27" ht="15.0" customHeight="1">
      <c r="A27" s="8" t="s">
        <v>113</v>
      </c>
      <c r="B27" s="8">
        <v>108.0</v>
      </c>
      <c r="C27" s="8">
        <v>1.0</v>
      </c>
      <c r="BO27" s="8">
        <v>1.0</v>
      </c>
    </row>
    <row r="28" ht="15.0" customHeight="1">
      <c r="A28" s="8" t="s">
        <v>113</v>
      </c>
      <c r="B28" s="8">
        <v>107.0</v>
      </c>
      <c r="C28" s="8">
        <v>1.0</v>
      </c>
      <c r="AC28" s="8">
        <v>1.0</v>
      </c>
    </row>
    <row r="29" ht="15.0" customHeight="1">
      <c r="A29" s="8" t="s">
        <v>111</v>
      </c>
      <c r="B29" s="8">
        <v>106.0</v>
      </c>
      <c r="C29" s="8">
        <v>1.0</v>
      </c>
      <c r="BE29" s="8">
        <v>1.0</v>
      </c>
    </row>
    <row r="30" ht="15.0" customHeight="1">
      <c r="A30" s="8" t="s">
        <v>110</v>
      </c>
      <c r="B30" s="8">
        <v>105.0</v>
      </c>
      <c r="C30" s="8">
        <v>1.0</v>
      </c>
    </row>
    <row r="31" ht="15.0" customHeight="1">
      <c r="A31" s="8" t="s">
        <v>108</v>
      </c>
      <c r="B31" s="8">
        <v>104.0</v>
      </c>
      <c r="C31" s="8">
        <v>1.0</v>
      </c>
      <c r="AC31" s="8">
        <v>1.0</v>
      </c>
    </row>
    <row r="32" ht="15.0" customHeight="1">
      <c r="A32" s="8" t="s">
        <v>221</v>
      </c>
      <c r="B32" s="8">
        <v>103.0</v>
      </c>
      <c r="C32" s="8">
        <v>1.0</v>
      </c>
    </row>
    <row r="33" ht="15.0" customHeight="1">
      <c r="A33" s="8" t="s">
        <v>254</v>
      </c>
      <c r="B33" s="8">
        <v>102.0</v>
      </c>
      <c r="C33" s="8">
        <v>1.0</v>
      </c>
      <c r="BO33" s="8">
        <v>1.0</v>
      </c>
    </row>
    <row r="34" ht="15.0" customHeight="1">
      <c r="A34" s="8" t="s">
        <v>106</v>
      </c>
      <c r="B34" s="8">
        <v>101.0</v>
      </c>
      <c r="C34" s="8">
        <v>1.0</v>
      </c>
      <c r="CD34" s="8">
        <v>1.0</v>
      </c>
    </row>
    <row r="35" ht="15.0" customHeight="1">
      <c r="A35" s="8" t="s">
        <v>106</v>
      </c>
      <c r="B35" s="8">
        <v>100.0</v>
      </c>
      <c r="C35" s="8">
        <v>1.0</v>
      </c>
    </row>
    <row r="36" ht="15.0" customHeight="1">
      <c r="A36" s="8" t="s">
        <v>105</v>
      </c>
      <c r="B36" s="8">
        <v>99.0</v>
      </c>
      <c r="C36" s="8">
        <v>1.0</v>
      </c>
      <c r="CI36" s="8">
        <v>1.0</v>
      </c>
    </row>
    <row r="37" ht="15.0" customHeight="1">
      <c r="A37" s="8" t="s">
        <v>105</v>
      </c>
      <c r="B37" s="8">
        <v>98.0</v>
      </c>
      <c r="C37" s="8">
        <v>1.0</v>
      </c>
      <c r="AO37" s="8">
        <v>1.0</v>
      </c>
      <c r="AP37" s="8">
        <v>1.0</v>
      </c>
    </row>
    <row r="38" ht="15.0" customHeight="1">
      <c r="A38" s="8" t="s">
        <v>104</v>
      </c>
      <c r="B38" s="8">
        <v>95.0</v>
      </c>
      <c r="C38" s="8">
        <v>1.0</v>
      </c>
      <c r="BJ38" s="8">
        <v>1.0</v>
      </c>
    </row>
    <row r="39" ht="15.0" customHeight="1">
      <c r="A39" s="8" t="s">
        <v>103</v>
      </c>
      <c r="B39" s="8">
        <v>94.0</v>
      </c>
      <c r="C39" s="8">
        <v>1.0</v>
      </c>
      <c r="E39" s="8">
        <v>1.0</v>
      </c>
    </row>
    <row r="40" ht="15.0" customHeight="1">
      <c r="A40" s="8" t="s">
        <v>146</v>
      </c>
      <c r="B40" s="8">
        <v>93.0</v>
      </c>
      <c r="C40" s="8">
        <v>1.0</v>
      </c>
      <c r="AO40" s="8">
        <v>1.0</v>
      </c>
      <c r="AP40" s="8">
        <v>1.0</v>
      </c>
      <c r="BO40" s="8">
        <v>1.0</v>
      </c>
    </row>
    <row r="41" ht="15.0" customHeight="1">
      <c r="A41" s="8" t="s">
        <v>146</v>
      </c>
      <c r="B41" s="8">
        <v>92.0</v>
      </c>
      <c r="C41" s="8">
        <v>1.0</v>
      </c>
      <c r="AG41" s="8">
        <v>1.0</v>
      </c>
    </row>
    <row r="42" ht="15.0" customHeight="1">
      <c r="A42" s="8" t="s">
        <v>98</v>
      </c>
      <c r="B42" s="8">
        <v>89.0</v>
      </c>
      <c r="C42" s="8">
        <v>1.0</v>
      </c>
      <c r="AH42" s="8">
        <v>1.0</v>
      </c>
      <c r="AO42" s="8">
        <v>1.0</v>
      </c>
      <c r="BJ42" s="8">
        <v>1.0</v>
      </c>
      <c r="BO42" s="8">
        <v>1.0</v>
      </c>
    </row>
    <row r="43" ht="15.0" customHeight="1">
      <c r="A43" s="8" t="s">
        <v>179</v>
      </c>
      <c r="B43" s="8">
        <v>88.0</v>
      </c>
      <c r="O43" s="8">
        <v>1.0</v>
      </c>
      <c r="BE43" s="8">
        <v>1.0</v>
      </c>
    </row>
    <row r="44" ht="15.0" customHeight="1">
      <c r="A44" s="8" t="s">
        <v>195</v>
      </c>
      <c r="B44" s="8">
        <v>87.0</v>
      </c>
      <c r="C44" s="8">
        <v>1.0</v>
      </c>
      <c r="AP44" s="8">
        <v>1.0</v>
      </c>
      <c r="BO44" s="8">
        <v>1.0</v>
      </c>
    </row>
    <row r="45" ht="15.0" customHeight="1">
      <c r="A45" s="8" t="s">
        <v>95</v>
      </c>
      <c r="B45" s="8">
        <v>86.0</v>
      </c>
      <c r="C45" s="8">
        <v>1.0</v>
      </c>
      <c r="CI45" s="8">
        <v>1.0</v>
      </c>
    </row>
    <row r="46" ht="15.0" customHeight="1">
      <c r="A46" s="8" t="s">
        <v>93</v>
      </c>
      <c r="B46" s="8">
        <v>85.0</v>
      </c>
      <c r="C46" s="8">
        <v>1.0</v>
      </c>
      <c r="AO46" s="8">
        <v>1.0</v>
      </c>
      <c r="AP46" s="8">
        <v>1.0</v>
      </c>
      <c r="AR46" s="8">
        <v>1.0</v>
      </c>
      <c r="BE46" s="8">
        <v>1.0</v>
      </c>
      <c r="BO46" s="8">
        <v>1.0</v>
      </c>
    </row>
    <row r="47" ht="15.0" customHeight="1">
      <c r="A47" s="8" t="s">
        <v>90</v>
      </c>
      <c r="B47" s="8">
        <v>83.0</v>
      </c>
      <c r="C47" s="8">
        <v>1.0</v>
      </c>
      <c r="AG47" s="8">
        <v>1.0</v>
      </c>
    </row>
    <row r="48" ht="15.0" customHeight="1">
      <c r="A48" s="8" t="s">
        <v>212</v>
      </c>
      <c r="B48" s="8">
        <v>82.0</v>
      </c>
      <c r="C48" s="8">
        <v>1.0</v>
      </c>
      <c r="F48" s="8">
        <v>1.0</v>
      </c>
      <c r="BE48" s="8">
        <v>1.0</v>
      </c>
      <c r="BO48" s="8">
        <v>1.0</v>
      </c>
    </row>
    <row r="49" ht="15.0" customHeight="1">
      <c r="A49" s="8" t="s">
        <v>89</v>
      </c>
      <c r="B49" s="8">
        <v>81.0</v>
      </c>
      <c r="C49" s="8">
        <v>1.0</v>
      </c>
    </row>
    <row r="50" ht="15.0" customHeight="1">
      <c r="A50" s="8" t="s">
        <v>87</v>
      </c>
      <c r="B50" s="8">
        <v>79.0</v>
      </c>
      <c r="C50" s="8">
        <v>1.0</v>
      </c>
      <c r="BE50" s="8">
        <v>1.0</v>
      </c>
    </row>
    <row r="51" ht="15.0" customHeight="1">
      <c r="A51" s="8" t="s">
        <v>84</v>
      </c>
      <c r="B51" s="8">
        <v>78.0</v>
      </c>
      <c r="C51" s="8">
        <v>1.0</v>
      </c>
      <c r="AG51" s="8">
        <v>1.0</v>
      </c>
      <c r="BE51" s="8">
        <v>1.0</v>
      </c>
    </row>
    <row r="52" ht="15.0" customHeight="1">
      <c r="A52" s="8" t="s">
        <v>176</v>
      </c>
      <c r="B52" s="8">
        <v>77.0</v>
      </c>
      <c r="C52" s="8">
        <v>1.0</v>
      </c>
      <c r="H52" s="8">
        <v>1.0</v>
      </c>
      <c r="AH52" s="8">
        <v>1.0</v>
      </c>
    </row>
    <row r="53" ht="15.0" customHeight="1">
      <c r="A53" s="8" t="s">
        <v>83</v>
      </c>
      <c r="B53" s="8">
        <v>76.0</v>
      </c>
      <c r="H53" s="8">
        <v>1.0</v>
      </c>
      <c r="AH53" s="8">
        <v>1.0</v>
      </c>
      <c r="BM53" s="8">
        <v>1.0</v>
      </c>
    </row>
    <row r="54" ht="15.0" customHeight="1">
      <c r="A54" s="8" t="s">
        <v>82</v>
      </c>
      <c r="B54" s="8">
        <v>75.0</v>
      </c>
      <c r="H54" s="8">
        <v>1.0</v>
      </c>
      <c r="AH54" s="8">
        <v>1.0</v>
      </c>
    </row>
    <row r="55" ht="15.0" customHeight="1">
      <c r="A55" s="8" t="s">
        <v>80</v>
      </c>
      <c r="B55" s="8">
        <v>74.0</v>
      </c>
      <c r="AG55" s="8">
        <v>1.0</v>
      </c>
      <c r="AH55" s="8">
        <v>1.0</v>
      </c>
    </row>
    <row r="56" ht="15.0" customHeight="1">
      <c r="A56" s="8" t="s">
        <v>77</v>
      </c>
      <c r="B56" s="8">
        <v>73.0</v>
      </c>
      <c r="Q56" s="8">
        <v>1.0</v>
      </c>
      <c r="AG56" s="8">
        <v>1.0</v>
      </c>
      <c r="AH56" s="8">
        <v>1.0</v>
      </c>
      <c r="BE56" s="8">
        <v>1.0</v>
      </c>
    </row>
    <row r="57" ht="15.0" customHeight="1">
      <c r="A57" s="8" t="s">
        <v>77</v>
      </c>
      <c r="B57" s="8">
        <v>72.0</v>
      </c>
      <c r="AG57" s="8">
        <v>1.0</v>
      </c>
      <c r="AH57" s="8">
        <v>1.0</v>
      </c>
    </row>
    <row r="58" ht="15.0" customHeight="1">
      <c r="A58" s="8" t="s">
        <v>175</v>
      </c>
      <c r="B58" s="8">
        <v>71.0</v>
      </c>
      <c r="AH58" s="8">
        <v>1.0</v>
      </c>
      <c r="BE58" s="8">
        <v>1.0</v>
      </c>
    </row>
    <row r="59" ht="15.0" customHeight="1">
      <c r="A59" s="8" t="s">
        <v>188</v>
      </c>
      <c r="B59" s="8">
        <v>70.0</v>
      </c>
      <c r="H59" s="8">
        <v>1.0</v>
      </c>
      <c r="AH59" s="8">
        <v>1.0</v>
      </c>
      <c r="AS59" s="8">
        <v>1.0</v>
      </c>
    </row>
    <row r="60" ht="15.0" customHeight="1">
      <c r="A60" s="8" t="s">
        <v>75</v>
      </c>
      <c r="B60" s="8">
        <v>69.0</v>
      </c>
      <c r="O60" s="8">
        <v>1.0</v>
      </c>
      <c r="X60" s="8">
        <v>1.0</v>
      </c>
      <c r="AH60" s="8">
        <v>1.0</v>
      </c>
      <c r="AW60" s="8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36.13"/>
    <col customWidth="1" min="3" max="88" width="10.25"/>
  </cols>
  <sheetData>
    <row r="1" ht="15.0" customHeight="1">
      <c r="A1" s="3" t="s">
        <v>0</v>
      </c>
      <c r="B1" s="3" t="s">
        <v>156</v>
      </c>
      <c r="C1" s="3" t="s">
        <v>29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13</v>
      </c>
      <c r="O1" s="3" t="s">
        <v>244</v>
      </c>
      <c r="P1" s="3" t="s">
        <v>15</v>
      </c>
      <c r="Q1" s="3" t="s">
        <v>16</v>
      </c>
      <c r="R1" s="3" t="s">
        <v>17</v>
      </c>
      <c r="S1" s="3" t="s">
        <v>159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364</v>
      </c>
      <c r="Y1" s="3" t="s">
        <v>22</v>
      </c>
      <c r="Z1" s="3" t="s">
        <v>23</v>
      </c>
      <c r="AA1" s="3" t="s">
        <v>24</v>
      </c>
      <c r="AB1" s="3" t="s">
        <v>403</v>
      </c>
      <c r="AC1" s="3" t="s">
        <v>246</v>
      </c>
      <c r="AD1" s="3" t="s">
        <v>25</v>
      </c>
      <c r="AE1" s="3" t="s">
        <v>26</v>
      </c>
      <c r="AF1" s="3" t="s">
        <v>161</v>
      </c>
      <c r="AG1" s="3" t="s">
        <v>27</v>
      </c>
      <c r="AH1" s="3" t="s">
        <v>28</v>
      </c>
      <c r="AI1" s="3" t="s">
        <v>387</v>
      </c>
      <c r="AJ1" s="3" t="s">
        <v>30</v>
      </c>
      <c r="AK1" s="3" t="s">
        <v>365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162</v>
      </c>
      <c r="AR1" s="3" t="s">
        <v>163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164</v>
      </c>
      <c r="AX1" s="3" t="s">
        <v>42</v>
      </c>
      <c r="AY1" s="3" t="s">
        <v>165</v>
      </c>
      <c r="AZ1" s="3" t="s">
        <v>43</v>
      </c>
      <c r="BA1" s="3" t="s">
        <v>167</v>
      </c>
      <c r="BB1" s="3" t="s">
        <v>45</v>
      </c>
      <c r="BC1" s="3" t="s">
        <v>404</v>
      </c>
      <c r="BD1" s="3" t="s">
        <v>169</v>
      </c>
      <c r="BE1" s="3" t="s">
        <v>411</v>
      </c>
      <c r="BF1" s="3" t="s">
        <v>170</v>
      </c>
      <c r="BG1" s="3" t="s">
        <v>2</v>
      </c>
      <c r="BH1" s="3" t="s">
        <v>405</v>
      </c>
      <c r="BI1" s="3" t="s">
        <v>171</v>
      </c>
      <c r="BJ1" s="3" t="s">
        <v>317</v>
      </c>
      <c r="BK1" s="3" t="s">
        <v>48</v>
      </c>
      <c r="BL1" s="3" t="s">
        <v>50</v>
      </c>
      <c r="BM1" s="3" t="s">
        <v>51</v>
      </c>
      <c r="BN1" s="3" t="s">
        <v>52</v>
      </c>
      <c r="BO1" s="3" t="s">
        <v>53</v>
      </c>
      <c r="BP1" s="3" t="s">
        <v>54</v>
      </c>
      <c r="BQ1" s="3" t="s">
        <v>412</v>
      </c>
      <c r="BR1" s="3" t="s">
        <v>172</v>
      </c>
      <c r="BS1" s="3" t="s">
        <v>318</v>
      </c>
      <c r="BT1" s="3" t="s">
        <v>173</v>
      </c>
      <c r="BU1" s="3" t="s">
        <v>249</v>
      </c>
      <c r="BV1" s="3" t="s">
        <v>56</v>
      </c>
      <c r="BW1" s="3" t="s">
        <v>57</v>
      </c>
      <c r="BX1" s="3" t="s">
        <v>58</v>
      </c>
      <c r="BY1" s="3" t="s">
        <v>59</v>
      </c>
      <c r="BZ1" s="3" t="s">
        <v>319</v>
      </c>
      <c r="CA1" s="3" t="s">
        <v>60</v>
      </c>
      <c r="CB1" s="3" t="s">
        <v>61</v>
      </c>
      <c r="CC1" s="3" t="s">
        <v>62</v>
      </c>
      <c r="CD1" s="3" t="s">
        <v>63</v>
      </c>
      <c r="CE1" s="3" t="s">
        <v>64</v>
      </c>
      <c r="CF1" s="3" t="s">
        <v>65</v>
      </c>
      <c r="CG1" s="3" t="s">
        <v>250</v>
      </c>
      <c r="CH1" s="3" t="s">
        <v>67</v>
      </c>
      <c r="CI1" s="3" t="s">
        <v>68</v>
      </c>
      <c r="CJ1" s="3" t="s">
        <v>69</v>
      </c>
    </row>
    <row r="2" ht="15.0" customHeight="1">
      <c r="A2" s="3" t="s">
        <v>70</v>
      </c>
      <c r="B2" s="5">
        <f>COUNTA(B7:B86)</f>
        <v>80</v>
      </c>
    </row>
    <row r="3" ht="15.0" customHeight="1">
      <c r="A3" s="3" t="s">
        <v>71</v>
      </c>
      <c r="B3" s="5">
        <f>COUNTA(B7:B84)</f>
        <v>78</v>
      </c>
    </row>
    <row r="4" ht="15.0" customHeight="1">
      <c r="A4" s="3" t="s">
        <v>72</v>
      </c>
      <c r="C4" s="5">
        <f t="shared" ref="C4:CJ4" si="1">SUM(C7:C86)</f>
        <v>68</v>
      </c>
      <c r="D4" s="5">
        <f t="shared" si="1"/>
        <v>1</v>
      </c>
      <c r="E4" s="5">
        <f t="shared" si="1"/>
        <v>0</v>
      </c>
      <c r="F4" s="5">
        <f t="shared" si="1"/>
        <v>0</v>
      </c>
      <c r="G4" s="5">
        <f t="shared" si="1"/>
        <v>1</v>
      </c>
      <c r="H4" s="5">
        <f t="shared" si="1"/>
        <v>0</v>
      </c>
      <c r="I4" s="5">
        <f t="shared" si="1"/>
        <v>0</v>
      </c>
      <c r="J4" s="5">
        <f t="shared" si="1"/>
        <v>0</v>
      </c>
      <c r="K4" s="5">
        <f t="shared" si="1"/>
        <v>1</v>
      </c>
      <c r="L4" s="5">
        <f t="shared" si="1"/>
        <v>0</v>
      </c>
      <c r="M4" s="5">
        <f t="shared" si="1"/>
        <v>2</v>
      </c>
      <c r="N4" s="5">
        <f t="shared" si="1"/>
        <v>1</v>
      </c>
      <c r="O4" s="5">
        <f t="shared" si="1"/>
        <v>0</v>
      </c>
      <c r="P4" s="5">
        <f t="shared" si="1"/>
        <v>1</v>
      </c>
      <c r="Q4" s="5">
        <f t="shared" si="1"/>
        <v>0</v>
      </c>
      <c r="R4" s="5">
        <f t="shared" si="1"/>
        <v>4</v>
      </c>
      <c r="S4" s="5">
        <f t="shared" si="1"/>
        <v>1</v>
      </c>
      <c r="T4" s="5">
        <f t="shared" si="1"/>
        <v>1</v>
      </c>
      <c r="U4" s="5">
        <f t="shared" si="1"/>
        <v>2</v>
      </c>
      <c r="V4" s="5">
        <f t="shared" si="1"/>
        <v>1</v>
      </c>
      <c r="W4" s="5">
        <f t="shared" si="1"/>
        <v>1</v>
      </c>
      <c r="X4" s="5">
        <f t="shared" si="1"/>
        <v>0</v>
      </c>
      <c r="Y4" s="5">
        <f t="shared" si="1"/>
        <v>2</v>
      </c>
      <c r="Z4" s="5">
        <f t="shared" si="1"/>
        <v>4</v>
      </c>
      <c r="AA4" s="5">
        <f t="shared" si="1"/>
        <v>9</v>
      </c>
      <c r="AB4" s="5">
        <f t="shared" si="1"/>
        <v>0</v>
      </c>
      <c r="AC4" s="5">
        <f t="shared" si="1"/>
        <v>0</v>
      </c>
      <c r="AD4" s="5">
        <f t="shared" si="1"/>
        <v>0</v>
      </c>
      <c r="AE4" s="5">
        <f t="shared" si="1"/>
        <v>2</v>
      </c>
      <c r="AF4" s="5">
        <f t="shared" si="1"/>
        <v>0</v>
      </c>
      <c r="AG4" s="5">
        <f t="shared" si="1"/>
        <v>0</v>
      </c>
      <c r="AH4" s="5">
        <f t="shared" si="1"/>
        <v>0</v>
      </c>
      <c r="AI4" s="5">
        <f t="shared" si="1"/>
        <v>0</v>
      </c>
      <c r="AJ4" s="5">
        <f t="shared" si="1"/>
        <v>2</v>
      </c>
      <c r="AK4" s="5">
        <f t="shared" si="1"/>
        <v>0</v>
      </c>
      <c r="AL4" s="5">
        <f t="shared" si="1"/>
        <v>0</v>
      </c>
      <c r="AM4" s="5">
        <f t="shared" si="1"/>
        <v>4</v>
      </c>
      <c r="AN4" s="5">
        <f t="shared" si="1"/>
        <v>0</v>
      </c>
      <c r="AO4" s="5">
        <f t="shared" si="1"/>
        <v>1</v>
      </c>
      <c r="AP4" s="5">
        <f t="shared" si="1"/>
        <v>1</v>
      </c>
      <c r="AQ4" s="5">
        <f t="shared" si="1"/>
        <v>0</v>
      </c>
      <c r="AR4" s="5">
        <f t="shared" si="1"/>
        <v>0</v>
      </c>
      <c r="AS4" s="5">
        <f t="shared" si="1"/>
        <v>0</v>
      </c>
      <c r="AT4" s="5">
        <f t="shared" si="1"/>
        <v>1</v>
      </c>
      <c r="AU4" s="5">
        <f t="shared" si="1"/>
        <v>2</v>
      </c>
      <c r="AV4" s="5">
        <f t="shared" si="1"/>
        <v>0</v>
      </c>
      <c r="AW4" s="5">
        <f t="shared" si="1"/>
        <v>0</v>
      </c>
      <c r="AX4" s="5">
        <f t="shared" si="1"/>
        <v>0</v>
      </c>
      <c r="AY4" s="5">
        <f t="shared" si="1"/>
        <v>14</v>
      </c>
      <c r="AZ4" s="5">
        <f t="shared" si="1"/>
        <v>0</v>
      </c>
      <c r="BA4" s="5">
        <f t="shared" si="1"/>
        <v>0</v>
      </c>
      <c r="BB4" s="5">
        <f t="shared" si="1"/>
        <v>0</v>
      </c>
      <c r="BC4" s="5">
        <f t="shared" si="1"/>
        <v>0</v>
      </c>
      <c r="BD4" s="5">
        <f t="shared" si="1"/>
        <v>3</v>
      </c>
      <c r="BE4" s="5">
        <f t="shared" si="1"/>
        <v>0</v>
      </c>
      <c r="BF4" s="5">
        <f t="shared" si="1"/>
        <v>0</v>
      </c>
      <c r="BG4" s="5">
        <f t="shared" si="1"/>
        <v>0</v>
      </c>
      <c r="BH4" s="5">
        <f t="shared" si="1"/>
        <v>0</v>
      </c>
      <c r="BI4" s="5">
        <f t="shared" si="1"/>
        <v>0</v>
      </c>
      <c r="BJ4" s="5">
        <f t="shared" si="1"/>
        <v>0</v>
      </c>
      <c r="BK4" s="5">
        <f t="shared" si="1"/>
        <v>20</v>
      </c>
      <c r="BL4" s="5">
        <f t="shared" si="1"/>
        <v>0</v>
      </c>
      <c r="BM4" s="5">
        <f t="shared" si="1"/>
        <v>31</v>
      </c>
      <c r="BN4" s="5">
        <f t="shared" si="1"/>
        <v>1</v>
      </c>
      <c r="BO4" s="5">
        <f t="shared" si="1"/>
        <v>0</v>
      </c>
      <c r="BP4" s="5">
        <f t="shared" si="1"/>
        <v>0</v>
      </c>
      <c r="BQ4" s="5">
        <f t="shared" si="1"/>
        <v>0</v>
      </c>
      <c r="BR4" s="5">
        <f t="shared" si="1"/>
        <v>0</v>
      </c>
      <c r="BS4" s="5">
        <f t="shared" si="1"/>
        <v>0</v>
      </c>
      <c r="BT4" s="5">
        <f t="shared" si="1"/>
        <v>31</v>
      </c>
      <c r="BU4" s="5">
        <f t="shared" si="1"/>
        <v>0</v>
      </c>
      <c r="BV4" s="5">
        <f t="shared" si="1"/>
        <v>0</v>
      </c>
      <c r="BW4" s="5">
        <f t="shared" si="1"/>
        <v>3</v>
      </c>
      <c r="BX4" s="5">
        <f t="shared" si="1"/>
        <v>2</v>
      </c>
      <c r="BY4" s="5">
        <f t="shared" si="1"/>
        <v>0</v>
      </c>
      <c r="BZ4" s="5">
        <f t="shared" si="1"/>
        <v>0</v>
      </c>
      <c r="CA4" s="5">
        <f t="shared" si="1"/>
        <v>1</v>
      </c>
      <c r="CB4" s="5">
        <f t="shared" si="1"/>
        <v>0</v>
      </c>
      <c r="CC4" s="5">
        <f t="shared" si="1"/>
        <v>0</v>
      </c>
      <c r="CD4" s="5">
        <f t="shared" si="1"/>
        <v>1</v>
      </c>
      <c r="CE4" s="5">
        <f t="shared" si="1"/>
        <v>0</v>
      </c>
      <c r="CF4" s="5">
        <f t="shared" si="1"/>
        <v>1</v>
      </c>
      <c r="CG4" s="5">
        <f t="shared" si="1"/>
        <v>5</v>
      </c>
      <c r="CH4" s="5">
        <f t="shared" si="1"/>
        <v>30</v>
      </c>
      <c r="CI4" s="5">
        <f t="shared" si="1"/>
        <v>2</v>
      </c>
      <c r="CJ4" s="5">
        <f t="shared" si="1"/>
        <v>0</v>
      </c>
    </row>
    <row r="5" ht="15.0" customHeight="1">
      <c r="A5" s="3" t="s">
        <v>73</v>
      </c>
      <c r="C5" s="5">
        <f t="shared" ref="C5:CJ5" si="2">SUM(C7:C84)</f>
        <v>68</v>
      </c>
      <c r="D5" s="5">
        <f t="shared" si="2"/>
        <v>1</v>
      </c>
      <c r="E5" s="5">
        <f t="shared" si="2"/>
        <v>0</v>
      </c>
      <c r="F5" s="5">
        <f t="shared" si="2"/>
        <v>0</v>
      </c>
      <c r="G5" s="5">
        <f t="shared" si="2"/>
        <v>1</v>
      </c>
      <c r="H5" s="5">
        <f t="shared" si="2"/>
        <v>0</v>
      </c>
      <c r="I5" s="5">
        <f t="shared" si="2"/>
        <v>0</v>
      </c>
      <c r="J5" s="5">
        <f t="shared" si="2"/>
        <v>0</v>
      </c>
      <c r="K5" s="5">
        <f t="shared" si="2"/>
        <v>1</v>
      </c>
      <c r="L5" s="5">
        <f t="shared" si="2"/>
        <v>0</v>
      </c>
      <c r="M5" s="5">
        <f t="shared" si="2"/>
        <v>2</v>
      </c>
      <c r="N5" s="5">
        <f t="shared" si="2"/>
        <v>1</v>
      </c>
      <c r="O5" s="5">
        <f t="shared" si="2"/>
        <v>0</v>
      </c>
      <c r="P5" s="5">
        <f t="shared" si="2"/>
        <v>1</v>
      </c>
      <c r="Q5" s="5">
        <f t="shared" si="2"/>
        <v>0</v>
      </c>
      <c r="R5" s="5">
        <f t="shared" si="2"/>
        <v>4</v>
      </c>
      <c r="S5" s="5">
        <f t="shared" si="2"/>
        <v>1</v>
      </c>
      <c r="T5" s="5">
        <f t="shared" si="2"/>
        <v>1</v>
      </c>
      <c r="U5" s="5">
        <f t="shared" si="2"/>
        <v>2</v>
      </c>
      <c r="V5" s="5">
        <f t="shared" si="2"/>
        <v>1</v>
      </c>
      <c r="W5" s="5">
        <f t="shared" si="2"/>
        <v>1</v>
      </c>
      <c r="X5" s="5">
        <f t="shared" si="2"/>
        <v>0</v>
      </c>
      <c r="Y5" s="5">
        <f t="shared" si="2"/>
        <v>2</v>
      </c>
      <c r="Z5" s="5">
        <f t="shared" si="2"/>
        <v>4</v>
      </c>
      <c r="AA5" s="5">
        <f t="shared" si="2"/>
        <v>9</v>
      </c>
      <c r="AB5" s="5">
        <f t="shared" si="2"/>
        <v>0</v>
      </c>
      <c r="AC5" s="5">
        <f t="shared" si="2"/>
        <v>0</v>
      </c>
      <c r="AD5" s="5">
        <f t="shared" si="2"/>
        <v>0</v>
      </c>
      <c r="AE5" s="5">
        <f t="shared" si="2"/>
        <v>2</v>
      </c>
      <c r="AF5" s="5">
        <f t="shared" si="2"/>
        <v>0</v>
      </c>
      <c r="AG5" s="5">
        <f t="shared" si="2"/>
        <v>0</v>
      </c>
      <c r="AH5" s="5">
        <f t="shared" si="2"/>
        <v>0</v>
      </c>
      <c r="AI5" s="5">
        <f t="shared" si="2"/>
        <v>0</v>
      </c>
      <c r="AJ5" s="5">
        <f t="shared" si="2"/>
        <v>2</v>
      </c>
      <c r="AK5" s="5">
        <f t="shared" si="2"/>
        <v>0</v>
      </c>
      <c r="AL5" s="5">
        <f t="shared" si="2"/>
        <v>0</v>
      </c>
      <c r="AM5" s="5">
        <f t="shared" si="2"/>
        <v>4</v>
      </c>
      <c r="AN5" s="5">
        <f t="shared" si="2"/>
        <v>0</v>
      </c>
      <c r="AO5" s="5">
        <f t="shared" si="2"/>
        <v>1</v>
      </c>
      <c r="AP5" s="5">
        <f t="shared" si="2"/>
        <v>1</v>
      </c>
      <c r="AQ5" s="5">
        <f t="shared" si="2"/>
        <v>0</v>
      </c>
      <c r="AR5" s="5">
        <f t="shared" si="2"/>
        <v>0</v>
      </c>
      <c r="AS5" s="5">
        <f t="shared" si="2"/>
        <v>0</v>
      </c>
      <c r="AT5" s="5">
        <f t="shared" si="2"/>
        <v>1</v>
      </c>
      <c r="AU5" s="5">
        <f t="shared" si="2"/>
        <v>2</v>
      </c>
      <c r="AV5" s="5">
        <f t="shared" si="2"/>
        <v>0</v>
      </c>
      <c r="AW5" s="5">
        <f t="shared" si="2"/>
        <v>0</v>
      </c>
      <c r="AX5" s="5">
        <f t="shared" si="2"/>
        <v>0</v>
      </c>
      <c r="AY5" s="5">
        <f t="shared" si="2"/>
        <v>14</v>
      </c>
      <c r="AZ5" s="5">
        <f t="shared" si="2"/>
        <v>0</v>
      </c>
      <c r="BA5" s="5">
        <f t="shared" si="2"/>
        <v>0</v>
      </c>
      <c r="BB5" s="5">
        <f t="shared" si="2"/>
        <v>0</v>
      </c>
      <c r="BC5" s="5">
        <f t="shared" si="2"/>
        <v>0</v>
      </c>
      <c r="BD5" s="5">
        <f t="shared" si="2"/>
        <v>3</v>
      </c>
      <c r="BE5" s="5">
        <f t="shared" si="2"/>
        <v>0</v>
      </c>
      <c r="BF5" s="5">
        <f t="shared" si="2"/>
        <v>0</v>
      </c>
      <c r="BG5" s="5">
        <f t="shared" si="2"/>
        <v>0</v>
      </c>
      <c r="BH5" s="5">
        <f t="shared" si="2"/>
        <v>0</v>
      </c>
      <c r="BI5" s="5">
        <f t="shared" si="2"/>
        <v>0</v>
      </c>
      <c r="BJ5" s="5">
        <f t="shared" si="2"/>
        <v>0</v>
      </c>
      <c r="BK5" s="5">
        <f t="shared" si="2"/>
        <v>20</v>
      </c>
      <c r="BL5" s="5">
        <f t="shared" si="2"/>
        <v>0</v>
      </c>
      <c r="BM5" s="5">
        <f t="shared" si="2"/>
        <v>31</v>
      </c>
      <c r="BN5" s="5">
        <f t="shared" si="2"/>
        <v>1</v>
      </c>
      <c r="BO5" s="5">
        <f t="shared" si="2"/>
        <v>0</v>
      </c>
      <c r="BP5" s="5">
        <f t="shared" si="2"/>
        <v>0</v>
      </c>
      <c r="BQ5" s="5">
        <f t="shared" si="2"/>
        <v>0</v>
      </c>
      <c r="BR5" s="5">
        <f t="shared" si="2"/>
        <v>0</v>
      </c>
      <c r="BS5" s="5">
        <f t="shared" si="2"/>
        <v>0</v>
      </c>
      <c r="BT5" s="5">
        <f t="shared" si="2"/>
        <v>30</v>
      </c>
      <c r="BU5" s="5">
        <f t="shared" si="2"/>
        <v>0</v>
      </c>
      <c r="BV5" s="5">
        <f t="shared" si="2"/>
        <v>0</v>
      </c>
      <c r="BW5" s="5">
        <f t="shared" si="2"/>
        <v>3</v>
      </c>
      <c r="BX5" s="5">
        <f t="shared" si="2"/>
        <v>2</v>
      </c>
      <c r="BY5" s="5">
        <f t="shared" si="2"/>
        <v>0</v>
      </c>
      <c r="BZ5" s="5">
        <f t="shared" si="2"/>
        <v>0</v>
      </c>
      <c r="CA5" s="5">
        <f t="shared" si="2"/>
        <v>1</v>
      </c>
      <c r="CB5" s="5">
        <f t="shared" si="2"/>
        <v>0</v>
      </c>
      <c r="CC5" s="5">
        <f t="shared" si="2"/>
        <v>0</v>
      </c>
      <c r="CD5" s="5">
        <f t="shared" si="2"/>
        <v>1</v>
      </c>
      <c r="CE5" s="5">
        <f t="shared" si="2"/>
        <v>0</v>
      </c>
      <c r="CF5" s="5">
        <f t="shared" si="2"/>
        <v>1</v>
      </c>
      <c r="CG5" s="5">
        <f t="shared" si="2"/>
        <v>5</v>
      </c>
      <c r="CH5" s="5">
        <f t="shared" si="2"/>
        <v>28</v>
      </c>
      <c r="CI5" s="5">
        <f t="shared" si="2"/>
        <v>2</v>
      </c>
      <c r="CJ5" s="5">
        <f t="shared" si="2"/>
        <v>0</v>
      </c>
    </row>
    <row r="6" ht="15.0" customHeight="1">
      <c r="A6" s="3" t="s">
        <v>74</v>
      </c>
      <c r="C6" s="5">
        <f t="shared" ref="C6:CJ6" si="3">C5/78</f>
        <v>0.8717948718</v>
      </c>
      <c r="D6" s="5">
        <f t="shared" si="3"/>
        <v>0.01282051282</v>
      </c>
      <c r="E6" s="5">
        <f t="shared" si="3"/>
        <v>0</v>
      </c>
      <c r="F6" s="5">
        <f t="shared" si="3"/>
        <v>0</v>
      </c>
      <c r="G6" s="5">
        <f t="shared" si="3"/>
        <v>0.01282051282</v>
      </c>
      <c r="H6" s="5">
        <f t="shared" si="3"/>
        <v>0</v>
      </c>
      <c r="I6" s="5">
        <f t="shared" si="3"/>
        <v>0</v>
      </c>
      <c r="J6" s="5">
        <f t="shared" si="3"/>
        <v>0</v>
      </c>
      <c r="K6" s="5">
        <f t="shared" si="3"/>
        <v>0.01282051282</v>
      </c>
      <c r="L6" s="5">
        <f t="shared" si="3"/>
        <v>0</v>
      </c>
      <c r="M6" s="5">
        <f t="shared" si="3"/>
        <v>0.02564102564</v>
      </c>
      <c r="N6" s="5">
        <f t="shared" si="3"/>
        <v>0.01282051282</v>
      </c>
      <c r="O6" s="5">
        <f t="shared" si="3"/>
        <v>0</v>
      </c>
      <c r="P6" s="5">
        <f t="shared" si="3"/>
        <v>0.01282051282</v>
      </c>
      <c r="Q6" s="5">
        <f t="shared" si="3"/>
        <v>0</v>
      </c>
      <c r="R6" s="5">
        <f t="shared" si="3"/>
        <v>0.05128205128</v>
      </c>
      <c r="S6" s="5">
        <f t="shared" si="3"/>
        <v>0.01282051282</v>
      </c>
      <c r="T6" s="5">
        <f t="shared" si="3"/>
        <v>0.01282051282</v>
      </c>
      <c r="U6" s="5">
        <f t="shared" si="3"/>
        <v>0.02564102564</v>
      </c>
      <c r="V6" s="5">
        <f t="shared" si="3"/>
        <v>0.01282051282</v>
      </c>
      <c r="W6" s="5">
        <f t="shared" si="3"/>
        <v>0.01282051282</v>
      </c>
      <c r="X6" s="5">
        <f t="shared" si="3"/>
        <v>0</v>
      </c>
      <c r="Y6" s="5">
        <f t="shared" si="3"/>
        <v>0.02564102564</v>
      </c>
      <c r="Z6" s="5">
        <f t="shared" si="3"/>
        <v>0.05128205128</v>
      </c>
      <c r="AA6" s="5">
        <f t="shared" si="3"/>
        <v>0.1153846154</v>
      </c>
      <c r="AB6" s="5">
        <f t="shared" si="3"/>
        <v>0</v>
      </c>
      <c r="AC6" s="5">
        <f t="shared" si="3"/>
        <v>0</v>
      </c>
      <c r="AD6" s="5">
        <f t="shared" si="3"/>
        <v>0</v>
      </c>
      <c r="AE6" s="5">
        <f t="shared" si="3"/>
        <v>0.02564102564</v>
      </c>
      <c r="AF6" s="5">
        <f t="shared" si="3"/>
        <v>0</v>
      </c>
      <c r="AG6" s="5">
        <f t="shared" si="3"/>
        <v>0</v>
      </c>
      <c r="AH6" s="5">
        <f t="shared" si="3"/>
        <v>0</v>
      </c>
      <c r="AI6" s="5">
        <f t="shared" si="3"/>
        <v>0</v>
      </c>
      <c r="AJ6" s="5">
        <f t="shared" si="3"/>
        <v>0.02564102564</v>
      </c>
      <c r="AK6" s="5">
        <f t="shared" si="3"/>
        <v>0</v>
      </c>
      <c r="AL6" s="5">
        <f t="shared" si="3"/>
        <v>0</v>
      </c>
      <c r="AM6" s="5">
        <f t="shared" si="3"/>
        <v>0.05128205128</v>
      </c>
      <c r="AN6" s="5">
        <f t="shared" si="3"/>
        <v>0</v>
      </c>
      <c r="AO6" s="5">
        <f t="shared" si="3"/>
        <v>0.01282051282</v>
      </c>
      <c r="AP6" s="5">
        <f t="shared" si="3"/>
        <v>0.01282051282</v>
      </c>
      <c r="AQ6" s="5">
        <f t="shared" si="3"/>
        <v>0</v>
      </c>
      <c r="AR6" s="5">
        <f t="shared" si="3"/>
        <v>0</v>
      </c>
      <c r="AS6" s="5">
        <f t="shared" si="3"/>
        <v>0</v>
      </c>
      <c r="AT6" s="5">
        <f t="shared" si="3"/>
        <v>0.01282051282</v>
      </c>
      <c r="AU6" s="5">
        <f t="shared" si="3"/>
        <v>0.02564102564</v>
      </c>
      <c r="AV6" s="5">
        <f t="shared" si="3"/>
        <v>0</v>
      </c>
      <c r="AW6" s="5">
        <f t="shared" si="3"/>
        <v>0</v>
      </c>
      <c r="AX6" s="5">
        <f t="shared" si="3"/>
        <v>0</v>
      </c>
      <c r="AY6" s="5">
        <f t="shared" si="3"/>
        <v>0.1794871795</v>
      </c>
      <c r="AZ6" s="5">
        <f t="shared" si="3"/>
        <v>0</v>
      </c>
      <c r="BA6" s="5">
        <f t="shared" si="3"/>
        <v>0</v>
      </c>
      <c r="BB6" s="5">
        <f t="shared" si="3"/>
        <v>0</v>
      </c>
      <c r="BC6" s="5">
        <f t="shared" si="3"/>
        <v>0</v>
      </c>
      <c r="BD6" s="5">
        <f t="shared" si="3"/>
        <v>0.03846153846</v>
      </c>
      <c r="BE6" s="5">
        <f t="shared" si="3"/>
        <v>0</v>
      </c>
      <c r="BF6" s="5">
        <f t="shared" si="3"/>
        <v>0</v>
      </c>
      <c r="BG6" s="5">
        <f t="shared" si="3"/>
        <v>0</v>
      </c>
      <c r="BH6" s="5">
        <f t="shared" si="3"/>
        <v>0</v>
      </c>
      <c r="BI6" s="5">
        <f t="shared" si="3"/>
        <v>0</v>
      </c>
      <c r="BJ6" s="5">
        <f t="shared" si="3"/>
        <v>0</v>
      </c>
      <c r="BK6" s="5">
        <f t="shared" si="3"/>
        <v>0.2564102564</v>
      </c>
      <c r="BL6" s="5">
        <f t="shared" si="3"/>
        <v>0</v>
      </c>
      <c r="BM6" s="5">
        <f t="shared" si="3"/>
        <v>0.3974358974</v>
      </c>
      <c r="BN6" s="5">
        <f t="shared" si="3"/>
        <v>0.01282051282</v>
      </c>
      <c r="BO6" s="5">
        <f t="shared" si="3"/>
        <v>0</v>
      </c>
      <c r="BP6" s="5">
        <f t="shared" si="3"/>
        <v>0</v>
      </c>
      <c r="BQ6" s="5">
        <f t="shared" si="3"/>
        <v>0</v>
      </c>
      <c r="BR6" s="5">
        <f t="shared" si="3"/>
        <v>0</v>
      </c>
      <c r="BS6" s="5">
        <f t="shared" si="3"/>
        <v>0</v>
      </c>
      <c r="BT6" s="5">
        <f t="shared" si="3"/>
        <v>0.3846153846</v>
      </c>
      <c r="BU6" s="5">
        <f t="shared" si="3"/>
        <v>0</v>
      </c>
      <c r="BV6" s="5">
        <f t="shared" si="3"/>
        <v>0</v>
      </c>
      <c r="BW6" s="5">
        <f t="shared" si="3"/>
        <v>0.03846153846</v>
      </c>
      <c r="BX6" s="5">
        <f t="shared" si="3"/>
        <v>0.02564102564</v>
      </c>
      <c r="BY6" s="5">
        <f t="shared" si="3"/>
        <v>0</v>
      </c>
      <c r="BZ6" s="5">
        <f t="shared" si="3"/>
        <v>0</v>
      </c>
      <c r="CA6" s="5">
        <f t="shared" si="3"/>
        <v>0.01282051282</v>
      </c>
      <c r="CB6" s="5">
        <f t="shared" si="3"/>
        <v>0</v>
      </c>
      <c r="CC6" s="5">
        <f t="shared" si="3"/>
        <v>0</v>
      </c>
      <c r="CD6" s="5">
        <f t="shared" si="3"/>
        <v>0.01282051282</v>
      </c>
      <c r="CE6" s="5">
        <f t="shared" si="3"/>
        <v>0</v>
      </c>
      <c r="CF6" s="5">
        <f t="shared" si="3"/>
        <v>0.01282051282</v>
      </c>
      <c r="CG6" s="5">
        <f t="shared" si="3"/>
        <v>0.0641025641</v>
      </c>
      <c r="CH6" s="5">
        <f t="shared" si="3"/>
        <v>0.358974359</v>
      </c>
      <c r="CI6" s="5">
        <f t="shared" si="3"/>
        <v>0.02564102564</v>
      </c>
      <c r="CJ6" s="5">
        <f t="shared" si="3"/>
        <v>0</v>
      </c>
    </row>
    <row r="7" ht="15.0" customHeight="1">
      <c r="A7" s="8" t="s">
        <v>422</v>
      </c>
      <c r="B7" s="8">
        <v>92.0</v>
      </c>
      <c r="AA7" s="8">
        <v>1.0</v>
      </c>
      <c r="AY7" s="8">
        <v>1.0</v>
      </c>
      <c r="CH7" s="8">
        <v>1.0</v>
      </c>
    </row>
    <row r="8" ht="15.0" customHeight="1">
      <c r="A8" s="8" t="s">
        <v>188</v>
      </c>
      <c r="B8" s="8">
        <v>93.0</v>
      </c>
      <c r="BK8" s="8">
        <v>1.0</v>
      </c>
      <c r="BM8" s="8">
        <v>1.0</v>
      </c>
      <c r="CH8" s="8">
        <v>1.0</v>
      </c>
    </row>
    <row r="9" ht="15.0" customHeight="1">
      <c r="A9" s="8" t="s">
        <v>175</v>
      </c>
      <c r="B9" s="8">
        <v>94.0</v>
      </c>
      <c r="W9" s="8">
        <v>1.0</v>
      </c>
      <c r="BK9" s="8">
        <v>1.0</v>
      </c>
      <c r="BT9" s="8">
        <v>1.0</v>
      </c>
      <c r="CH9" s="8">
        <v>1.0</v>
      </c>
    </row>
    <row r="10" ht="15.0" customHeight="1">
      <c r="A10" s="8" t="s">
        <v>76</v>
      </c>
      <c r="B10" s="8">
        <v>95.0</v>
      </c>
      <c r="AA10" s="8">
        <v>1.0</v>
      </c>
      <c r="BM10" s="8">
        <v>1.0</v>
      </c>
      <c r="BT10" s="8">
        <v>1.0</v>
      </c>
      <c r="CH10" s="8">
        <v>1.0</v>
      </c>
    </row>
    <row r="11" ht="15.0" customHeight="1">
      <c r="A11" s="8" t="s">
        <v>77</v>
      </c>
      <c r="B11" s="8">
        <v>96.0</v>
      </c>
      <c r="AA11" s="8">
        <v>1.0</v>
      </c>
      <c r="AT11" s="8">
        <v>1.0</v>
      </c>
      <c r="BM11" s="8">
        <v>1.0</v>
      </c>
      <c r="BT11" s="8">
        <v>1.0</v>
      </c>
      <c r="CH11" s="8">
        <v>1.0</v>
      </c>
    </row>
    <row r="12" ht="15.0" customHeight="1">
      <c r="A12" s="8" t="s">
        <v>80</v>
      </c>
      <c r="B12" s="8">
        <v>97.0</v>
      </c>
      <c r="CH12" s="8">
        <v>1.0</v>
      </c>
    </row>
    <row r="13" ht="15.0" customHeight="1">
      <c r="A13" s="8" t="s">
        <v>83</v>
      </c>
      <c r="B13" s="8">
        <v>98.0</v>
      </c>
      <c r="R13" s="8">
        <v>1.0</v>
      </c>
      <c r="Z13" s="8">
        <v>1.0</v>
      </c>
      <c r="AA13" s="8">
        <v>1.0</v>
      </c>
      <c r="AE13" s="8">
        <v>1.0</v>
      </c>
      <c r="BD13" s="8">
        <v>1.0</v>
      </c>
      <c r="BK13" s="8">
        <v>1.0</v>
      </c>
      <c r="BM13" s="8">
        <v>1.0</v>
      </c>
      <c r="BN13" s="8">
        <v>1.0</v>
      </c>
      <c r="BT13" s="8">
        <v>1.0</v>
      </c>
      <c r="CH13" s="8">
        <v>1.0</v>
      </c>
    </row>
    <row r="14" ht="15.0" customHeight="1">
      <c r="A14" s="8" t="s">
        <v>214</v>
      </c>
      <c r="B14" s="8">
        <v>99.0</v>
      </c>
      <c r="AA14" s="8">
        <v>1.0</v>
      </c>
      <c r="BM14" s="8">
        <v>1.0</v>
      </c>
      <c r="CH14" s="8">
        <v>1.0</v>
      </c>
    </row>
    <row r="15" ht="15.0" customHeight="1">
      <c r="A15" s="8" t="s">
        <v>176</v>
      </c>
      <c r="B15" s="8">
        <v>100.0</v>
      </c>
      <c r="C15" s="8">
        <v>1.0</v>
      </c>
      <c r="R15" s="8">
        <v>1.0</v>
      </c>
      <c r="BM15" s="8">
        <v>1.0</v>
      </c>
      <c r="CH15" s="8">
        <v>1.0</v>
      </c>
    </row>
    <row r="16" ht="15.0" customHeight="1">
      <c r="A16" s="8" t="s">
        <v>85</v>
      </c>
      <c r="B16" s="8">
        <v>101.0</v>
      </c>
      <c r="C16" s="8">
        <v>1.0</v>
      </c>
      <c r="BM16" s="8">
        <v>1.0</v>
      </c>
      <c r="CG16" s="8">
        <v>1.0</v>
      </c>
      <c r="CH16" s="8">
        <v>1.0</v>
      </c>
    </row>
    <row r="17" ht="15.0" customHeight="1">
      <c r="A17" s="8" t="s">
        <v>421</v>
      </c>
      <c r="B17" s="8">
        <v>102.0</v>
      </c>
      <c r="C17" s="8">
        <v>1.0</v>
      </c>
      <c r="AY17" s="8">
        <v>1.0</v>
      </c>
      <c r="BM17" s="8">
        <v>1.0</v>
      </c>
    </row>
    <row r="18" ht="15.0" customHeight="1">
      <c r="A18" s="8" t="s">
        <v>86</v>
      </c>
      <c r="B18" s="8">
        <v>103.0</v>
      </c>
      <c r="C18" s="8">
        <v>1.0</v>
      </c>
      <c r="BM18" s="8">
        <v>1.0</v>
      </c>
      <c r="BT18" s="8">
        <v>1.0</v>
      </c>
    </row>
    <row r="19" ht="15.0" customHeight="1">
      <c r="A19" s="8" t="s">
        <v>87</v>
      </c>
      <c r="B19" s="8">
        <v>104.0</v>
      </c>
      <c r="C19" s="8">
        <v>1.0</v>
      </c>
      <c r="BT19" s="8">
        <v>1.0</v>
      </c>
      <c r="BW19" s="8">
        <v>1.0</v>
      </c>
      <c r="CG19" s="8">
        <v>1.0</v>
      </c>
      <c r="CH19" s="8">
        <v>1.0</v>
      </c>
    </row>
    <row r="20" ht="15.0" customHeight="1">
      <c r="A20" s="8" t="s">
        <v>149</v>
      </c>
      <c r="B20" s="8">
        <v>105.0</v>
      </c>
      <c r="C20" s="8">
        <v>1.0</v>
      </c>
      <c r="BK20" s="8">
        <v>1.0</v>
      </c>
      <c r="BM20" s="8">
        <v>1.0</v>
      </c>
    </row>
    <row r="21" ht="15.0" customHeight="1">
      <c r="A21" s="8" t="s">
        <v>207</v>
      </c>
      <c r="B21" s="8">
        <v>106.0</v>
      </c>
      <c r="C21" s="8">
        <v>1.0</v>
      </c>
      <c r="CH21" s="8">
        <v>1.0</v>
      </c>
    </row>
    <row r="22" ht="15.0" customHeight="1">
      <c r="A22" s="8" t="s">
        <v>90</v>
      </c>
      <c r="B22" s="8">
        <v>108.0</v>
      </c>
      <c r="C22" s="8">
        <v>1.0</v>
      </c>
      <c r="AY22" s="8">
        <v>1.0</v>
      </c>
      <c r="CH22" s="8">
        <v>1.0</v>
      </c>
    </row>
    <row r="23" ht="15.0" customHeight="1">
      <c r="A23" s="8" t="s">
        <v>383</v>
      </c>
      <c r="B23" s="8">
        <v>109.0</v>
      </c>
      <c r="C23" s="8">
        <v>1.0</v>
      </c>
      <c r="CH23" s="8">
        <v>1.0</v>
      </c>
    </row>
    <row r="24" ht="15.0" customHeight="1">
      <c r="A24" s="8" t="s">
        <v>92</v>
      </c>
      <c r="B24" s="8">
        <v>110.0</v>
      </c>
      <c r="C24" s="8">
        <v>1.0</v>
      </c>
      <c r="AA24" s="8">
        <v>1.0</v>
      </c>
      <c r="BT24" s="8">
        <v>1.0</v>
      </c>
    </row>
    <row r="25" ht="15.0" customHeight="1">
      <c r="A25" s="8" t="s">
        <v>92</v>
      </c>
      <c r="B25" s="8">
        <v>111.0</v>
      </c>
      <c r="C25" s="8">
        <v>1.0</v>
      </c>
    </row>
    <row r="26" ht="15.0" customHeight="1">
      <c r="A26" s="8" t="s">
        <v>252</v>
      </c>
      <c r="B26" s="8">
        <v>112.0</v>
      </c>
      <c r="C26" s="8">
        <v>1.0</v>
      </c>
      <c r="BM26" s="8">
        <v>1.0</v>
      </c>
      <c r="CH26" s="8">
        <v>1.0</v>
      </c>
    </row>
    <row r="27" ht="15.0" customHeight="1">
      <c r="A27" s="8" t="s">
        <v>94</v>
      </c>
      <c r="B27" s="8">
        <v>113.0</v>
      </c>
      <c r="C27" s="8">
        <v>1.0</v>
      </c>
      <c r="BT27" s="8">
        <v>1.0</v>
      </c>
      <c r="CH27" s="8">
        <v>1.0</v>
      </c>
    </row>
    <row r="28" ht="15.0" customHeight="1">
      <c r="A28" s="8" t="s">
        <v>96</v>
      </c>
      <c r="B28" s="8">
        <v>116.0</v>
      </c>
      <c r="C28" s="8">
        <v>1.0</v>
      </c>
      <c r="AA28" s="8">
        <v>1.0</v>
      </c>
      <c r="BK28" s="8">
        <v>1.0</v>
      </c>
      <c r="BW28" s="8">
        <v>1.0</v>
      </c>
    </row>
    <row r="29" ht="15.0" customHeight="1">
      <c r="A29" s="8" t="s">
        <v>179</v>
      </c>
      <c r="B29" s="8">
        <v>117.0</v>
      </c>
      <c r="C29" s="8">
        <v>1.0</v>
      </c>
      <c r="T29" s="8">
        <v>1.0</v>
      </c>
    </row>
    <row r="30" ht="15.0" customHeight="1">
      <c r="A30" s="8" t="s">
        <v>97</v>
      </c>
      <c r="B30" s="8">
        <v>118.0</v>
      </c>
      <c r="C30" s="8">
        <v>1.0</v>
      </c>
      <c r="BK30" s="8">
        <v>1.0</v>
      </c>
      <c r="BM30" s="8">
        <v>1.0</v>
      </c>
    </row>
    <row r="31" ht="15.0" customHeight="1">
      <c r="A31" s="8" t="s">
        <v>268</v>
      </c>
      <c r="B31" s="8">
        <v>119.0</v>
      </c>
      <c r="C31" s="8">
        <v>1.0</v>
      </c>
      <c r="AY31" s="8">
        <v>1.0</v>
      </c>
      <c r="BM31" s="8">
        <v>1.0</v>
      </c>
    </row>
    <row r="32" ht="15.0" customHeight="1">
      <c r="A32" s="8" t="s">
        <v>98</v>
      </c>
      <c r="B32" s="8">
        <v>120.0</v>
      </c>
      <c r="C32" s="8">
        <v>1.0</v>
      </c>
      <c r="BK32" s="8">
        <v>1.0</v>
      </c>
      <c r="BT32" s="8">
        <v>1.0</v>
      </c>
    </row>
    <row r="33" ht="15.0" customHeight="1">
      <c r="A33" s="8" t="s">
        <v>213</v>
      </c>
      <c r="B33" s="8">
        <v>121.0</v>
      </c>
      <c r="C33" s="8">
        <v>1.0</v>
      </c>
      <c r="CA33" s="8">
        <v>1.0</v>
      </c>
      <c r="CH33" s="8">
        <v>1.0</v>
      </c>
      <c r="CI33" s="8">
        <v>1.0</v>
      </c>
    </row>
    <row r="34" ht="15.0" customHeight="1">
      <c r="A34" s="8" t="s">
        <v>101</v>
      </c>
      <c r="B34" s="8">
        <v>123.0</v>
      </c>
      <c r="C34" s="8">
        <v>1.0</v>
      </c>
    </row>
    <row r="35" ht="15.0" customHeight="1">
      <c r="A35" s="8" t="s">
        <v>102</v>
      </c>
      <c r="B35" s="8">
        <v>124.0</v>
      </c>
      <c r="C35" s="8">
        <v>1.0</v>
      </c>
      <c r="G35" s="8">
        <v>1.0</v>
      </c>
      <c r="AU35" s="8">
        <v>1.0</v>
      </c>
      <c r="CH35" s="8">
        <v>1.0</v>
      </c>
    </row>
    <row r="36" ht="15.0" customHeight="1">
      <c r="A36" s="8" t="s">
        <v>379</v>
      </c>
      <c r="B36" s="8">
        <v>125.0</v>
      </c>
      <c r="C36" s="8">
        <v>1.0</v>
      </c>
    </row>
    <row r="37" ht="15.0" customHeight="1">
      <c r="A37" s="8" t="s">
        <v>378</v>
      </c>
      <c r="B37" s="8">
        <v>127.0</v>
      </c>
      <c r="C37" s="8">
        <v>1.0</v>
      </c>
      <c r="AY37" s="8">
        <v>1.0</v>
      </c>
      <c r="BM37" s="8">
        <v>1.0</v>
      </c>
      <c r="BT37" s="8">
        <v>1.0</v>
      </c>
    </row>
    <row r="38" ht="15.0" customHeight="1">
      <c r="A38" s="8" t="s">
        <v>103</v>
      </c>
      <c r="B38" s="8">
        <v>128.0</v>
      </c>
      <c r="C38" s="8">
        <v>1.0</v>
      </c>
      <c r="K38" s="8">
        <v>1.0</v>
      </c>
      <c r="BK38" s="8">
        <v>1.0</v>
      </c>
      <c r="BM38" s="8">
        <v>1.0</v>
      </c>
      <c r="BT38" s="8">
        <v>1.0</v>
      </c>
    </row>
    <row r="39" ht="15.0" customHeight="1">
      <c r="A39" s="8" t="s">
        <v>104</v>
      </c>
      <c r="B39" s="8">
        <v>129.0</v>
      </c>
      <c r="Y39" s="8">
        <v>1.0</v>
      </c>
      <c r="BD39" s="8">
        <v>1.0</v>
      </c>
      <c r="BM39" s="8">
        <v>1.0</v>
      </c>
      <c r="BT39" s="8">
        <v>1.0</v>
      </c>
    </row>
    <row r="40" ht="15.0" customHeight="1">
      <c r="A40" s="8" t="s">
        <v>201</v>
      </c>
      <c r="B40" s="8">
        <v>130.0</v>
      </c>
      <c r="C40" s="8">
        <v>1.0</v>
      </c>
      <c r="BT40" s="8">
        <v>1.0</v>
      </c>
    </row>
    <row r="41" ht="15.0" customHeight="1">
      <c r="A41" s="8" t="s">
        <v>377</v>
      </c>
      <c r="B41" s="8">
        <v>131.0</v>
      </c>
      <c r="C41" s="8">
        <v>1.0</v>
      </c>
    </row>
    <row r="42" ht="15.0" customHeight="1">
      <c r="A42" s="8" t="s">
        <v>181</v>
      </c>
      <c r="B42" s="8">
        <v>132.0</v>
      </c>
      <c r="C42" s="8">
        <v>1.0</v>
      </c>
      <c r="BT42" s="8">
        <v>1.0</v>
      </c>
    </row>
    <row r="43" ht="15.0" customHeight="1">
      <c r="A43" s="8" t="s">
        <v>105</v>
      </c>
      <c r="B43" s="8">
        <v>133.0</v>
      </c>
      <c r="C43" s="8">
        <v>1.0</v>
      </c>
      <c r="BT43" s="8">
        <v>1.0</v>
      </c>
      <c r="CH43" s="8">
        <v>1.0</v>
      </c>
    </row>
    <row r="44" ht="15.0" customHeight="1">
      <c r="A44" s="8" t="s">
        <v>209</v>
      </c>
      <c r="B44" s="8">
        <v>134.0</v>
      </c>
      <c r="C44" s="8">
        <v>1.0</v>
      </c>
      <c r="BK44" s="8">
        <v>1.0</v>
      </c>
      <c r="BM44" s="8">
        <v>1.0</v>
      </c>
    </row>
    <row r="45" ht="15.0" customHeight="1">
      <c r="A45" s="8" t="s">
        <v>217</v>
      </c>
      <c r="B45" s="8">
        <v>135.0</v>
      </c>
      <c r="C45" s="8">
        <v>1.0</v>
      </c>
      <c r="P45" s="8">
        <v>1.0</v>
      </c>
      <c r="Y45" s="8">
        <v>1.0</v>
      </c>
      <c r="Z45" s="8">
        <v>1.0</v>
      </c>
    </row>
    <row r="46" ht="15.0" customHeight="1">
      <c r="A46" s="8" t="s">
        <v>108</v>
      </c>
      <c r="B46" s="8">
        <v>137.0</v>
      </c>
      <c r="C46" s="8">
        <v>1.0</v>
      </c>
      <c r="BK46" s="8">
        <v>1.0</v>
      </c>
      <c r="BT46" s="8">
        <v>1.0</v>
      </c>
    </row>
    <row r="47" ht="15.0" customHeight="1">
      <c r="A47" s="8" t="s">
        <v>423</v>
      </c>
      <c r="B47" s="8">
        <v>138.0</v>
      </c>
      <c r="C47" s="8">
        <v>1.0</v>
      </c>
      <c r="AY47" s="8">
        <v>1.0</v>
      </c>
      <c r="BK47" s="8">
        <v>1.0</v>
      </c>
      <c r="BM47" s="8">
        <v>1.0</v>
      </c>
      <c r="CH47" s="8">
        <v>1.0</v>
      </c>
    </row>
    <row r="48" ht="15.0" customHeight="1">
      <c r="A48" s="8" t="s">
        <v>111</v>
      </c>
      <c r="B48" s="8">
        <v>139.0</v>
      </c>
      <c r="C48" s="8">
        <v>1.0</v>
      </c>
      <c r="BK48" s="8">
        <v>1.0</v>
      </c>
    </row>
    <row r="49" ht="15.0" customHeight="1">
      <c r="A49" s="8" t="s">
        <v>196</v>
      </c>
      <c r="B49" s="8">
        <v>140.0</v>
      </c>
      <c r="C49" s="8">
        <v>1.0</v>
      </c>
      <c r="M49" s="8">
        <v>1.0</v>
      </c>
      <c r="U49" s="8">
        <v>1.0</v>
      </c>
      <c r="BK49" s="8">
        <v>1.0</v>
      </c>
      <c r="BM49" s="8">
        <v>1.0</v>
      </c>
      <c r="BW49" s="8">
        <v>1.0</v>
      </c>
    </row>
    <row r="50" ht="15.0" customHeight="1">
      <c r="A50" s="8" t="s">
        <v>113</v>
      </c>
      <c r="B50" s="8">
        <v>141.0</v>
      </c>
      <c r="C50" s="8">
        <v>1.0</v>
      </c>
      <c r="BM50" s="8">
        <v>1.0</v>
      </c>
      <c r="BT50" s="8">
        <v>1.0</v>
      </c>
      <c r="CH50" s="8">
        <v>1.0</v>
      </c>
    </row>
    <row r="51" ht="15.0" customHeight="1">
      <c r="A51" s="8" t="s">
        <v>374</v>
      </c>
      <c r="B51" s="8">
        <v>142.0</v>
      </c>
      <c r="C51" s="8">
        <v>1.0</v>
      </c>
    </row>
    <row r="52" ht="15.0" customHeight="1">
      <c r="A52" s="8" t="s">
        <v>229</v>
      </c>
      <c r="B52" s="8">
        <v>144.0</v>
      </c>
      <c r="C52" s="8">
        <v>1.0</v>
      </c>
      <c r="AY52" s="8">
        <v>1.0</v>
      </c>
      <c r="BM52" s="8">
        <v>1.0</v>
      </c>
    </row>
    <row r="53" ht="15.0" customHeight="1">
      <c r="A53" s="8" t="s">
        <v>115</v>
      </c>
      <c r="B53" s="8">
        <v>145.0</v>
      </c>
      <c r="C53" s="8">
        <v>1.0</v>
      </c>
      <c r="BD53" s="8">
        <v>1.0</v>
      </c>
      <c r="BM53" s="8">
        <v>1.0</v>
      </c>
      <c r="BT53" s="8">
        <v>1.0</v>
      </c>
      <c r="CH53" s="8">
        <v>1.0</v>
      </c>
    </row>
    <row r="54" ht="15.0" customHeight="1">
      <c r="A54" s="8" t="s">
        <v>115</v>
      </c>
      <c r="B54" s="8">
        <v>146.0</v>
      </c>
      <c r="C54" s="8">
        <v>1.0</v>
      </c>
      <c r="BM54" s="8">
        <v>1.0</v>
      </c>
      <c r="BT54" s="8">
        <v>1.0</v>
      </c>
      <c r="CH54" s="8">
        <v>1.0</v>
      </c>
    </row>
    <row r="55" ht="15.0" customHeight="1">
      <c r="A55" s="8" t="s">
        <v>122</v>
      </c>
      <c r="B55" s="8">
        <v>147.0</v>
      </c>
      <c r="C55" s="8">
        <v>1.0</v>
      </c>
      <c r="BK55" s="8">
        <v>1.0</v>
      </c>
      <c r="BT55" s="8">
        <v>1.0</v>
      </c>
      <c r="CH55" s="8">
        <v>1.0</v>
      </c>
    </row>
    <row r="56" ht="15.0" customHeight="1">
      <c r="A56" s="8" t="s">
        <v>211</v>
      </c>
      <c r="B56" s="8">
        <v>148.0</v>
      </c>
      <c r="C56" s="8">
        <v>1.0</v>
      </c>
      <c r="R56" s="8">
        <v>1.0</v>
      </c>
      <c r="AY56" s="8">
        <v>1.0</v>
      </c>
      <c r="BT56" s="8">
        <v>1.0</v>
      </c>
    </row>
    <row r="57" ht="15.0" customHeight="1">
      <c r="A57" s="8" t="s">
        <v>124</v>
      </c>
      <c r="B57" s="8">
        <v>149.0</v>
      </c>
      <c r="AY57" s="8">
        <v>1.0</v>
      </c>
    </row>
    <row r="58" ht="15.0" customHeight="1">
      <c r="A58" s="8" t="s">
        <v>121</v>
      </c>
      <c r="B58" s="8">
        <v>150.0</v>
      </c>
      <c r="C58" s="8">
        <v>1.0</v>
      </c>
      <c r="Z58" s="8">
        <v>1.0</v>
      </c>
      <c r="AA58" s="8">
        <v>1.0</v>
      </c>
      <c r="AE58" s="8">
        <v>1.0</v>
      </c>
      <c r="AJ58" s="8">
        <v>1.0</v>
      </c>
      <c r="AM58" s="8">
        <v>1.0</v>
      </c>
      <c r="AP58" s="8">
        <v>1.0</v>
      </c>
      <c r="AU58" s="8">
        <v>1.0</v>
      </c>
      <c r="BK58" s="8">
        <v>1.0</v>
      </c>
      <c r="BX58" s="8">
        <v>1.0</v>
      </c>
      <c r="CF58" s="8">
        <v>1.0</v>
      </c>
      <c r="CG58" s="8">
        <v>1.0</v>
      </c>
      <c r="CI58" s="8">
        <v>1.0</v>
      </c>
    </row>
    <row r="59" ht="15.0" customHeight="1">
      <c r="A59" s="8" t="s">
        <v>184</v>
      </c>
      <c r="B59" s="8">
        <v>151.0</v>
      </c>
      <c r="C59" s="8">
        <v>1.0</v>
      </c>
    </row>
    <row r="60" ht="15.0" customHeight="1">
      <c r="A60" s="8" t="s">
        <v>388</v>
      </c>
      <c r="B60" s="8">
        <v>151.0</v>
      </c>
      <c r="C60" s="8">
        <v>1.0</v>
      </c>
      <c r="M60" s="8">
        <v>1.0</v>
      </c>
      <c r="N60" s="8">
        <v>1.0</v>
      </c>
      <c r="Z60" s="8">
        <v>1.0</v>
      </c>
      <c r="BM60" s="8">
        <v>1.0</v>
      </c>
      <c r="CG60" s="8">
        <v>1.0</v>
      </c>
    </row>
    <row r="61" ht="15.0" customHeight="1">
      <c r="A61" s="8" t="s">
        <v>119</v>
      </c>
      <c r="B61" s="8">
        <v>153.0</v>
      </c>
      <c r="C61" s="8">
        <v>1.0</v>
      </c>
      <c r="AY61" s="8">
        <v>1.0</v>
      </c>
      <c r="CH61" s="8">
        <v>1.0</v>
      </c>
    </row>
    <row r="62" ht="15.0" customHeight="1">
      <c r="A62" s="8" t="s">
        <v>116</v>
      </c>
      <c r="B62" s="8">
        <v>153.0</v>
      </c>
      <c r="C62" s="8">
        <v>1.0</v>
      </c>
      <c r="BK62" s="8">
        <v>1.0</v>
      </c>
      <c r="BT62" s="8">
        <v>1.0</v>
      </c>
    </row>
    <row r="63" ht="15.0" customHeight="1">
      <c r="A63" s="8" t="s">
        <v>118</v>
      </c>
      <c r="B63" s="8">
        <v>154.0</v>
      </c>
      <c r="C63" s="8">
        <v>1.0</v>
      </c>
      <c r="AO63" s="8">
        <v>1.0</v>
      </c>
      <c r="BM63" s="8">
        <v>1.0</v>
      </c>
      <c r="BT63" s="8">
        <v>1.0</v>
      </c>
    </row>
    <row r="64" ht="15.0" customHeight="1">
      <c r="A64" s="8" t="s">
        <v>197</v>
      </c>
      <c r="B64" s="8">
        <v>155.0</v>
      </c>
      <c r="C64" s="8">
        <v>1.0</v>
      </c>
      <c r="AJ64" s="8">
        <v>1.0</v>
      </c>
      <c r="BM64" s="8">
        <v>1.0</v>
      </c>
      <c r="BT64" s="8">
        <v>1.0</v>
      </c>
      <c r="BX64" s="8">
        <v>1.0</v>
      </c>
    </row>
    <row r="65" ht="15.0" customHeight="1">
      <c r="A65" s="8" t="s">
        <v>120</v>
      </c>
      <c r="B65" s="8">
        <v>156.0</v>
      </c>
      <c r="C65" s="8">
        <v>1.0</v>
      </c>
    </row>
    <row r="66" ht="15.0" customHeight="1">
      <c r="A66" s="8" t="s">
        <v>232</v>
      </c>
      <c r="B66" s="8">
        <v>156.0</v>
      </c>
      <c r="C66" s="8">
        <v>1.0</v>
      </c>
      <c r="BM66" s="8">
        <v>1.0</v>
      </c>
    </row>
    <row r="67" ht="15.0" customHeight="1">
      <c r="A67" s="8" t="s">
        <v>373</v>
      </c>
      <c r="B67" s="8">
        <v>158.0</v>
      </c>
      <c r="C67" s="8">
        <v>1.0</v>
      </c>
    </row>
    <row r="68" ht="15.0" customHeight="1">
      <c r="A68" s="8" t="s">
        <v>373</v>
      </c>
      <c r="B68" s="8">
        <v>159.0</v>
      </c>
      <c r="C68" s="8">
        <v>1.0</v>
      </c>
      <c r="AY68" s="8">
        <v>1.0</v>
      </c>
    </row>
    <row r="69" ht="15.0" customHeight="1">
      <c r="A69" s="8" t="s">
        <v>372</v>
      </c>
      <c r="B69" s="8">
        <v>160.0</v>
      </c>
      <c r="C69" s="8">
        <v>1.0</v>
      </c>
      <c r="AY69" s="8">
        <v>1.0</v>
      </c>
      <c r="CD69" s="8">
        <v>1.0</v>
      </c>
    </row>
    <row r="70" ht="15.0" customHeight="1">
      <c r="A70" s="8" t="s">
        <v>372</v>
      </c>
      <c r="B70" s="8">
        <v>161.0</v>
      </c>
      <c r="C70" s="8">
        <v>1.0</v>
      </c>
    </row>
    <row r="71" ht="15.0" customHeight="1">
      <c r="A71" s="8" t="s">
        <v>123</v>
      </c>
      <c r="B71" s="8">
        <v>163.0</v>
      </c>
      <c r="C71" s="8">
        <v>1.0</v>
      </c>
    </row>
    <row r="72" ht="15.0" customHeight="1">
      <c r="A72" s="8" t="s">
        <v>419</v>
      </c>
      <c r="B72" s="8">
        <v>165.0</v>
      </c>
      <c r="C72" s="8">
        <v>1.0</v>
      </c>
      <c r="AY72" s="8">
        <v>1.0</v>
      </c>
    </row>
    <row r="73" ht="15.0" customHeight="1">
      <c r="A73" s="8" t="s">
        <v>419</v>
      </c>
      <c r="B73" s="8">
        <v>166.0</v>
      </c>
      <c r="C73" s="8">
        <v>1.0</v>
      </c>
    </row>
    <row r="74" ht="15.0" customHeight="1">
      <c r="A74" s="8" t="s">
        <v>128</v>
      </c>
      <c r="B74" s="8">
        <v>167.0</v>
      </c>
      <c r="C74" s="8">
        <v>1.0</v>
      </c>
      <c r="AA74" s="8">
        <v>1.0</v>
      </c>
      <c r="AM74" s="8">
        <v>1.0</v>
      </c>
      <c r="BT74" s="8">
        <v>1.0</v>
      </c>
    </row>
    <row r="75" ht="15.0" customHeight="1">
      <c r="A75" s="8" t="s">
        <v>200</v>
      </c>
      <c r="B75" s="8">
        <v>168.0</v>
      </c>
      <c r="C75" s="8">
        <v>1.0</v>
      </c>
      <c r="BT75" s="8">
        <v>1.0</v>
      </c>
      <c r="CH75" s="8">
        <v>1.0</v>
      </c>
    </row>
    <row r="76" ht="15.0" customHeight="1">
      <c r="A76" s="8" t="s">
        <v>206</v>
      </c>
      <c r="B76" s="8">
        <v>169.0</v>
      </c>
      <c r="C76" s="8">
        <v>1.0</v>
      </c>
      <c r="U76" s="8">
        <v>1.0</v>
      </c>
      <c r="BK76" s="8">
        <v>1.0</v>
      </c>
      <c r="BM76" s="8">
        <v>1.0</v>
      </c>
      <c r="BT76" s="8">
        <v>1.0</v>
      </c>
    </row>
    <row r="77" ht="15.0" customHeight="1">
      <c r="A77" s="8" t="s">
        <v>216</v>
      </c>
      <c r="B77" s="8">
        <v>170.0</v>
      </c>
      <c r="C77" s="8">
        <v>1.0</v>
      </c>
      <c r="V77" s="8">
        <v>1.0</v>
      </c>
      <c r="BK77" s="8">
        <v>1.0</v>
      </c>
    </row>
    <row r="78" ht="15.0" customHeight="1">
      <c r="A78" s="8" t="s">
        <v>130</v>
      </c>
      <c r="B78" s="8">
        <v>171.0</v>
      </c>
      <c r="C78" s="8">
        <v>1.0</v>
      </c>
      <c r="AM78" s="8">
        <v>1.0</v>
      </c>
      <c r="BK78" s="8">
        <v>1.0</v>
      </c>
      <c r="BM78" s="8">
        <v>1.0</v>
      </c>
      <c r="BT78" s="8">
        <v>1.0</v>
      </c>
    </row>
    <row r="79" ht="15.0" customHeight="1">
      <c r="A79" s="8" t="s">
        <v>370</v>
      </c>
      <c r="B79" s="8">
        <v>174.0</v>
      </c>
      <c r="C79" s="8">
        <v>1.0</v>
      </c>
      <c r="BM79" s="8">
        <v>1.0</v>
      </c>
    </row>
    <row r="80" ht="15.0" customHeight="1">
      <c r="A80" s="8" t="s">
        <v>257</v>
      </c>
      <c r="B80" s="8">
        <v>177.0</v>
      </c>
      <c r="C80" s="8">
        <v>1.0</v>
      </c>
      <c r="CH80" s="8">
        <v>1.0</v>
      </c>
    </row>
    <row r="81" ht="15.0" customHeight="1">
      <c r="A81" s="8" t="s">
        <v>313</v>
      </c>
      <c r="B81" s="8">
        <v>180.0</v>
      </c>
      <c r="C81" s="8">
        <v>1.0</v>
      </c>
      <c r="R81" s="8">
        <v>1.0</v>
      </c>
    </row>
    <row r="82" ht="15.0" customHeight="1">
      <c r="A82" s="8" t="s">
        <v>237</v>
      </c>
      <c r="B82" s="8">
        <v>182.0</v>
      </c>
      <c r="C82" s="8">
        <v>1.0</v>
      </c>
      <c r="S82" s="8">
        <v>1.0</v>
      </c>
      <c r="BK82" s="8">
        <v>1.0</v>
      </c>
      <c r="BT82" s="8">
        <v>1.0</v>
      </c>
    </row>
    <row r="83" ht="15.0" customHeight="1">
      <c r="A83" s="8" t="s">
        <v>218</v>
      </c>
      <c r="B83" s="8">
        <v>185.0</v>
      </c>
      <c r="C83" s="8">
        <v>1.0</v>
      </c>
      <c r="D83" s="8">
        <v>1.0</v>
      </c>
      <c r="AY83" s="8">
        <v>1.0</v>
      </c>
    </row>
    <row r="84" ht="15.0" customHeight="1">
      <c r="A84" s="8" t="s">
        <v>136</v>
      </c>
      <c r="B84" s="8">
        <v>187.0</v>
      </c>
      <c r="C84" s="8">
        <v>1.0</v>
      </c>
      <c r="AM84" s="8">
        <v>1.0</v>
      </c>
      <c r="BM84" s="8">
        <v>1.0</v>
      </c>
      <c r="BT84" s="8">
        <v>1.0</v>
      </c>
      <c r="CG84" s="8">
        <v>1.0</v>
      </c>
      <c r="CH84" s="8">
        <v>1.0</v>
      </c>
    </row>
    <row r="85" ht="15.0" customHeight="1">
      <c r="A85" s="8" t="s">
        <v>91</v>
      </c>
      <c r="B85" s="3" t="s">
        <v>424</v>
      </c>
      <c r="CH85" s="8">
        <v>1.0</v>
      </c>
    </row>
    <row r="86" ht="15.0" customHeight="1">
      <c r="A86" s="8" t="s">
        <v>106</v>
      </c>
      <c r="B86" s="3" t="s">
        <v>425</v>
      </c>
      <c r="BT86" s="8">
        <v>1.0</v>
      </c>
      <c r="CH86" s="8">
        <v>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2.75"/>
  <cols>
    <col customWidth="1" min="1" max="1" width="10.25"/>
    <col customWidth="1" min="2" max="2" width="49.75"/>
    <col customWidth="1" min="3" max="89" width="10.25"/>
  </cols>
  <sheetData>
    <row r="1" ht="15.0" customHeight="1">
      <c r="A1" s="3" t="s">
        <v>0</v>
      </c>
      <c r="B1" s="3" t="s">
        <v>156</v>
      </c>
      <c r="C1" s="3" t="s">
        <v>168</v>
      </c>
      <c r="D1" s="3" t="s">
        <v>3</v>
      </c>
      <c r="E1" s="3" t="s">
        <v>4</v>
      </c>
      <c r="F1" s="3" t="s">
        <v>426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14</v>
      </c>
      <c r="O1" s="3" t="s">
        <v>13</v>
      </c>
      <c r="P1" s="3" t="s">
        <v>244</v>
      </c>
      <c r="Q1" s="3" t="s">
        <v>15</v>
      </c>
      <c r="R1" s="3" t="s">
        <v>16</v>
      </c>
      <c r="S1" s="3" t="s">
        <v>17</v>
      </c>
      <c r="T1" s="3" t="s">
        <v>159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403</v>
      </c>
      <c r="AC1" s="3" t="s">
        <v>246</v>
      </c>
      <c r="AD1" s="3" t="s">
        <v>25</v>
      </c>
      <c r="AE1" s="3" t="s">
        <v>26</v>
      </c>
      <c r="AF1" s="3" t="s">
        <v>161</v>
      </c>
      <c r="AG1" s="3" t="s">
        <v>27</v>
      </c>
      <c r="AH1" s="3" t="s">
        <v>28</v>
      </c>
      <c r="AI1" s="3" t="s">
        <v>387</v>
      </c>
      <c r="AJ1" s="3" t="s">
        <v>29</v>
      </c>
      <c r="AK1" s="3" t="s">
        <v>30</v>
      </c>
      <c r="AL1" s="3" t="s">
        <v>365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162</v>
      </c>
      <c r="AS1" s="3" t="s">
        <v>163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164</v>
      </c>
      <c r="AY1" s="3" t="s">
        <v>42</v>
      </c>
      <c r="AZ1" s="3" t="s">
        <v>165</v>
      </c>
      <c r="BA1" s="3" t="s">
        <v>43</v>
      </c>
      <c r="BB1" s="3" t="s">
        <v>167</v>
      </c>
      <c r="BC1" s="3" t="s">
        <v>45</v>
      </c>
      <c r="BD1" s="3" t="s">
        <v>404</v>
      </c>
      <c r="BE1" s="3" t="s">
        <v>169</v>
      </c>
      <c r="BF1" s="3" t="s">
        <v>411</v>
      </c>
      <c r="BG1" s="3" t="s">
        <v>170</v>
      </c>
      <c r="BH1" s="3" t="s">
        <v>2</v>
      </c>
      <c r="BI1" s="3" t="s">
        <v>405</v>
      </c>
      <c r="BJ1" s="3" t="s">
        <v>171</v>
      </c>
      <c r="BK1" s="3" t="s">
        <v>317</v>
      </c>
      <c r="BL1" s="3" t="s">
        <v>48</v>
      </c>
      <c r="BM1" s="3" t="s">
        <v>50</v>
      </c>
      <c r="BN1" s="3" t="s">
        <v>51</v>
      </c>
      <c r="BO1" s="3" t="s">
        <v>52</v>
      </c>
      <c r="BP1" s="3" t="s">
        <v>53</v>
      </c>
      <c r="BQ1" s="3" t="s">
        <v>54</v>
      </c>
      <c r="BR1" s="3" t="s">
        <v>412</v>
      </c>
      <c r="BS1" s="3" t="s">
        <v>172</v>
      </c>
      <c r="BT1" s="3" t="s">
        <v>318</v>
      </c>
      <c r="BU1" s="3" t="s">
        <v>173</v>
      </c>
      <c r="BV1" s="3" t="s">
        <v>249</v>
      </c>
      <c r="BW1" s="3" t="s">
        <v>56</v>
      </c>
      <c r="BX1" s="3" t="s">
        <v>57</v>
      </c>
      <c r="BY1" s="3" t="s">
        <v>58</v>
      </c>
      <c r="BZ1" s="3" t="s">
        <v>59</v>
      </c>
      <c r="CA1" s="3" t="s">
        <v>319</v>
      </c>
      <c r="CB1" s="3" t="s">
        <v>60</v>
      </c>
      <c r="CC1" s="3" t="s">
        <v>61</v>
      </c>
      <c r="CD1" s="3" t="s">
        <v>62</v>
      </c>
      <c r="CE1" s="3" t="s">
        <v>63</v>
      </c>
      <c r="CF1" s="3" t="s">
        <v>64</v>
      </c>
      <c r="CG1" s="3" t="s">
        <v>65</v>
      </c>
      <c r="CH1" s="3" t="s">
        <v>250</v>
      </c>
      <c r="CI1" s="3" t="s">
        <v>67</v>
      </c>
      <c r="CJ1" s="3" t="s">
        <v>68</v>
      </c>
      <c r="CK1" s="3" t="s">
        <v>69</v>
      </c>
    </row>
    <row r="2" ht="15.0" customHeight="1">
      <c r="A2" s="3" t="s">
        <v>70</v>
      </c>
      <c r="B2" s="5">
        <f>COUNTA(B7:B198)</f>
        <v>192</v>
      </c>
    </row>
    <row r="3" ht="15.0" customHeight="1">
      <c r="A3" s="3" t="s">
        <v>71</v>
      </c>
      <c r="B3" s="5">
        <f>COUNTA(B7:B174)</f>
        <v>168</v>
      </c>
    </row>
    <row r="4" ht="15.0" customHeight="1">
      <c r="A4" s="3" t="s">
        <v>72</v>
      </c>
      <c r="C4" s="5">
        <f t="shared" ref="C4:CK4" si="1">SUM(C7:C198)</f>
        <v>147</v>
      </c>
      <c r="D4" s="5">
        <f t="shared" si="1"/>
        <v>0</v>
      </c>
      <c r="E4" s="5">
        <f t="shared" si="1"/>
        <v>0</v>
      </c>
      <c r="F4" s="5">
        <f t="shared" si="1"/>
        <v>1</v>
      </c>
      <c r="G4" s="5">
        <f t="shared" si="1"/>
        <v>43</v>
      </c>
      <c r="H4" s="5">
        <f t="shared" si="1"/>
        <v>73</v>
      </c>
      <c r="I4" s="5">
        <f t="shared" si="1"/>
        <v>3</v>
      </c>
      <c r="J4" s="5">
        <f t="shared" si="1"/>
        <v>5</v>
      </c>
      <c r="K4" s="5">
        <f t="shared" si="1"/>
        <v>12</v>
      </c>
      <c r="L4" s="5">
        <f t="shared" si="1"/>
        <v>8</v>
      </c>
      <c r="M4" s="5">
        <f t="shared" si="1"/>
        <v>2</v>
      </c>
      <c r="N4" s="5">
        <f t="shared" si="1"/>
        <v>1</v>
      </c>
      <c r="O4" s="5">
        <f t="shared" si="1"/>
        <v>3</v>
      </c>
      <c r="P4" s="5">
        <f t="shared" si="1"/>
        <v>1</v>
      </c>
      <c r="Q4" s="5">
        <f t="shared" si="1"/>
        <v>27</v>
      </c>
      <c r="R4" s="5">
        <f t="shared" si="1"/>
        <v>1</v>
      </c>
      <c r="S4" s="5">
        <f t="shared" si="1"/>
        <v>2</v>
      </c>
      <c r="T4" s="5">
        <f t="shared" si="1"/>
        <v>8</v>
      </c>
      <c r="U4" s="5">
        <f t="shared" si="1"/>
        <v>4</v>
      </c>
      <c r="V4" s="5">
        <f t="shared" si="1"/>
        <v>0</v>
      </c>
      <c r="W4" s="5">
        <f t="shared" si="1"/>
        <v>4</v>
      </c>
      <c r="X4" s="5">
        <f t="shared" si="1"/>
        <v>17</v>
      </c>
      <c r="Y4" s="5">
        <f t="shared" si="1"/>
        <v>6</v>
      </c>
      <c r="Z4" s="5">
        <f t="shared" si="1"/>
        <v>1</v>
      </c>
      <c r="AA4" s="5">
        <f t="shared" si="1"/>
        <v>1</v>
      </c>
      <c r="AB4" s="5">
        <f t="shared" si="1"/>
        <v>0</v>
      </c>
      <c r="AC4" s="5">
        <f t="shared" si="1"/>
        <v>0</v>
      </c>
      <c r="AD4" s="5">
        <f t="shared" si="1"/>
        <v>1</v>
      </c>
      <c r="AE4" s="5">
        <f t="shared" si="1"/>
        <v>64</v>
      </c>
      <c r="AF4" s="5">
        <f t="shared" si="1"/>
        <v>0</v>
      </c>
      <c r="AG4" s="5">
        <f t="shared" si="1"/>
        <v>2</v>
      </c>
      <c r="AH4" s="5">
        <f t="shared" si="1"/>
        <v>4</v>
      </c>
      <c r="AI4" s="5">
        <f t="shared" si="1"/>
        <v>0</v>
      </c>
      <c r="AJ4" s="5">
        <f t="shared" si="1"/>
        <v>0</v>
      </c>
      <c r="AK4" s="5">
        <f t="shared" si="1"/>
        <v>0</v>
      </c>
      <c r="AL4" s="5">
        <f t="shared" si="1"/>
        <v>0</v>
      </c>
      <c r="AM4" s="5">
        <f t="shared" si="1"/>
        <v>1</v>
      </c>
      <c r="AN4" s="5">
        <f t="shared" si="1"/>
        <v>1</v>
      </c>
      <c r="AO4" s="5">
        <f t="shared" si="1"/>
        <v>0</v>
      </c>
      <c r="AP4" s="5">
        <f t="shared" si="1"/>
        <v>2</v>
      </c>
      <c r="AQ4" s="5">
        <f t="shared" si="1"/>
        <v>1</v>
      </c>
      <c r="AR4" s="5">
        <f t="shared" si="1"/>
        <v>2</v>
      </c>
      <c r="AS4" s="5">
        <f t="shared" si="1"/>
        <v>1</v>
      </c>
      <c r="AT4" s="5">
        <f t="shared" si="1"/>
        <v>1</v>
      </c>
      <c r="AU4" s="5">
        <f t="shared" si="1"/>
        <v>4</v>
      </c>
      <c r="AV4" s="5">
        <f t="shared" si="1"/>
        <v>1</v>
      </c>
      <c r="AW4" s="5">
        <f t="shared" si="1"/>
        <v>2</v>
      </c>
      <c r="AX4" s="5">
        <f t="shared" si="1"/>
        <v>0</v>
      </c>
      <c r="AY4" s="5">
        <f t="shared" si="1"/>
        <v>4</v>
      </c>
      <c r="AZ4" s="5">
        <f t="shared" si="1"/>
        <v>3</v>
      </c>
      <c r="BA4" s="5">
        <f t="shared" si="1"/>
        <v>21</v>
      </c>
      <c r="BB4" s="5">
        <f t="shared" si="1"/>
        <v>5</v>
      </c>
      <c r="BC4" s="5">
        <f t="shared" si="1"/>
        <v>0</v>
      </c>
      <c r="BD4" s="5">
        <f t="shared" si="1"/>
        <v>1</v>
      </c>
      <c r="BE4" s="5">
        <f t="shared" si="1"/>
        <v>1</v>
      </c>
      <c r="BF4" s="5">
        <f t="shared" si="1"/>
        <v>0</v>
      </c>
      <c r="BG4" s="5">
        <f t="shared" si="1"/>
        <v>67</v>
      </c>
      <c r="BH4" s="5">
        <f t="shared" si="1"/>
        <v>0</v>
      </c>
      <c r="BI4" s="5">
        <f t="shared" si="1"/>
        <v>1</v>
      </c>
      <c r="BJ4" s="5">
        <f t="shared" si="1"/>
        <v>2</v>
      </c>
      <c r="BK4" s="5">
        <f t="shared" si="1"/>
        <v>1</v>
      </c>
      <c r="BL4" s="5">
        <f t="shared" si="1"/>
        <v>6</v>
      </c>
      <c r="BM4" s="5">
        <f t="shared" si="1"/>
        <v>22</v>
      </c>
      <c r="BN4" s="5">
        <f t="shared" si="1"/>
        <v>38</v>
      </c>
      <c r="BO4" s="5">
        <f t="shared" si="1"/>
        <v>4</v>
      </c>
      <c r="BP4" s="5">
        <f t="shared" si="1"/>
        <v>4</v>
      </c>
      <c r="BQ4" s="5">
        <f t="shared" si="1"/>
        <v>14</v>
      </c>
      <c r="BR4" s="5">
        <f t="shared" si="1"/>
        <v>0</v>
      </c>
      <c r="BS4" s="5">
        <f t="shared" si="1"/>
        <v>6</v>
      </c>
      <c r="BT4" s="5">
        <f t="shared" si="1"/>
        <v>1</v>
      </c>
      <c r="BU4" s="5">
        <f t="shared" si="1"/>
        <v>2</v>
      </c>
      <c r="BV4" s="5">
        <f t="shared" si="1"/>
        <v>2</v>
      </c>
      <c r="BW4" s="5">
        <f t="shared" si="1"/>
        <v>1</v>
      </c>
      <c r="BX4" s="5">
        <f t="shared" si="1"/>
        <v>6</v>
      </c>
      <c r="BY4" s="5">
        <f t="shared" si="1"/>
        <v>1</v>
      </c>
      <c r="BZ4" s="5">
        <f t="shared" si="1"/>
        <v>0</v>
      </c>
      <c r="CA4" s="5">
        <f t="shared" si="1"/>
        <v>0</v>
      </c>
      <c r="CB4" s="5">
        <f t="shared" si="1"/>
        <v>1</v>
      </c>
      <c r="CC4" s="5">
        <f t="shared" si="1"/>
        <v>2</v>
      </c>
      <c r="CD4" s="5">
        <f t="shared" si="1"/>
        <v>0</v>
      </c>
      <c r="CE4" s="5">
        <f t="shared" si="1"/>
        <v>0</v>
      </c>
      <c r="CF4" s="5">
        <f t="shared" si="1"/>
        <v>2</v>
      </c>
      <c r="CG4" s="5">
        <f t="shared" si="1"/>
        <v>1</v>
      </c>
      <c r="CH4" s="5">
        <f t="shared" si="1"/>
        <v>3</v>
      </c>
      <c r="CI4" s="5">
        <f t="shared" si="1"/>
        <v>2</v>
      </c>
      <c r="CJ4" s="5">
        <f t="shared" si="1"/>
        <v>2</v>
      </c>
      <c r="CK4" s="5">
        <f t="shared" si="1"/>
        <v>0</v>
      </c>
    </row>
    <row r="5" ht="15.0" customHeight="1">
      <c r="A5" s="3" t="s">
        <v>73</v>
      </c>
      <c r="C5" s="5">
        <f t="shared" ref="C5:CK5" si="2">SUM(C7:C174)</f>
        <v>147</v>
      </c>
      <c r="D5" s="5">
        <f t="shared" si="2"/>
        <v>0</v>
      </c>
      <c r="E5" s="5">
        <f t="shared" si="2"/>
        <v>0</v>
      </c>
      <c r="F5" s="5">
        <f t="shared" si="2"/>
        <v>1</v>
      </c>
      <c r="G5" s="5">
        <f t="shared" si="2"/>
        <v>43</v>
      </c>
      <c r="H5" s="5">
        <f t="shared" si="2"/>
        <v>71</v>
      </c>
      <c r="I5" s="5">
        <f t="shared" si="2"/>
        <v>3</v>
      </c>
      <c r="J5" s="5">
        <f t="shared" si="2"/>
        <v>5</v>
      </c>
      <c r="K5" s="5">
        <f t="shared" si="2"/>
        <v>12</v>
      </c>
      <c r="L5" s="5">
        <f t="shared" si="2"/>
        <v>8</v>
      </c>
      <c r="M5" s="5">
        <f t="shared" si="2"/>
        <v>2</v>
      </c>
      <c r="N5" s="5">
        <f t="shared" si="2"/>
        <v>1</v>
      </c>
      <c r="O5" s="5">
        <f t="shared" si="2"/>
        <v>3</v>
      </c>
      <c r="P5" s="5">
        <f t="shared" si="2"/>
        <v>1</v>
      </c>
      <c r="Q5" s="5">
        <f t="shared" si="2"/>
        <v>26</v>
      </c>
      <c r="R5" s="5">
        <f t="shared" si="2"/>
        <v>1</v>
      </c>
      <c r="S5" s="5">
        <f t="shared" si="2"/>
        <v>2</v>
      </c>
      <c r="T5" s="5">
        <f t="shared" si="2"/>
        <v>8</v>
      </c>
      <c r="U5" s="5">
        <f t="shared" si="2"/>
        <v>4</v>
      </c>
      <c r="V5" s="5">
        <f t="shared" si="2"/>
        <v>0</v>
      </c>
      <c r="W5" s="5">
        <f t="shared" si="2"/>
        <v>4</v>
      </c>
      <c r="X5" s="5">
        <f t="shared" si="2"/>
        <v>17</v>
      </c>
      <c r="Y5" s="5">
        <f t="shared" si="2"/>
        <v>6</v>
      </c>
      <c r="Z5" s="5">
        <f t="shared" si="2"/>
        <v>1</v>
      </c>
      <c r="AA5" s="5">
        <f t="shared" si="2"/>
        <v>1</v>
      </c>
      <c r="AB5" s="5">
        <f t="shared" si="2"/>
        <v>0</v>
      </c>
      <c r="AC5" s="5">
        <f t="shared" si="2"/>
        <v>0</v>
      </c>
      <c r="AD5" s="5">
        <f t="shared" si="2"/>
        <v>1</v>
      </c>
      <c r="AE5" s="5">
        <f t="shared" si="2"/>
        <v>42</v>
      </c>
      <c r="AF5" s="5">
        <f t="shared" si="2"/>
        <v>0</v>
      </c>
      <c r="AG5" s="5">
        <f t="shared" si="2"/>
        <v>2</v>
      </c>
      <c r="AH5" s="5">
        <f t="shared" si="2"/>
        <v>4</v>
      </c>
      <c r="AI5" s="5">
        <f t="shared" si="2"/>
        <v>0</v>
      </c>
      <c r="AJ5" s="5">
        <f t="shared" si="2"/>
        <v>0</v>
      </c>
      <c r="AK5" s="5">
        <f t="shared" si="2"/>
        <v>0</v>
      </c>
      <c r="AL5" s="5">
        <f t="shared" si="2"/>
        <v>0</v>
      </c>
      <c r="AM5" s="5">
        <f t="shared" si="2"/>
        <v>1</v>
      </c>
      <c r="AN5" s="5">
        <f t="shared" si="2"/>
        <v>1</v>
      </c>
      <c r="AO5" s="5">
        <f t="shared" si="2"/>
        <v>0</v>
      </c>
      <c r="AP5" s="5">
        <f t="shared" si="2"/>
        <v>2</v>
      </c>
      <c r="AQ5" s="5">
        <f t="shared" si="2"/>
        <v>1</v>
      </c>
      <c r="AR5" s="5">
        <f t="shared" si="2"/>
        <v>2</v>
      </c>
      <c r="AS5" s="5">
        <f t="shared" si="2"/>
        <v>1</v>
      </c>
      <c r="AT5" s="5">
        <f t="shared" si="2"/>
        <v>1</v>
      </c>
      <c r="AU5" s="5">
        <f t="shared" si="2"/>
        <v>4</v>
      </c>
      <c r="AV5" s="5">
        <f t="shared" si="2"/>
        <v>1</v>
      </c>
      <c r="AW5" s="5">
        <f t="shared" si="2"/>
        <v>2</v>
      </c>
      <c r="AX5" s="5">
        <f t="shared" si="2"/>
        <v>0</v>
      </c>
      <c r="AY5" s="5">
        <f t="shared" si="2"/>
        <v>4</v>
      </c>
      <c r="AZ5" s="5">
        <f t="shared" si="2"/>
        <v>3</v>
      </c>
      <c r="BA5" s="5">
        <f t="shared" si="2"/>
        <v>21</v>
      </c>
      <c r="BB5" s="5">
        <f t="shared" si="2"/>
        <v>5</v>
      </c>
      <c r="BC5" s="5">
        <f t="shared" si="2"/>
        <v>0</v>
      </c>
      <c r="BD5" s="5">
        <f t="shared" si="2"/>
        <v>1</v>
      </c>
      <c r="BE5" s="5">
        <f t="shared" si="2"/>
        <v>1</v>
      </c>
      <c r="BF5" s="5">
        <f t="shared" si="2"/>
        <v>0</v>
      </c>
      <c r="BG5" s="5">
        <f t="shared" si="2"/>
        <v>67</v>
      </c>
      <c r="BH5" s="5">
        <f t="shared" si="2"/>
        <v>0</v>
      </c>
      <c r="BI5" s="5">
        <f t="shared" si="2"/>
        <v>1</v>
      </c>
      <c r="BJ5" s="5">
        <f t="shared" si="2"/>
        <v>2</v>
      </c>
      <c r="BK5" s="5">
        <f t="shared" si="2"/>
        <v>1</v>
      </c>
      <c r="BL5" s="5">
        <f t="shared" si="2"/>
        <v>6</v>
      </c>
      <c r="BM5" s="5">
        <f t="shared" si="2"/>
        <v>22</v>
      </c>
      <c r="BN5" s="5">
        <f t="shared" si="2"/>
        <v>37</v>
      </c>
      <c r="BO5" s="5">
        <f t="shared" si="2"/>
        <v>4</v>
      </c>
      <c r="BP5" s="5">
        <f t="shared" si="2"/>
        <v>4</v>
      </c>
      <c r="BQ5" s="5">
        <f t="shared" si="2"/>
        <v>14</v>
      </c>
      <c r="BR5" s="5">
        <f t="shared" si="2"/>
        <v>0</v>
      </c>
      <c r="BS5" s="5">
        <f t="shared" si="2"/>
        <v>6</v>
      </c>
      <c r="BT5" s="5">
        <f t="shared" si="2"/>
        <v>1</v>
      </c>
      <c r="BU5" s="5">
        <f t="shared" si="2"/>
        <v>2</v>
      </c>
      <c r="BV5" s="5">
        <f t="shared" si="2"/>
        <v>2</v>
      </c>
      <c r="BW5" s="5">
        <f t="shared" si="2"/>
        <v>1</v>
      </c>
      <c r="BX5" s="5">
        <f t="shared" si="2"/>
        <v>6</v>
      </c>
      <c r="BY5" s="5">
        <f t="shared" si="2"/>
        <v>1</v>
      </c>
      <c r="BZ5" s="5">
        <f t="shared" si="2"/>
        <v>0</v>
      </c>
      <c r="CA5" s="5">
        <f t="shared" si="2"/>
        <v>0</v>
      </c>
      <c r="CB5" s="5">
        <f t="shared" si="2"/>
        <v>1</v>
      </c>
      <c r="CC5" s="5">
        <f t="shared" si="2"/>
        <v>2</v>
      </c>
      <c r="CD5" s="5">
        <f t="shared" si="2"/>
        <v>0</v>
      </c>
      <c r="CE5" s="5">
        <f t="shared" si="2"/>
        <v>0</v>
      </c>
      <c r="CF5" s="5">
        <f t="shared" si="2"/>
        <v>2</v>
      </c>
      <c r="CG5" s="5">
        <f t="shared" si="2"/>
        <v>1</v>
      </c>
      <c r="CH5" s="5">
        <f t="shared" si="2"/>
        <v>3</v>
      </c>
      <c r="CI5" s="5">
        <f t="shared" si="2"/>
        <v>2</v>
      </c>
      <c r="CJ5" s="5">
        <f t="shared" si="2"/>
        <v>2</v>
      </c>
      <c r="CK5" s="5">
        <f t="shared" si="2"/>
        <v>0</v>
      </c>
    </row>
    <row r="6" ht="15.0" customHeight="1">
      <c r="A6" s="3" t="s">
        <v>74</v>
      </c>
      <c r="C6" s="5">
        <f t="shared" ref="C6:CK6" si="3">C5/168</f>
        <v>0.875</v>
      </c>
      <c r="D6" s="5">
        <f t="shared" si="3"/>
        <v>0</v>
      </c>
      <c r="E6" s="5">
        <f t="shared" si="3"/>
        <v>0</v>
      </c>
      <c r="F6" s="5">
        <f t="shared" si="3"/>
        <v>0.005952380952</v>
      </c>
      <c r="G6" s="5">
        <f t="shared" si="3"/>
        <v>0.255952381</v>
      </c>
      <c r="H6" s="5">
        <f t="shared" si="3"/>
        <v>0.4226190476</v>
      </c>
      <c r="I6" s="5">
        <f t="shared" si="3"/>
        <v>0.01785714286</v>
      </c>
      <c r="J6" s="5">
        <f t="shared" si="3"/>
        <v>0.02976190476</v>
      </c>
      <c r="K6" s="5">
        <f t="shared" si="3"/>
        <v>0.07142857143</v>
      </c>
      <c r="L6" s="5">
        <f t="shared" si="3"/>
        <v>0.04761904762</v>
      </c>
      <c r="M6" s="5">
        <f t="shared" si="3"/>
        <v>0.0119047619</v>
      </c>
      <c r="N6" s="5">
        <f t="shared" si="3"/>
        <v>0.005952380952</v>
      </c>
      <c r="O6" s="5">
        <f t="shared" si="3"/>
        <v>0.01785714286</v>
      </c>
      <c r="P6" s="5">
        <f t="shared" si="3"/>
        <v>0.005952380952</v>
      </c>
      <c r="Q6" s="5">
        <f t="shared" si="3"/>
        <v>0.1547619048</v>
      </c>
      <c r="R6" s="5">
        <f t="shared" si="3"/>
        <v>0.005952380952</v>
      </c>
      <c r="S6" s="5">
        <f t="shared" si="3"/>
        <v>0.0119047619</v>
      </c>
      <c r="T6" s="5">
        <f t="shared" si="3"/>
        <v>0.04761904762</v>
      </c>
      <c r="U6" s="5">
        <f t="shared" si="3"/>
        <v>0.02380952381</v>
      </c>
      <c r="V6" s="5">
        <f t="shared" si="3"/>
        <v>0</v>
      </c>
      <c r="W6" s="5">
        <f t="shared" si="3"/>
        <v>0.02380952381</v>
      </c>
      <c r="X6" s="5">
        <f t="shared" si="3"/>
        <v>0.1011904762</v>
      </c>
      <c r="Y6" s="5">
        <f t="shared" si="3"/>
        <v>0.03571428571</v>
      </c>
      <c r="Z6" s="5">
        <f t="shared" si="3"/>
        <v>0.005952380952</v>
      </c>
      <c r="AA6" s="5">
        <f t="shared" si="3"/>
        <v>0.005952380952</v>
      </c>
      <c r="AB6" s="5">
        <f t="shared" si="3"/>
        <v>0</v>
      </c>
      <c r="AC6" s="5">
        <f t="shared" si="3"/>
        <v>0</v>
      </c>
      <c r="AD6" s="5">
        <f t="shared" si="3"/>
        <v>0.005952380952</v>
      </c>
      <c r="AE6" s="5">
        <f t="shared" si="3"/>
        <v>0.25</v>
      </c>
      <c r="AF6" s="5">
        <f t="shared" si="3"/>
        <v>0</v>
      </c>
      <c r="AG6" s="5">
        <f t="shared" si="3"/>
        <v>0.0119047619</v>
      </c>
      <c r="AH6" s="5">
        <f t="shared" si="3"/>
        <v>0.02380952381</v>
      </c>
      <c r="AI6" s="5">
        <f t="shared" si="3"/>
        <v>0</v>
      </c>
      <c r="AJ6" s="5">
        <f t="shared" si="3"/>
        <v>0</v>
      </c>
      <c r="AK6" s="5">
        <f t="shared" si="3"/>
        <v>0</v>
      </c>
      <c r="AL6" s="5">
        <f t="shared" si="3"/>
        <v>0</v>
      </c>
      <c r="AM6" s="5">
        <f t="shared" si="3"/>
        <v>0.005952380952</v>
      </c>
      <c r="AN6" s="5">
        <f t="shared" si="3"/>
        <v>0.005952380952</v>
      </c>
      <c r="AO6" s="5">
        <f t="shared" si="3"/>
        <v>0</v>
      </c>
      <c r="AP6" s="5">
        <f t="shared" si="3"/>
        <v>0.0119047619</v>
      </c>
      <c r="AQ6" s="5">
        <f t="shared" si="3"/>
        <v>0.005952380952</v>
      </c>
      <c r="AR6" s="5">
        <f t="shared" si="3"/>
        <v>0.0119047619</v>
      </c>
      <c r="AS6" s="5">
        <f t="shared" si="3"/>
        <v>0.005952380952</v>
      </c>
      <c r="AT6" s="5">
        <f t="shared" si="3"/>
        <v>0.005952380952</v>
      </c>
      <c r="AU6" s="5">
        <f t="shared" si="3"/>
        <v>0.02380952381</v>
      </c>
      <c r="AV6" s="5">
        <f t="shared" si="3"/>
        <v>0.005952380952</v>
      </c>
      <c r="AW6" s="5">
        <f t="shared" si="3"/>
        <v>0.0119047619</v>
      </c>
      <c r="AX6" s="5">
        <f t="shared" si="3"/>
        <v>0</v>
      </c>
      <c r="AY6" s="5">
        <f t="shared" si="3"/>
        <v>0.02380952381</v>
      </c>
      <c r="AZ6" s="5">
        <f t="shared" si="3"/>
        <v>0.01785714286</v>
      </c>
      <c r="BA6" s="5">
        <f t="shared" si="3"/>
        <v>0.125</v>
      </c>
      <c r="BB6" s="5">
        <f t="shared" si="3"/>
        <v>0.02976190476</v>
      </c>
      <c r="BC6" s="5">
        <f t="shared" si="3"/>
        <v>0</v>
      </c>
      <c r="BD6" s="5">
        <f t="shared" si="3"/>
        <v>0.005952380952</v>
      </c>
      <c r="BE6" s="5">
        <f t="shared" si="3"/>
        <v>0.005952380952</v>
      </c>
      <c r="BF6" s="5">
        <f t="shared" si="3"/>
        <v>0</v>
      </c>
      <c r="BG6" s="5">
        <f t="shared" si="3"/>
        <v>0.3988095238</v>
      </c>
      <c r="BH6" s="5">
        <f t="shared" si="3"/>
        <v>0</v>
      </c>
      <c r="BI6" s="5">
        <f t="shared" si="3"/>
        <v>0.005952380952</v>
      </c>
      <c r="BJ6" s="5">
        <f t="shared" si="3"/>
        <v>0.0119047619</v>
      </c>
      <c r="BK6" s="5">
        <f t="shared" si="3"/>
        <v>0.005952380952</v>
      </c>
      <c r="BL6" s="5">
        <f t="shared" si="3"/>
        <v>0.03571428571</v>
      </c>
      <c r="BM6" s="5">
        <f t="shared" si="3"/>
        <v>0.130952381</v>
      </c>
      <c r="BN6" s="5">
        <f t="shared" si="3"/>
        <v>0.2202380952</v>
      </c>
      <c r="BO6" s="5">
        <f t="shared" si="3"/>
        <v>0.02380952381</v>
      </c>
      <c r="BP6" s="5">
        <f t="shared" si="3"/>
        <v>0.02380952381</v>
      </c>
      <c r="BQ6" s="5">
        <f t="shared" si="3"/>
        <v>0.08333333333</v>
      </c>
      <c r="BR6" s="5">
        <f t="shared" si="3"/>
        <v>0</v>
      </c>
      <c r="BS6" s="5">
        <f t="shared" si="3"/>
        <v>0.03571428571</v>
      </c>
      <c r="BT6" s="5">
        <f t="shared" si="3"/>
        <v>0.005952380952</v>
      </c>
      <c r="BU6" s="5">
        <f t="shared" si="3"/>
        <v>0.0119047619</v>
      </c>
      <c r="BV6" s="5">
        <f t="shared" si="3"/>
        <v>0.0119047619</v>
      </c>
      <c r="BW6" s="5">
        <f t="shared" si="3"/>
        <v>0.005952380952</v>
      </c>
      <c r="BX6" s="5">
        <f t="shared" si="3"/>
        <v>0.03571428571</v>
      </c>
      <c r="BY6" s="5">
        <f t="shared" si="3"/>
        <v>0.005952380952</v>
      </c>
      <c r="BZ6" s="5">
        <f t="shared" si="3"/>
        <v>0</v>
      </c>
      <c r="CA6" s="5">
        <f t="shared" si="3"/>
        <v>0</v>
      </c>
      <c r="CB6" s="5">
        <f t="shared" si="3"/>
        <v>0.005952380952</v>
      </c>
      <c r="CC6" s="5">
        <f t="shared" si="3"/>
        <v>0.0119047619</v>
      </c>
      <c r="CD6" s="5">
        <f t="shared" si="3"/>
        <v>0</v>
      </c>
      <c r="CE6" s="5">
        <f t="shared" si="3"/>
        <v>0</v>
      </c>
      <c r="CF6" s="5">
        <f t="shared" si="3"/>
        <v>0.0119047619</v>
      </c>
      <c r="CG6" s="5">
        <f t="shared" si="3"/>
        <v>0.005952380952</v>
      </c>
      <c r="CH6" s="5">
        <f t="shared" si="3"/>
        <v>0.01785714286</v>
      </c>
      <c r="CI6" s="5">
        <f t="shared" si="3"/>
        <v>0.0119047619</v>
      </c>
      <c r="CJ6" s="5">
        <f t="shared" si="3"/>
        <v>0.0119047619</v>
      </c>
      <c r="CK6" s="5">
        <f t="shared" si="3"/>
        <v>0</v>
      </c>
    </row>
    <row r="7" ht="15.0" customHeight="1">
      <c r="A7" s="8" t="s">
        <v>75</v>
      </c>
      <c r="B7" s="8">
        <v>340.0</v>
      </c>
      <c r="C7" s="8">
        <v>1.0</v>
      </c>
      <c r="Q7" s="8">
        <v>1.0</v>
      </c>
      <c r="AE7" s="8">
        <v>1.0</v>
      </c>
      <c r="BG7" s="8">
        <v>1.0</v>
      </c>
      <c r="BM7" s="8">
        <v>1.0</v>
      </c>
      <c r="BQ7" s="8">
        <v>1.0</v>
      </c>
    </row>
    <row r="8" ht="15.0" customHeight="1">
      <c r="A8" s="8" t="s">
        <v>75</v>
      </c>
      <c r="B8" s="8">
        <v>341.0</v>
      </c>
      <c r="C8" s="8">
        <v>1.0</v>
      </c>
      <c r="M8" s="8">
        <v>1.0</v>
      </c>
      <c r="BG8" s="8">
        <v>1.0</v>
      </c>
    </row>
    <row r="9" ht="15.0" customHeight="1">
      <c r="A9" s="8" t="s">
        <v>175</v>
      </c>
      <c r="B9" s="8">
        <v>342.0</v>
      </c>
      <c r="C9" s="8">
        <v>1.0</v>
      </c>
      <c r="H9" s="8">
        <v>1.0</v>
      </c>
      <c r="T9" s="8">
        <v>1.0</v>
      </c>
      <c r="BX9" s="8">
        <v>1.0</v>
      </c>
    </row>
    <row r="10" ht="15.0" customHeight="1">
      <c r="A10" s="8" t="s">
        <v>175</v>
      </c>
      <c r="B10" s="8">
        <v>343.0</v>
      </c>
      <c r="C10" s="8">
        <v>1.0</v>
      </c>
      <c r="H10" s="8">
        <v>1.0</v>
      </c>
      <c r="O10" s="8">
        <v>1.0</v>
      </c>
      <c r="Q10" s="8">
        <v>1.0</v>
      </c>
      <c r="S10" s="8">
        <v>1.0</v>
      </c>
      <c r="T10" s="8">
        <v>1.0</v>
      </c>
      <c r="AE10" s="8">
        <v>1.0</v>
      </c>
      <c r="AP10" s="8">
        <v>1.0</v>
      </c>
      <c r="BG10" s="8">
        <v>1.0</v>
      </c>
      <c r="BL10" s="8">
        <v>1.0</v>
      </c>
      <c r="BN10" s="8">
        <v>1.0</v>
      </c>
      <c r="BQ10" s="8">
        <v>1.0</v>
      </c>
      <c r="BW10" s="8">
        <v>1.0</v>
      </c>
      <c r="BX10" s="8">
        <v>1.0</v>
      </c>
    </row>
    <row r="11" ht="15.0" customHeight="1">
      <c r="A11" s="8" t="s">
        <v>175</v>
      </c>
      <c r="B11" s="8">
        <v>344.0</v>
      </c>
      <c r="C11" s="8">
        <v>1.0</v>
      </c>
      <c r="G11" s="8">
        <v>1.0</v>
      </c>
    </row>
    <row r="12" ht="15.0" customHeight="1">
      <c r="A12" s="8" t="s">
        <v>175</v>
      </c>
      <c r="B12" s="8">
        <v>345.0</v>
      </c>
      <c r="C12" s="8">
        <v>1.0</v>
      </c>
      <c r="H12" s="8">
        <v>1.0</v>
      </c>
      <c r="T12" s="8">
        <v>1.0</v>
      </c>
      <c r="BX12" s="8">
        <v>1.0</v>
      </c>
    </row>
    <row r="13" ht="15.0" customHeight="1">
      <c r="A13" s="8" t="s">
        <v>76</v>
      </c>
      <c r="B13" s="8">
        <v>346.0</v>
      </c>
      <c r="C13" s="8">
        <v>1.0</v>
      </c>
      <c r="G13" s="8">
        <v>1.0</v>
      </c>
      <c r="Q13" s="8">
        <v>1.0</v>
      </c>
      <c r="T13" s="8">
        <v>1.0</v>
      </c>
      <c r="AE13" s="8">
        <v>1.0</v>
      </c>
      <c r="BG13" s="8">
        <v>1.0</v>
      </c>
      <c r="BM13" s="8">
        <v>1.0</v>
      </c>
      <c r="BQ13" s="8">
        <v>1.0</v>
      </c>
    </row>
    <row r="14" ht="15.0" customHeight="1">
      <c r="A14" s="8" t="s">
        <v>76</v>
      </c>
      <c r="B14" s="8">
        <v>347.0</v>
      </c>
      <c r="C14" s="8">
        <v>1.0</v>
      </c>
      <c r="G14" s="8">
        <v>1.0</v>
      </c>
      <c r="L14" s="8">
        <v>1.0</v>
      </c>
      <c r="Q14" s="8">
        <v>1.0</v>
      </c>
      <c r="T14" s="8">
        <v>1.0</v>
      </c>
      <c r="AE14" s="8">
        <v>1.0</v>
      </c>
      <c r="BG14" s="8">
        <v>1.0</v>
      </c>
    </row>
    <row r="15" ht="15.0" customHeight="1">
      <c r="A15" s="8" t="s">
        <v>77</v>
      </c>
      <c r="B15" s="8">
        <v>348.0</v>
      </c>
      <c r="G15" s="8">
        <v>1.0</v>
      </c>
      <c r="H15" s="8">
        <v>1.0</v>
      </c>
      <c r="Q15" s="8">
        <v>1.0</v>
      </c>
      <c r="BG15" s="8">
        <v>1.0</v>
      </c>
    </row>
    <row r="16" ht="15.0" customHeight="1">
      <c r="A16" s="8" t="s">
        <v>79</v>
      </c>
      <c r="B16" s="8">
        <v>349.0</v>
      </c>
      <c r="C16" s="8">
        <v>1.0</v>
      </c>
      <c r="G16" s="8">
        <v>1.0</v>
      </c>
      <c r="H16" s="8">
        <v>1.0</v>
      </c>
      <c r="Q16" s="8">
        <v>1.0</v>
      </c>
      <c r="T16" s="8">
        <v>1.0</v>
      </c>
      <c r="Y16" s="8">
        <v>1.0</v>
      </c>
      <c r="BM16" s="8">
        <v>1.0</v>
      </c>
    </row>
    <row r="17" ht="15.0" customHeight="1">
      <c r="A17" s="8" t="s">
        <v>79</v>
      </c>
      <c r="B17" s="8">
        <v>350.0</v>
      </c>
      <c r="C17" s="8">
        <v>1.0</v>
      </c>
      <c r="Q17" s="8">
        <v>1.0</v>
      </c>
      <c r="BG17" s="8">
        <v>1.0</v>
      </c>
      <c r="CC17" s="8">
        <v>1.0</v>
      </c>
    </row>
    <row r="18" ht="15.0" customHeight="1">
      <c r="A18" s="8" t="s">
        <v>79</v>
      </c>
      <c r="B18" s="8">
        <v>351.0</v>
      </c>
      <c r="C18" s="8">
        <v>1.0</v>
      </c>
      <c r="H18" s="8">
        <v>1.0</v>
      </c>
      <c r="M18" s="8">
        <v>1.0</v>
      </c>
      <c r="Q18" s="8">
        <v>1.0</v>
      </c>
      <c r="AH18" s="8">
        <v>1.0</v>
      </c>
      <c r="BG18" s="8">
        <v>1.0</v>
      </c>
      <c r="BQ18" s="8">
        <v>1.0</v>
      </c>
    </row>
    <row r="19" ht="15.0" customHeight="1">
      <c r="A19" s="8" t="s">
        <v>80</v>
      </c>
      <c r="B19" s="8">
        <v>352.0</v>
      </c>
      <c r="G19" s="8">
        <v>1.0</v>
      </c>
      <c r="H19" s="8">
        <v>1.0</v>
      </c>
      <c r="AE19" s="8">
        <v>1.0</v>
      </c>
      <c r="AU19" s="8">
        <v>1.0</v>
      </c>
      <c r="BG19" s="8">
        <v>1.0</v>
      </c>
      <c r="BM19" s="8">
        <v>1.0</v>
      </c>
      <c r="BO19" s="8">
        <v>1.0</v>
      </c>
    </row>
    <row r="20" ht="15.0" customHeight="1">
      <c r="A20" s="8" t="s">
        <v>80</v>
      </c>
      <c r="B20" s="8">
        <v>353.0</v>
      </c>
      <c r="G20" s="8">
        <v>1.0</v>
      </c>
      <c r="H20" s="8">
        <v>1.0</v>
      </c>
      <c r="BG20" s="8">
        <v>1.0</v>
      </c>
      <c r="BS20" s="8">
        <v>1.0</v>
      </c>
    </row>
    <row r="21" ht="15.0" customHeight="1">
      <c r="A21" s="8" t="s">
        <v>210</v>
      </c>
      <c r="B21" s="8">
        <v>354.0</v>
      </c>
      <c r="C21" s="8">
        <v>1.0</v>
      </c>
    </row>
    <row r="22" ht="15.0" customHeight="1">
      <c r="A22" s="8" t="s">
        <v>83</v>
      </c>
      <c r="B22" s="8">
        <v>355.0</v>
      </c>
      <c r="H22" s="8">
        <v>1.0</v>
      </c>
      <c r="J22" s="8">
        <v>1.0</v>
      </c>
      <c r="T22" s="8">
        <v>1.0</v>
      </c>
      <c r="AE22" s="8">
        <v>1.0</v>
      </c>
      <c r="BG22" s="8">
        <v>1.0</v>
      </c>
    </row>
    <row r="23" ht="15.0" customHeight="1">
      <c r="A23" s="8" t="s">
        <v>83</v>
      </c>
      <c r="B23" s="8">
        <v>356.0</v>
      </c>
      <c r="BG23" s="8">
        <v>1.0</v>
      </c>
    </row>
    <row r="24" ht="15.0" customHeight="1">
      <c r="A24" s="8" t="s">
        <v>214</v>
      </c>
      <c r="B24" s="8">
        <v>357.0</v>
      </c>
      <c r="C24" s="8">
        <v>1.0</v>
      </c>
    </row>
    <row r="25" ht="15.0" customHeight="1">
      <c r="A25" s="8" t="s">
        <v>214</v>
      </c>
      <c r="B25" s="8">
        <v>358.0</v>
      </c>
      <c r="C25" s="8">
        <v>1.0</v>
      </c>
      <c r="G25" s="8">
        <v>1.0</v>
      </c>
      <c r="H25" s="8">
        <v>1.0</v>
      </c>
      <c r="AE25" s="8">
        <v>1.0</v>
      </c>
      <c r="BG25" s="8">
        <v>1.0</v>
      </c>
      <c r="BS25" s="8">
        <v>1.0</v>
      </c>
    </row>
    <row r="26" ht="15.0" customHeight="1">
      <c r="A26" s="8" t="s">
        <v>176</v>
      </c>
      <c r="B26" s="8">
        <v>359.0</v>
      </c>
      <c r="C26" s="8">
        <v>1.0</v>
      </c>
      <c r="I26" s="8">
        <v>1.0</v>
      </c>
      <c r="W26" s="8">
        <v>1.0</v>
      </c>
      <c r="X26" s="8">
        <v>1.0</v>
      </c>
      <c r="AE26" s="8">
        <v>1.0</v>
      </c>
      <c r="BL26" s="8">
        <v>1.0</v>
      </c>
    </row>
    <row r="27" ht="15.0" customHeight="1">
      <c r="A27" s="8" t="s">
        <v>176</v>
      </c>
      <c r="B27" s="8">
        <v>360.0</v>
      </c>
      <c r="C27" s="8">
        <v>1.0</v>
      </c>
      <c r="K27" s="8">
        <v>1.0</v>
      </c>
      <c r="BA27" s="8">
        <v>1.0</v>
      </c>
    </row>
    <row r="28" ht="15.0" customHeight="1">
      <c r="A28" s="8" t="s">
        <v>176</v>
      </c>
      <c r="B28" s="8">
        <v>361.0</v>
      </c>
      <c r="BG28" s="8">
        <v>1.0</v>
      </c>
    </row>
    <row r="29" ht="15.0" customHeight="1">
      <c r="A29" s="8" t="s">
        <v>84</v>
      </c>
      <c r="B29" s="8">
        <v>362.0</v>
      </c>
      <c r="C29" s="8">
        <v>1.0</v>
      </c>
      <c r="AE29" s="8">
        <v>1.0</v>
      </c>
      <c r="BG29" s="8">
        <v>1.0</v>
      </c>
    </row>
    <row r="30" ht="15.0" customHeight="1">
      <c r="A30" s="8" t="s">
        <v>85</v>
      </c>
      <c r="B30" s="8">
        <v>363.0</v>
      </c>
      <c r="G30" s="8">
        <v>1.0</v>
      </c>
      <c r="AE30" s="8">
        <v>1.0</v>
      </c>
      <c r="AR30" s="8">
        <v>1.0</v>
      </c>
      <c r="BS30" s="8">
        <v>1.0</v>
      </c>
    </row>
    <row r="31" ht="15.0" customHeight="1">
      <c r="A31" s="8" t="s">
        <v>85</v>
      </c>
      <c r="B31" s="8">
        <v>364.0</v>
      </c>
      <c r="C31" s="8">
        <v>1.0</v>
      </c>
      <c r="G31" s="8">
        <v>1.0</v>
      </c>
      <c r="AE31" s="8">
        <v>1.0</v>
      </c>
      <c r="BM31" s="8">
        <v>1.0</v>
      </c>
    </row>
    <row r="32" ht="15.0" customHeight="1">
      <c r="A32" s="8" t="s">
        <v>86</v>
      </c>
      <c r="B32" s="8">
        <v>365.0</v>
      </c>
      <c r="C32" s="8">
        <v>1.0</v>
      </c>
      <c r="H32" s="8">
        <v>1.0</v>
      </c>
      <c r="X32" s="8">
        <v>1.0</v>
      </c>
    </row>
    <row r="33" ht="15.0" customHeight="1">
      <c r="A33" s="8" t="s">
        <v>86</v>
      </c>
      <c r="B33" s="8">
        <v>366.0</v>
      </c>
      <c r="C33" s="8">
        <v>1.0</v>
      </c>
    </row>
    <row r="34" ht="15.0" customHeight="1">
      <c r="A34" s="8" t="s">
        <v>88</v>
      </c>
      <c r="B34" s="8">
        <v>367.0</v>
      </c>
      <c r="C34" s="8">
        <v>1.0</v>
      </c>
      <c r="G34" s="8">
        <v>1.0</v>
      </c>
      <c r="H34" s="8">
        <v>1.0</v>
      </c>
      <c r="BA34" s="8">
        <v>1.0</v>
      </c>
      <c r="BG34" s="8">
        <v>1.0</v>
      </c>
      <c r="BM34" s="8">
        <v>1.0</v>
      </c>
      <c r="BU34" s="8">
        <v>1.0</v>
      </c>
    </row>
    <row r="35" ht="15.0" customHeight="1">
      <c r="A35" s="8" t="s">
        <v>89</v>
      </c>
      <c r="B35" s="8">
        <v>368.0</v>
      </c>
      <c r="C35" s="8">
        <v>1.0</v>
      </c>
      <c r="H35" s="8">
        <v>1.0</v>
      </c>
    </row>
    <row r="36" ht="15.0" customHeight="1">
      <c r="A36" s="8" t="s">
        <v>149</v>
      </c>
      <c r="B36" s="8">
        <v>369.0</v>
      </c>
      <c r="C36" s="8">
        <v>1.0</v>
      </c>
      <c r="K36" s="8">
        <v>1.0</v>
      </c>
      <c r="X36" s="8">
        <v>1.0</v>
      </c>
      <c r="BA36" s="8">
        <v>1.0</v>
      </c>
    </row>
    <row r="37" ht="15.0" customHeight="1">
      <c r="A37" s="8" t="s">
        <v>149</v>
      </c>
      <c r="B37" s="8">
        <v>370.0</v>
      </c>
      <c r="C37" s="8">
        <v>1.0</v>
      </c>
      <c r="K37" s="8">
        <v>1.0</v>
      </c>
      <c r="BA37" s="8">
        <v>1.0</v>
      </c>
    </row>
    <row r="38" ht="15.0" customHeight="1">
      <c r="A38" s="8" t="s">
        <v>207</v>
      </c>
      <c r="B38" s="8">
        <v>371.0</v>
      </c>
      <c r="C38" s="8">
        <v>1.0</v>
      </c>
      <c r="BM38" s="8">
        <v>1.0</v>
      </c>
    </row>
    <row r="39" ht="15.0" customHeight="1">
      <c r="A39" s="8" t="s">
        <v>207</v>
      </c>
      <c r="B39" s="8">
        <v>372.0</v>
      </c>
      <c r="C39" s="8">
        <v>1.0</v>
      </c>
      <c r="AE39" s="8">
        <v>1.0</v>
      </c>
      <c r="BM39" s="8">
        <v>1.0</v>
      </c>
    </row>
    <row r="40" ht="15.0" customHeight="1">
      <c r="A40" s="8" t="s">
        <v>207</v>
      </c>
      <c r="B40" s="8">
        <v>373.0</v>
      </c>
      <c r="C40" s="8">
        <v>1.0</v>
      </c>
      <c r="G40" s="8">
        <v>1.0</v>
      </c>
      <c r="H40" s="8">
        <v>1.0</v>
      </c>
      <c r="O40" s="8">
        <v>1.0</v>
      </c>
      <c r="Q40" s="8">
        <v>1.0</v>
      </c>
      <c r="AE40" s="8">
        <v>1.0</v>
      </c>
      <c r="BG40" s="8">
        <v>1.0</v>
      </c>
      <c r="BM40" s="8">
        <v>1.0</v>
      </c>
      <c r="BN40" s="8">
        <v>1.0</v>
      </c>
    </row>
    <row r="41" ht="15.0" customHeight="1">
      <c r="A41" s="8" t="s">
        <v>207</v>
      </c>
      <c r="B41" s="8">
        <v>374.0</v>
      </c>
      <c r="C41" s="8">
        <v>1.0</v>
      </c>
      <c r="G41" s="8">
        <v>1.0</v>
      </c>
      <c r="H41" s="8">
        <v>1.0</v>
      </c>
      <c r="Q41" s="8">
        <v>1.0</v>
      </c>
      <c r="AE41" s="8">
        <v>1.0</v>
      </c>
      <c r="BG41" s="8">
        <v>1.0</v>
      </c>
      <c r="BM41" s="8">
        <v>1.0</v>
      </c>
      <c r="BN41" s="8">
        <v>1.0</v>
      </c>
    </row>
    <row r="42" ht="15.0" customHeight="1">
      <c r="A42" s="8" t="s">
        <v>207</v>
      </c>
      <c r="B42" s="8">
        <v>375.0</v>
      </c>
      <c r="C42" s="8">
        <v>1.0</v>
      </c>
      <c r="G42" s="8">
        <v>1.0</v>
      </c>
      <c r="H42" s="8">
        <v>1.0</v>
      </c>
      <c r="Q42" s="8">
        <v>1.0</v>
      </c>
      <c r="AE42" s="8">
        <v>1.0</v>
      </c>
      <c r="BG42" s="8">
        <v>1.0</v>
      </c>
      <c r="BM42" s="8">
        <v>1.0</v>
      </c>
      <c r="BN42" s="8">
        <v>1.0</v>
      </c>
    </row>
    <row r="43" ht="15.0" customHeight="1">
      <c r="A43" s="8" t="s">
        <v>212</v>
      </c>
      <c r="B43" s="8">
        <v>376.0</v>
      </c>
      <c r="C43" s="8">
        <v>1.0</v>
      </c>
    </row>
    <row r="44" ht="15.0" customHeight="1">
      <c r="A44" s="8" t="s">
        <v>90</v>
      </c>
      <c r="B44" s="8">
        <v>377.0</v>
      </c>
      <c r="G44" s="8">
        <v>1.0</v>
      </c>
      <c r="H44" s="8">
        <v>1.0</v>
      </c>
      <c r="Q44" s="8">
        <v>1.0</v>
      </c>
      <c r="BA44" s="8">
        <v>1.0</v>
      </c>
      <c r="BG44" s="8">
        <v>1.0</v>
      </c>
    </row>
    <row r="45" ht="15.0" customHeight="1">
      <c r="A45" s="8" t="s">
        <v>90</v>
      </c>
      <c r="B45" s="8">
        <v>378.0</v>
      </c>
      <c r="G45" s="8">
        <v>1.0</v>
      </c>
      <c r="AE45" s="8">
        <v>1.0</v>
      </c>
      <c r="AG45" s="8">
        <v>1.0</v>
      </c>
      <c r="BG45" s="8">
        <v>1.0</v>
      </c>
    </row>
    <row r="46" ht="15.0" customHeight="1">
      <c r="A46" s="8" t="s">
        <v>91</v>
      </c>
      <c r="B46" s="8">
        <v>380.0</v>
      </c>
      <c r="C46" s="8">
        <v>1.0</v>
      </c>
      <c r="H46" s="8">
        <v>1.0</v>
      </c>
      <c r="BG46" s="8">
        <v>1.0</v>
      </c>
    </row>
    <row r="47" ht="15.0" customHeight="1">
      <c r="A47" s="8" t="s">
        <v>92</v>
      </c>
      <c r="B47" s="8">
        <v>381.0</v>
      </c>
      <c r="C47" s="8">
        <v>1.0</v>
      </c>
      <c r="G47" s="8">
        <v>1.0</v>
      </c>
      <c r="H47" s="8">
        <v>1.0</v>
      </c>
      <c r="AE47" s="8">
        <v>1.0</v>
      </c>
      <c r="BA47" s="8">
        <v>1.0</v>
      </c>
      <c r="BG47" s="8">
        <v>1.0</v>
      </c>
      <c r="BM47" s="8">
        <v>1.0</v>
      </c>
    </row>
    <row r="48" ht="15.0" customHeight="1">
      <c r="A48" s="8" t="s">
        <v>92</v>
      </c>
      <c r="B48" s="8">
        <v>382.0</v>
      </c>
      <c r="C48" s="8">
        <v>1.0</v>
      </c>
      <c r="H48" s="8">
        <v>1.0</v>
      </c>
      <c r="BA48" s="8">
        <v>1.0</v>
      </c>
    </row>
    <row r="49" ht="15.0" customHeight="1">
      <c r="A49" s="8" t="s">
        <v>92</v>
      </c>
      <c r="B49" s="8">
        <v>383.0</v>
      </c>
      <c r="C49" s="8">
        <v>1.0</v>
      </c>
    </row>
    <row r="50" ht="15.0" customHeight="1">
      <c r="A50" s="8" t="s">
        <v>93</v>
      </c>
      <c r="B50" s="8">
        <v>384.0</v>
      </c>
      <c r="C50" s="8">
        <v>1.0</v>
      </c>
      <c r="L50" s="8">
        <v>1.0</v>
      </c>
    </row>
    <row r="51" ht="15.0" customHeight="1">
      <c r="A51" s="8" t="s">
        <v>93</v>
      </c>
      <c r="B51" s="8">
        <v>385.0</v>
      </c>
      <c r="C51" s="8">
        <v>1.0</v>
      </c>
    </row>
    <row r="52" ht="15.0" customHeight="1">
      <c r="A52" s="8" t="s">
        <v>222</v>
      </c>
      <c r="B52" s="8">
        <v>386.0</v>
      </c>
      <c r="C52" s="8">
        <v>1.0</v>
      </c>
      <c r="AE52" s="8">
        <v>1.0</v>
      </c>
      <c r="BA52" s="8">
        <v>1.0</v>
      </c>
    </row>
    <row r="53" ht="15.0" customHeight="1">
      <c r="A53" s="8" t="s">
        <v>94</v>
      </c>
      <c r="B53" s="8">
        <v>387.0</v>
      </c>
      <c r="C53" s="8">
        <v>1.0</v>
      </c>
      <c r="H53" s="8">
        <v>1.0</v>
      </c>
    </row>
    <row r="54" ht="15.0" customHeight="1">
      <c r="A54" s="8" t="s">
        <v>95</v>
      </c>
      <c r="B54" s="8">
        <v>388.0</v>
      </c>
      <c r="C54" s="8">
        <v>1.0</v>
      </c>
      <c r="AE54" s="8">
        <v>1.0</v>
      </c>
    </row>
    <row r="55" ht="15.0" customHeight="1">
      <c r="A55" s="8" t="s">
        <v>95</v>
      </c>
      <c r="B55" s="8">
        <v>389.0</v>
      </c>
      <c r="C55" s="8">
        <v>1.0</v>
      </c>
      <c r="H55" s="8">
        <v>1.0</v>
      </c>
      <c r="X55" s="8">
        <v>1.0</v>
      </c>
    </row>
    <row r="56" ht="15.0" customHeight="1">
      <c r="A56" s="8" t="s">
        <v>195</v>
      </c>
      <c r="B56" s="8">
        <v>390.0</v>
      </c>
      <c r="C56" s="8">
        <v>1.0</v>
      </c>
      <c r="Q56" s="8">
        <v>1.0</v>
      </c>
      <c r="AP56" s="8">
        <v>1.0</v>
      </c>
      <c r="BM56" s="8">
        <v>1.0</v>
      </c>
    </row>
    <row r="57" ht="15.0" customHeight="1">
      <c r="A57" s="8" t="s">
        <v>96</v>
      </c>
      <c r="B57" s="8">
        <v>391.0</v>
      </c>
      <c r="C57" s="8">
        <v>1.0</v>
      </c>
      <c r="H57" s="8">
        <v>1.0</v>
      </c>
      <c r="X57" s="8">
        <v>1.0</v>
      </c>
      <c r="BG57" s="8">
        <v>1.0</v>
      </c>
      <c r="BN57" s="8">
        <v>1.0</v>
      </c>
    </row>
    <row r="58" ht="15.0" customHeight="1">
      <c r="A58" s="8" t="s">
        <v>96</v>
      </c>
      <c r="B58" s="8">
        <v>392.0</v>
      </c>
      <c r="C58" s="8">
        <v>1.0</v>
      </c>
      <c r="G58" s="8">
        <v>1.0</v>
      </c>
      <c r="H58" s="8">
        <v>1.0</v>
      </c>
      <c r="Q58" s="8">
        <v>1.0</v>
      </c>
      <c r="BA58" s="8">
        <v>1.0</v>
      </c>
      <c r="BG58" s="8">
        <v>1.0</v>
      </c>
      <c r="BM58" s="8">
        <v>1.0</v>
      </c>
      <c r="BN58" s="8">
        <v>1.0</v>
      </c>
      <c r="BX58" s="8">
        <v>1.0</v>
      </c>
    </row>
    <row r="59" ht="15.0" customHeight="1">
      <c r="A59" s="8" t="s">
        <v>96</v>
      </c>
      <c r="B59" s="8">
        <v>393.0</v>
      </c>
      <c r="C59" s="8">
        <v>1.0</v>
      </c>
      <c r="G59" s="8">
        <v>1.0</v>
      </c>
      <c r="H59" s="8">
        <v>1.0</v>
      </c>
      <c r="Q59" s="8">
        <v>1.0</v>
      </c>
      <c r="X59" s="8">
        <v>1.0</v>
      </c>
      <c r="BN59" s="8">
        <v>1.0</v>
      </c>
      <c r="CI59" s="8">
        <v>1.0</v>
      </c>
    </row>
    <row r="60" ht="15.0" customHeight="1">
      <c r="A60" s="8" t="s">
        <v>96</v>
      </c>
      <c r="B60" s="8">
        <v>394.0</v>
      </c>
      <c r="C60" s="8">
        <v>1.0</v>
      </c>
      <c r="G60" s="8">
        <v>1.0</v>
      </c>
      <c r="X60" s="8">
        <v>1.0</v>
      </c>
      <c r="AE60" s="8">
        <v>1.0</v>
      </c>
      <c r="BG60" s="8">
        <v>1.0</v>
      </c>
    </row>
    <row r="61" ht="15.0" customHeight="1">
      <c r="A61" s="8" t="s">
        <v>96</v>
      </c>
      <c r="B61" s="8">
        <v>395.0</v>
      </c>
      <c r="C61" s="8">
        <v>1.0</v>
      </c>
    </row>
    <row r="62" ht="15.0" customHeight="1">
      <c r="A62" s="8" t="s">
        <v>179</v>
      </c>
      <c r="B62" s="8">
        <v>396.0</v>
      </c>
      <c r="H62" s="8">
        <v>1.0</v>
      </c>
      <c r="K62" s="8">
        <v>1.0</v>
      </c>
      <c r="X62" s="8">
        <v>1.0</v>
      </c>
      <c r="BL62" s="8">
        <v>1.0</v>
      </c>
      <c r="BN62" s="8">
        <v>1.0</v>
      </c>
      <c r="BS62" s="8">
        <v>1.0</v>
      </c>
    </row>
    <row r="63" ht="15.0" customHeight="1">
      <c r="A63" s="8" t="s">
        <v>98</v>
      </c>
      <c r="B63" s="8">
        <v>397.0</v>
      </c>
      <c r="C63" s="8">
        <v>1.0</v>
      </c>
      <c r="H63" s="8">
        <v>1.0</v>
      </c>
      <c r="J63" s="8">
        <v>1.0</v>
      </c>
      <c r="BG63" s="8">
        <v>1.0</v>
      </c>
      <c r="BK63" s="8">
        <v>1.0</v>
      </c>
      <c r="BN63" s="8">
        <v>1.0</v>
      </c>
      <c r="CF63" s="8">
        <v>1.0</v>
      </c>
    </row>
    <row r="64" ht="15.0" customHeight="1">
      <c r="A64" s="8" t="s">
        <v>213</v>
      </c>
      <c r="B64" s="8">
        <v>398.0</v>
      </c>
      <c r="C64" s="8">
        <v>1.0</v>
      </c>
    </row>
    <row r="65" ht="15.0" customHeight="1">
      <c r="A65" s="8" t="s">
        <v>97</v>
      </c>
      <c r="B65" s="8">
        <v>401.0</v>
      </c>
      <c r="C65" s="8">
        <v>1.0</v>
      </c>
      <c r="BN65" s="8">
        <v>1.0</v>
      </c>
    </row>
    <row r="66" ht="15.0" customHeight="1">
      <c r="A66" s="8" t="s">
        <v>380</v>
      </c>
      <c r="B66" s="8">
        <v>402.0</v>
      </c>
      <c r="C66" s="8">
        <v>1.0</v>
      </c>
      <c r="H66" s="8">
        <v>1.0</v>
      </c>
      <c r="X66" s="8">
        <v>1.0</v>
      </c>
      <c r="AW66" s="8">
        <v>1.0</v>
      </c>
      <c r="BM66" s="8">
        <v>1.0</v>
      </c>
      <c r="BN66" s="8">
        <v>1.0</v>
      </c>
    </row>
    <row r="67" ht="15.0" customHeight="1">
      <c r="A67" s="8" t="s">
        <v>100</v>
      </c>
      <c r="B67" s="8">
        <v>403.0</v>
      </c>
      <c r="C67" s="8">
        <v>1.0</v>
      </c>
    </row>
    <row r="68" ht="15.0" customHeight="1">
      <c r="A68" s="8" t="s">
        <v>100</v>
      </c>
      <c r="B68" s="8">
        <v>404.0</v>
      </c>
      <c r="C68" s="8">
        <v>1.0</v>
      </c>
      <c r="BB68" s="8">
        <v>1.0</v>
      </c>
      <c r="BV68" s="8">
        <v>1.0</v>
      </c>
    </row>
    <row r="69" ht="15.0" customHeight="1">
      <c r="A69" s="8" t="s">
        <v>102</v>
      </c>
      <c r="B69" s="8">
        <v>406.0</v>
      </c>
      <c r="C69" s="8">
        <v>1.0</v>
      </c>
      <c r="X69" s="8">
        <v>1.0</v>
      </c>
      <c r="AE69" s="8">
        <v>1.0</v>
      </c>
      <c r="BA69" s="8">
        <v>1.0</v>
      </c>
      <c r="BM69" s="8">
        <v>1.0</v>
      </c>
      <c r="BN69" s="8">
        <v>1.0</v>
      </c>
    </row>
    <row r="70" ht="15.0" customHeight="1">
      <c r="A70" s="8" t="s">
        <v>146</v>
      </c>
      <c r="B70" s="8">
        <v>407.0</v>
      </c>
      <c r="H70" s="8">
        <v>1.0</v>
      </c>
      <c r="BQ70" s="8">
        <v>1.0</v>
      </c>
    </row>
    <row r="71" ht="15.0" customHeight="1">
      <c r="A71" s="8" t="s">
        <v>103</v>
      </c>
      <c r="B71" s="8">
        <v>408.0</v>
      </c>
      <c r="C71" s="8">
        <v>1.0</v>
      </c>
      <c r="K71" s="8">
        <v>1.0</v>
      </c>
    </row>
    <row r="72" ht="15.0" customHeight="1">
      <c r="A72" s="8" t="s">
        <v>103</v>
      </c>
      <c r="B72" s="8">
        <v>409.0</v>
      </c>
      <c r="C72" s="8">
        <v>1.0</v>
      </c>
      <c r="BN72" s="8">
        <v>1.0</v>
      </c>
    </row>
    <row r="73" ht="15.0" customHeight="1">
      <c r="A73" s="8" t="s">
        <v>201</v>
      </c>
      <c r="B73" s="8">
        <v>410.0</v>
      </c>
      <c r="C73" s="8">
        <v>1.0</v>
      </c>
      <c r="G73" s="8">
        <v>1.0</v>
      </c>
      <c r="H73" s="8">
        <v>1.0</v>
      </c>
      <c r="Q73" s="8">
        <v>1.0</v>
      </c>
      <c r="BG73" s="8">
        <v>1.0</v>
      </c>
      <c r="BS73" s="8">
        <v>1.0</v>
      </c>
    </row>
    <row r="74" ht="15.0" customHeight="1">
      <c r="A74" s="8" t="s">
        <v>105</v>
      </c>
      <c r="B74" s="8">
        <v>411.0</v>
      </c>
      <c r="C74" s="8">
        <v>1.0</v>
      </c>
      <c r="G74" s="8">
        <v>1.0</v>
      </c>
      <c r="H74" s="8">
        <v>1.0</v>
      </c>
      <c r="K74" s="8">
        <v>1.0</v>
      </c>
      <c r="U74" s="8">
        <v>1.0</v>
      </c>
      <c r="BG74" s="8">
        <v>1.0</v>
      </c>
      <c r="BX74" s="8">
        <v>1.0</v>
      </c>
      <c r="CC74" s="8">
        <v>1.0</v>
      </c>
    </row>
    <row r="75" ht="15.0" customHeight="1">
      <c r="A75" s="8" t="s">
        <v>105</v>
      </c>
      <c r="B75" s="8">
        <v>412.0</v>
      </c>
      <c r="C75" s="8">
        <v>1.0</v>
      </c>
      <c r="BG75" s="8">
        <v>1.0</v>
      </c>
    </row>
    <row r="76" ht="15.0" customHeight="1">
      <c r="A76" s="8" t="s">
        <v>105</v>
      </c>
      <c r="B76" s="8">
        <v>413.0</v>
      </c>
      <c r="C76" s="8">
        <v>1.0</v>
      </c>
      <c r="K76" s="8">
        <v>1.0</v>
      </c>
    </row>
    <row r="77" ht="15.0" customHeight="1">
      <c r="A77" s="8" t="s">
        <v>209</v>
      </c>
      <c r="B77" s="8">
        <v>414.0</v>
      </c>
      <c r="C77" s="8">
        <v>1.0</v>
      </c>
      <c r="H77" s="8">
        <v>1.0</v>
      </c>
      <c r="AW77" s="8">
        <v>1.0</v>
      </c>
      <c r="BG77" s="8">
        <v>1.0</v>
      </c>
      <c r="BN77" s="8">
        <v>1.0</v>
      </c>
      <c r="BY77" s="8">
        <v>1.0</v>
      </c>
    </row>
    <row r="78" ht="15.0" customHeight="1">
      <c r="A78" s="8" t="s">
        <v>209</v>
      </c>
      <c r="B78" s="8">
        <v>415.0</v>
      </c>
      <c r="C78" s="8">
        <v>1.0</v>
      </c>
      <c r="K78" s="8">
        <v>1.0</v>
      </c>
      <c r="BA78" s="8">
        <v>1.0</v>
      </c>
      <c r="BG78" s="8">
        <v>1.0</v>
      </c>
      <c r="BN78" s="8">
        <v>1.0</v>
      </c>
    </row>
    <row r="79" ht="15.0" customHeight="1">
      <c r="A79" s="8" t="s">
        <v>217</v>
      </c>
      <c r="B79" s="8">
        <v>416.0</v>
      </c>
      <c r="C79" s="8">
        <v>1.0</v>
      </c>
      <c r="BA79" s="8">
        <v>1.0</v>
      </c>
    </row>
    <row r="80" ht="15.0" customHeight="1">
      <c r="A80" s="8" t="s">
        <v>217</v>
      </c>
      <c r="B80" s="8">
        <v>417.0</v>
      </c>
      <c r="C80" s="8">
        <v>1.0</v>
      </c>
      <c r="H80" s="8">
        <v>1.0</v>
      </c>
      <c r="AE80" s="8">
        <v>1.0</v>
      </c>
      <c r="BA80" s="8">
        <v>1.0</v>
      </c>
    </row>
    <row r="81" ht="15.0" customHeight="1">
      <c r="A81" s="8" t="s">
        <v>217</v>
      </c>
      <c r="B81" s="8">
        <v>418.0</v>
      </c>
      <c r="C81" s="8">
        <v>1.0</v>
      </c>
      <c r="AE81" s="8">
        <v>1.0</v>
      </c>
      <c r="BA81" s="8">
        <v>1.0</v>
      </c>
    </row>
    <row r="82" ht="15.0" customHeight="1">
      <c r="A82" s="8" t="s">
        <v>217</v>
      </c>
      <c r="B82" s="8">
        <v>419.0</v>
      </c>
      <c r="C82" s="8">
        <v>1.0</v>
      </c>
    </row>
    <row r="83" ht="15.0" customHeight="1">
      <c r="A83" s="8" t="s">
        <v>217</v>
      </c>
      <c r="B83" s="8">
        <v>420.0</v>
      </c>
      <c r="C83" s="8">
        <v>1.0</v>
      </c>
      <c r="G83" s="8">
        <v>1.0</v>
      </c>
      <c r="K83" s="8">
        <v>1.0</v>
      </c>
      <c r="BG83" s="8">
        <v>1.0</v>
      </c>
    </row>
    <row r="84" ht="15.0" customHeight="1">
      <c r="A84" s="8" t="s">
        <v>107</v>
      </c>
      <c r="B84" s="8">
        <v>421.0</v>
      </c>
      <c r="C84" s="8">
        <v>1.0</v>
      </c>
      <c r="T84" s="8">
        <v>1.0</v>
      </c>
      <c r="U84" s="8">
        <v>1.0</v>
      </c>
      <c r="AE84" s="8">
        <v>1.0</v>
      </c>
      <c r="BG84" s="8">
        <v>1.0</v>
      </c>
    </row>
    <row r="85" ht="15.0" customHeight="1">
      <c r="A85" s="8" t="s">
        <v>107</v>
      </c>
      <c r="B85" s="8">
        <v>422.0</v>
      </c>
      <c r="C85" s="8">
        <v>1.0</v>
      </c>
      <c r="G85" s="8">
        <v>1.0</v>
      </c>
      <c r="U85" s="8">
        <v>1.0</v>
      </c>
      <c r="X85" s="8">
        <v>1.0</v>
      </c>
      <c r="AE85" s="8">
        <v>1.0</v>
      </c>
      <c r="BA85" s="8">
        <v>1.0</v>
      </c>
      <c r="BG85" s="8">
        <v>1.0</v>
      </c>
    </row>
    <row r="86" ht="15.0" customHeight="1">
      <c r="A86" s="8" t="s">
        <v>221</v>
      </c>
      <c r="B86" s="8">
        <v>423.0</v>
      </c>
      <c r="C86" s="8">
        <v>1.0</v>
      </c>
      <c r="BA86" s="8">
        <v>1.0</v>
      </c>
      <c r="BN86" s="8">
        <v>1.0</v>
      </c>
    </row>
    <row r="87" ht="15.0" customHeight="1">
      <c r="A87" s="8" t="s">
        <v>221</v>
      </c>
      <c r="B87" s="8">
        <v>424.0</v>
      </c>
      <c r="C87" s="8">
        <v>1.0</v>
      </c>
      <c r="G87" s="8">
        <v>1.0</v>
      </c>
      <c r="H87" s="8">
        <v>1.0</v>
      </c>
      <c r="BM87" s="8">
        <v>1.0</v>
      </c>
      <c r="BN87" s="8">
        <v>1.0</v>
      </c>
    </row>
    <row r="88" ht="15.0" customHeight="1">
      <c r="A88" s="8" t="s">
        <v>221</v>
      </c>
      <c r="B88" s="8">
        <v>425.0</v>
      </c>
      <c r="C88" s="8">
        <v>1.0</v>
      </c>
      <c r="G88" s="8">
        <v>1.0</v>
      </c>
      <c r="H88" s="8">
        <v>1.0</v>
      </c>
      <c r="BN88" s="8">
        <v>1.0</v>
      </c>
    </row>
    <row r="89" ht="15.0" customHeight="1">
      <c r="A89" s="8" t="s">
        <v>221</v>
      </c>
      <c r="B89" s="8">
        <v>426.0</v>
      </c>
      <c r="C89" s="8">
        <v>1.0</v>
      </c>
      <c r="K89" s="8">
        <v>1.0</v>
      </c>
    </row>
    <row r="90" ht="15.0" customHeight="1">
      <c r="A90" s="8" t="s">
        <v>108</v>
      </c>
      <c r="B90" s="8">
        <v>427.0</v>
      </c>
      <c r="AE90" s="8">
        <v>1.0</v>
      </c>
      <c r="BS90" s="8">
        <v>1.0</v>
      </c>
      <c r="CG90" s="8">
        <v>1.0</v>
      </c>
    </row>
    <row r="91" ht="15.0" customHeight="1">
      <c r="A91" s="8" t="s">
        <v>109</v>
      </c>
      <c r="B91" s="8">
        <v>428.0</v>
      </c>
      <c r="C91" s="8">
        <v>1.0</v>
      </c>
      <c r="H91" s="8">
        <v>1.0</v>
      </c>
      <c r="W91" s="8">
        <v>1.0</v>
      </c>
      <c r="BL91" s="8">
        <v>1.0</v>
      </c>
    </row>
    <row r="92" ht="15.0" customHeight="1">
      <c r="A92" s="8" t="s">
        <v>110</v>
      </c>
      <c r="B92" s="8">
        <v>429.0</v>
      </c>
      <c r="C92" s="8">
        <v>1.0</v>
      </c>
      <c r="Q92" s="8">
        <v>1.0</v>
      </c>
      <c r="X92" s="8">
        <v>1.0</v>
      </c>
      <c r="AA92" s="8">
        <v>1.0</v>
      </c>
      <c r="AE92" s="8">
        <v>1.0</v>
      </c>
      <c r="BG92" s="8">
        <v>1.0</v>
      </c>
      <c r="BQ92" s="8">
        <v>1.0</v>
      </c>
    </row>
    <row r="93" ht="15.0" customHeight="1">
      <c r="A93" s="8" t="s">
        <v>110</v>
      </c>
      <c r="B93" s="8">
        <v>430.0</v>
      </c>
      <c r="C93" s="8">
        <v>1.0</v>
      </c>
      <c r="G93" s="8">
        <v>1.0</v>
      </c>
      <c r="L93" s="8">
        <v>1.0</v>
      </c>
      <c r="Q93" s="8">
        <v>1.0</v>
      </c>
      <c r="Y93" s="8">
        <v>1.0</v>
      </c>
      <c r="AE93" s="8">
        <v>1.0</v>
      </c>
      <c r="BG93" s="8">
        <v>1.0</v>
      </c>
    </row>
    <row r="94" ht="15.0" customHeight="1">
      <c r="A94" s="8" t="s">
        <v>110</v>
      </c>
      <c r="B94" s="8">
        <v>431.0</v>
      </c>
      <c r="C94" s="8">
        <v>1.0</v>
      </c>
      <c r="AZ94" s="8">
        <v>1.0</v>
      </c>
      <c r="BP94" s="8">
        <v>1.0</v>
      </c>
    </row>
    <row r="95" ht="15.0" customHeight="1">
      <c r="A95" s="8" t="s">
        <v>196</v>
      </c>
      <c r="B95" s="8">
        <v>432.0</v>
      </c>
      <c r="C95" s="8">
        <v>1.0</v>
      </c>
      <c r="K95" s="8">
        <v>1.0</v>
      </c>
    </row>
    <row r="96" ht="15.0" customHeight="1">
      <c r="A96" s="8" t="s">
        <v>196</v>
      </c>
      <c r="B96" s="8">
        <v>433.0</v>
      </c>
      <c r="C96" s="8">
        <v>1.0</v>
      </c>
      <c r="BG96" s="8">
        <v>1.0</v>
      </c>
    </row>
    <row r="97" ht="15.0" customHeight="1">
      <c r="A97" s="8" t="s">
        <v>196</v>
      </c>
      <c r="B97" s="8">
        <v>434.0</v>
      </c>
      <c r="C97" s="8">
        <v>1.0</v>
      </c>
      <c r="BG97" s="8">
        <v>1.0</v>
      </c>
    </row>
    <row r="98" ht="15.0" customHeight="1">
      <c r="A98" s="8" t="s">
        <v>112</v>
      </c>
      <c r="B98" s="8">
        <v>435.0</v>
      </c>
      <c r="C98" s="8">
        <v>1.0</v>
      </c>
      <c r="H98" s="8">
        <v>1.0</v>
      </c>
      <c r="S98" s="8">
        <v>1.0</v>
      </c>
    </row>
    <row r="99" ht="15.0" customHeight="1">
      <c r="A99" s="8" t="s">
        <v>112</v>
      </c>
      <c r="B99" s="8">
        <v>436.0</v>
      </c>
      <c r="C99" s="8">
        <v>1.0</v>
      </c>
      <c r="J99" s="8">
        <v>1.0</v>
      </c>
      <c r="BB99" s="8">
        <v>1.0</v>
      </c>
      <c r="BE99" s="8">
        <v>1.0</v>
      </c>
      <c r="BG99" s="8">
        <v>1.0</v>
      </c>
      <c r="BN99" s="8">
        <v>1.0</v>
      </c>
      <c r="BV99" s="8">
        <v>1.0</v>
      </c>
    </row>
    <row r="100" ht="15.0" customHeight="1">
      <c r="A100" s="8" t="s">
        <v>114</v>
      </c>
      <c r="B100" s="8">
        <v>438.0</v>
      </c>
      <c r="C100" s="8">
        <v>1.0</v>
      </c>
      <c r="L100" s="8">
        <v>1.0</v>
      </c>
      <c r="Y100" s="8">
        <v>1.0</v>
      </c>
    </row>
    <row r="101" ht="15.0" customHeight="1">
      <c r="A101" s="8" t="s">
        <v>114</v>
      </c>
      <c r="B101" s="8">
        <v>439.0</v>
      </c>
      <c r="C101" s="8">
        <v>1.0</v>
      </c>
      <c r="BG101" s="8">
        <v>1.0</v>
      </c>
    </row>
    <row r="102" ht="15.0" customHeight="1">
      <c r="A102" s="8" t="s">
        <v>211</v>
      </c>
      <c r="B102" s="8">
        <v>440.0</v>
      </c>
      <c r="C102" s="8">
        <v>1.0</v>
      </c>
      <c r="BG102" s="8">
        <v>1.0</v>
      </c>
    </row>
    <row r="103" ht="15.0" customHeight="1">
      <c r="A103" s="8" t="s">
        <v>211</v>
      </c>
      <c r="B103" s="8">
        <v>441.0</v>
      </c>
      <c r="C103" s="8">
        <v>1.0</v>
      </c>
      <c r="H103" s="8">
        <v>1.0</v>
      </c>
    </row>
    <row r="104" ht="15.0" customHeight="1">
      <c r="A104" s="8" t="s">
        <v>211</v>
      </c>
      <c r="B104" s="8">
        <v>442.0</v>
      </c>
      <c r="C104" s="8">
        <v>1.0</v>
      </c>
      <c r="O104" s="8">
        <v>1.0</v>
      </c>
      <c r="BG104" s="8">
        <v>1.0</v>
      </c>
      <c r="BP104" s="8">
        <v>1.0</v>
      </c>
      <c r="CI104" s="8">
        <v>1.0</v>
      </c>
    </row>
    <row r="105" ht="15.0" customHeight="1">
      <c r="A105" s="8" t="s">
        <v>115</v>
      </c>
      <c r="B105" s="8">
        <v>443.0</v>
      </c>
      <c r="J105" s="8">
        <v>1.0</v>
      </c>
      <c r="BG105" s="8">
        <v>1.0</v>
      </c>
      <c r="BO105" s="8">
        <v>1.0</v>
      </c>
      <c r="BQ105" s="8">
        <v>1.0</v>
      </c>
    </row>
    <row r="106" ht="15.0" customHeight="1">
      <c r="A106" s="8" t="s">
        <v>203</v>
      </c>
      <c r="B106" s="8">
        <v>444.0</v>
      </c>
      <c r="C106" s="8">
        <v>1.0</v>
      </c>
      <c r="BG106" s="8">
        <v>1.0</v>
      </c>
      <c r="BM106" s="8">
        <v>1.0</v>
      </c>
      <c r="CJ106" s="8">
        <v>1.0</v>
      </c>
    </row>
    <row r="107" ht="15.0" customHeight="1">
      <c r="A107" s="8" t="s">
        <v>116</v>
      </c>
      <c r="B107" s="8">
        <v>445.0</v>
      </c>
      <c r="C107" s="8">
        <v>1.0</v>
      </c>
      <c r="Q107" s="8">
        <v>1.0</v>
      </c>
      <c r="BM107" s="8">
        <v>1.0</v>
      </c>
    </row>
    <row r="108" ht="15.0" customHeight="1">
      <c r="A108" s="8" t="s">
        <v>116</v>
      </c>
      <c r="B108" s="8">
        <v>446.0</v>
      </c>
      <c r="C108" s="8">
        <v>1.0</v>
      </c>
      <c r="BN108" s="8">
        <v>1.0</v>
      </c>
    </row>
    <row r="109" ht="15.0" customHeight="1">
      <c r="A109" s="8" t="s">
        <v>223</v>
      </c>
      <c r="B109" s="8">
        <v>447.0</v>
      </c>
      <c r="C109" s="8">
        <v>1.0</v>
      </c>
    </row>
    <row r="110" ht="15.0" customHeight="1">
      <c r="A110" s="8" t="s">
        <v>223</v>
      </c>
      <c r="B110" s="8">
        <v>448.0</v>
      </c>
      <c r="C110" s="8">
        <v>1.0</v>
      </c>
      <c r="H110" s="8">
        <v>1.0</v>
      </c>
      <c r="Y110" s="8">
        <v>1.0</v>
      </c>
      <c r="BG110" s="8">
        <v>1.0</v>
      </c>
    </row>
    <row r="111" ht="15.0" customHeight="1">
      <c r="A111" s="8" t="s">
        <v>223</v>
      </c>
      <c r="B111" s="8">
        <v>449.0</v>
      </c>
      <c r="C111" s="8">
        <v>1.0</v>
      </c>
      <c r="H111" s="8">
        <v>1.0</v>
      </c>
      <c r="K111" s="8">
        <v>1.0</v>
      </c>
      <c r="BG111" s="8">
        <v>1.0</v>
      </c>
    </row>
    <row r="112" ht="15.0" customHeight="1">
      <c r="A112" s="8" t="s">
        <v>118</v>
      </c>
      <c r="B112" s="8">
        <v>450.0</v>
      </c>
      <c r="C112" s="8">
        <v>1.0</v>
      </c>
      <c r="BP112" s="8">
        <v>1.0</v>
      </c>
    </row>
    <row r="113" ht="15.0" customHeight="1">
      <c r="A113" s="8" t="s">
        <v>118</v>
      </c>
      <c r="B113" s="8">
        <v>451.0</v>
      </c>
      <c r="C113" s="8">
        <v>1.0</v>
      </c>
      <c r="H113" s="8">
        <v>1.0</v>
      </c>
      <c r="BA113" s="8">
        <v>1.0</v>
      </c>
      <c r="BG113" s="8">
        <v>1.0</v>
      </c>
      <c r="BQ113" s="8">
        <v>1.0</v>
      </c>
    </row>
    <row r="114" ht="15.0" customHeight="1">
      <c r="A114" s="8" t="s">
        <v>118</v>
      </c>
      <c r="B114" s="8">
        <v>452.0</v>
      </c>
      <c r="C114" s="8">
        <v>1.0</v>
      </c>
    </row>
    <row r="115" ht="15.0" customHeight="1">
      <c r="A115" s="8" t="s">
        <v>118</v>
      </c>
      <c r="B115" s="8">
        <v>453.0</v>
      </c>
      <c r="C115" s="8">
        <v>1.0</v>
      </c>
      <c r="AZ115" s="8">
        <v>1.0</v>
      </c>
    </row>
    <row r="116" ht="15.0" customHeight="1">
      <c r="A116" s="8" t="s">
        <v>118</v>
      </c>
      <c r="B116" s="8">
        <v>454.0</v>
      </c>
      <c r="C116" s="8">
        <v>1.0</v>
      </c>
      <c r="H116" s="8">
        <v>1.0</v>
      </c>
      <c r="Q116" s="8">
        <v>1.0</v>
      </c>
      <c r="AZ116" s="8">
        <v>1.0</v>
      </c>
    </row>
    <row r="117" ht="15.0" customHeight="1">
      <c r="A117" s="8" t="s">
        <v>118</v>
      </c>
      <c r="B117" s="8">
        <v>455.0</v>
      </c>
      <c r="C117" s="8">
        <v>1.0</v>
      </c>
      <c r="H117" s="8">
        <v>1.0</v>
      </c>
      <c r="Q117" s="8">
        <v>1.0</v>
      </c>
      <c r="BN117" s="8">
        <v>1.0</v>
      </c>
      <c r="BQ117" s="8">
        <v>1.0</v>
      </c>
    </row>
    <row r="118" ht="15.0" customHeight="1">
      <c r="A118" s="8" t="s">
        <v>119</v>
      </c>
      <c r="B118" s="8">
        <v>456.0</v>
      </c>
      <c r="G118" s="8">
        <v>1.0</v>
      </c>
      <c r="H118" s="8">
        <v>1.0</v>
      </c>
      <c r="Q118" s="8">
        <v>1.0</v>
      </c>
      <c r="R118" s="8">
        <v>1.0</v>
      </c>
      <c r="Y118" s="8">
        <v>1.0</v>
      </c>
      <c r="AG118" s="8">
        <v>1.0</v>
      </c>
      <c r="AS118" s="8">
        <v>1.0</v>
      </c>
      <c r="AY118" s="8">
        <v>1.0</v>
      </c>
      <c r="BB118" s="8">
        <v>1.0</v>
      </c>
    </row>
    <row r="119" ht="15.0" customHeight="1">
      <c r="A119" s="8" t="s">
        <v>120</v>
      </c>
      <c r="B119" s="8">
        <v>457.0</v>
      </c>
      <c r="C119" s="8">
        <v>1.0</v>
      </c>
      <c r="BM119" s="8">
        <v>1.0</v>
      </c>
    </row>
    <row r="120" ht="15.0" customHeight="1">
      <c r="A120" s="8" t="s">
        <v>120</v>
      </c>
      <c r="B120" s="8">
        <v>458.0</v>
      </c>
      <c r="C120" s="8">
        <v>1.0</v>
      </c>
      <c r="G120" s="8">
        <v>1.0</v>
      </c>
      <c r="H120" s="8">
        <v>1.0</v>
      </c>
      <c r="Q120" s="8">
        <v>1.0</v>
      </c>
      <c r="X120" s="8">
        <v>1.0</v>
      </c>
      <c r="AH120" s="8">
        <v>1.0</v>
      </c>
      <c r="BQ120" s="8">
        <v>1.0</v>
      </c>
      <c r="CB120" s="8">
        <v>1.0</v>
      </c>
      <c r="CH120" s="8">
        <v>1.0</v>
      </c>
    </row>
    <row r="121" ht="15.0" customHeight="1">
      <c r="A121" s="8" t="s">
        <v>120</v>
      </c>
      <c r="B121" s="8">
        <v>459.0</v>
      </c>
      <c r="C121" s="8">
        <v>1.0</v>
      </c>
    </row>
    <row r="122" ht="15.0" customHeight="1">
      <c r="A122" s="8" t="s">
        <v>120</v>
      </c>
      <c r="B122" s="8">
        <v>460.0</v>
      </c>
      <c r="C122" s="8">
        <v>1.0</v>
      </c>
      <c r="G122" s="8">
        <v>1.0</v>
      </c>
      <c r="H122" s="8">
        <v>1.0</v>
      </c>
      <c r="I122" s="8">
        <v>1.0</v>
      </c>
      <c r="N122" s="8">
        <v>1.0</v>
      </c>
      <c r="X122" s="8">
        <v>1.0</v>
      </c>
      <c r="Z122" s="8">
        <v>1.0</v>
      </c>
      <c r="AH122" s="8">
        <v>1.0</v>
      </c>
      <c r="AY122" s="8">
        <v>1.0</v>
      </c>
      <c r="BN122" s="8">
        <v>1.0</v>
      </c>
      <c r="BQ122" s="8">
        <v>1.0</v>
      </c>
    </row>
    <row r="123" ht="15.0" customHeight="1">
      <c r="A123" s="8" t="s">
        <v>121</v>
      </c>
      <c r="B123" s="8">
        <v>461.0</v>
      </c>
      <c r="C123" s="8">
        <v>1.0</v>
      </c>
      <c r="H123" s="8">
        <v>1.0</v>
      </c>
      <c r="BN123" s="8">
        <v>1.0</v>
      </c>
    </row>
    <row r="124" ht="15.0" customHeight="1">
      <c r="A124" s="8" t="s">
        <v>121</v>
      </c>
      <c r="B124" s="8">
        <v>462.0</v>
      </c>
      <c r="C124" s="8">
        <v>1.0</v>
      </c>
      <c r="H124" s="8">
        <v>1.0</v>
      </c>
      <c r="X124" s="8">
        <v>1.0</v>
      </c>
      <c r="BN124" s="8">
        <v>1.0</v>
      </c>
      <c r="BQ124" s="8">
        <v>1.0</v>
      </c>
    </row>
    <row r="125" ht="15.0" customHeight="1">
      <c r="A125" s="8" t="s">
        <v>121</v>
      </c>
      <c r="B125" s="8">
        <v>463.0</v>
      </c>
      <c r="C125" s="8">
        <v>1.0</v>
      </c>
      <c r="BN125" s="8">
        <v>1.0</v>
      </c>
    </row>
    <row r="126" ht="15.0" customHeight="1">
      <c r="A126" s="8" t="s">
        <v>122</v>
      </c>
      <c r="B126" s="8">
        <v>464.0</v>
      </c>
      <c r="C126" s="8">
        <v>1.0</v>
      </c>
      <c r="G126" s="8">
        <v>1.0</v>
      </c>
      <c r="H126" s="8">
        <v>1.0</v>
      </c>
      <c r="X126" s="8">
        <v>1.0</v>
      </c>
      <c r="AE126" s="8">
        <v>1.0</v>
      </c>
      <c r="BG126" s="8">
        <v>1.0</v>
      </c>
      <c r="BQ126" s="8">
        <v>1.0</v>
      </c>
      <c r="CH126" s="8">
        <v>1.0</v>
      </c>
    </row>
    <row r="127" ht="15.0" customHeight="1">
      <c r="A127" s="8" t="s">
        <v>122</v>
      </c>
      <c r="B127" s="8">
        <v>465.0</v>
      </c>
      <c r="C127" s="8">
        <v>1.0</v>
      </c>
      <c r="BP127" s="8">
        <v>1.0</v>
      </c>
    </row>
    <row r="128" ht="15.0" customHeight="1">
      <c r="A128" s="8" t="s">
        <v>122</v>
      </c>
      <c r="B128" s="8">
        <v>466.0</v>
      </c>
      <c r="C128" s="8">
        <v>1.0</v>
      </c>
      <c r="G128" s="8">
        <v>1.0</v>
      </c>
      <c r="H128" s="8">
        <v>1.0</v>
      </c>
      <c r="AE128" s="8">
        <v>1.0</v>
      </c>
      <c r="BG128" s="8">
        <v>1.0</v>
      </c>
      <c r="BN128" s="8">
        <v>1.0</v>
      </c>
    </row>
    <row r="129" ht="15.0" customHeight="1">
      <c r="A129" s="8" t="s">
        <v>122</v>
      </c>
      <c r="B129" s="8">
        <v>467.0</v>
      </c>
      <c r="C129" s="8">
        <v>1.0</v>
      </c>
      <c r="BN129" s="8">
        <v>1.0</v>
      </c>
    </row>
    <row r="130" ht="15.0" customHeight="1">
      <c r="A130" s="8" t="s">
        <v>122</v>
      </c>
      <c r="B130" s="8">
        <v>468.0</v>
      </c>
      <c r="C130" s="8">
        <v>1.0</v>
      </c>
    </row>
    <row r="131" ht="15.0" customHeight="1">
      <c r="A131" s="8" t="s">
        <v>124</v>
      </c>
      <c r="B131" s="8">
        <v>469.0</v>
      </c>
      <c r="BN131" s="8">
        <v>1.0</v>
      </c>
    </row>
    <row r="132" ht="15.0" customHeight="1">
      <c r="A132" s="8" t="s">
        <v>186</v>
      </c>
      <c r="B132" s="8">
        <v>470.0</v>
      </c>
      <c r="C132" s="8">
        <v>1.0</v>
      </c>
      <c r="G132" s="8">
        <v>1.0</v>
      </c>
      <c r="H132" s="8">
        <v>1.0</v>
      </c>
      <c r="U132" s="8">
        <v>1.0</v>
      </c>
      <c r="AE132" s="8">
        <v>1.0</v>
      </c>
      <c r="AU132" s="8">
        <v>1.0</v>
      </c>
      <c r="AY132" s="8">
        <v>1.0</v>
      </c>
      <c r="BD132" s="8">
        <v>1.0</v>
      </c>
      <c r="BG132" s="8">
        <v>1.0</v>
      </c>
      <c r="BI132" s="8">
        <v>1.0</v>
      </c>
      <c r="BN132" s="8">
        <v>1.0</v>
      </c>
    </row>
    <row r="133" ht="15.0" customHeight="1">
      <c r="A133" s="8" t="s">
        <v>427</v>
      </c>
      <c r="B133" s="8">
        <v>471.0</v>
      </c>
      <c r="C133" s="8">
        <v>1.0</v>
      </c>
    </row>
    <row r="134" ht="15.0" customHeight="1">
      <c r="A134" s="8" t="s">
        <v>127</v>
      </c>
      <c r="B134" s="8">
        <v>472.0</v>
      </c>
      <c r="C134" s="8">
        <v>1.0</v>
      </c>
      <c r="H134" s="8">
        <v>1.0</v>
      </c>
    </row>
    <row r="135" ht="15.0" customHeight="1">
      <c r="A135" s="8" t="s">
        <v>127</v>
      </c>
      <c r="B135" s="8">
        <v>473.0</v>
      </c>
      <c r="C135" s="8">
        <v>1.0</v>
      </c>
      <c r="H135" s="8">
        <v>1.0</v>
      </c>
      <c r="AE135" s="8">
        <v>1.0</v>
      </c>
    </row>
    <row r="136" ht="15.0" customHeight="1">
      <c r="A136" s="8" t="s">
        <v>127</v>
      </c>
      <c r="B136" s="8">
        <v>474.0</v>
      </c>
      <c r="C136" s="8">
        <v>1.0</v>
      </c>
      <c r="AE136" s="8">
        <v>1.0</v>
      </c>
      <c r="BA136" s="8">
        <v>1.0</v>
      </c>
      <c r="BG136" s="8">
        <v>1.0</v>
      </c>
    </row>
    <row r="137" ht="15.0" customHeight="1">
      <c r="A137" s="8" t="s">
        <v>200</v>
      </c>
      <c r="B137" s="8">
        <v>475.0</v>
      </c>
      <c r="C137" s="8">
        <v>1.0</v>
      </c>
      <c r="BO137" s="8">
        <v>1.0</v>
      </c>
    </row>
    <row r="138" ht="15.0" customHeight="1">
      <c r="A138" s="8" t="s">
        <v>206</v>
      </c>
      <c r="B138" s="8">
        <v>478.0</v>
      </c>
      <c r="C138" s="8">
        <v>1.0</v>
      </c>
      <c r="G138" s="8">
        <v>1.0</v>
      </c>
      <c r="H138" s="8">
        <v>1.0</v>
      </c>
      <c r="Q138" s="8">
        <v>1.0</v>
      </c>
      <c r="AE138" s="8">
        <v>1.0</v>
      </c>
      <c r="BG138" s="8">
        <v>1.0</v>
      </c>
    </row>
    <row r="139" ht="15.0" customHeight="1">
      <c r="A139" s="8" t="s">
        <v>206</v>
      </c>
      <c r="B139" s="8">
        <v>479.0</v>
      </c>
      <c r="C139" s="8">
        <v>1.0</v>
      </c>
      <c r="G139" s="8">
        <v>1.0</v>
      </c>
      <c r="H139" s="8">
        <v>1.0</v>
      </c>
      <c r="AE139" s="8">
        <v>1.0</v>
      </c>
      <c r="BG139" s="8">
        <v>1.0</v>
      </c>
    </row>
    <row r="140" ht="15.0" customHeight="1">
      <c r="A140" s="8" t="s">
        <v>129</v>
      </c>
      <c r="B140" s="8">
        <v>480.0</v>
      </c>
      <c r="AE140" s="8">
        <v>1.0</v>
      </c>
      <c r="BG140" s="8">
        <v>1.0</v>
      </c>
    </row>
    <row r="141" ht="15.0" customHeight="1">
      <c r="A141" s="8" t="s">
        <v>129</v>
      </c>
      <c r="B141" s="8">
        <v>481.0</v>
      </c>
      <c r="AE141" s="8">
        <v>1.0</v>
      </c>
      <c r="BG141" s="8">
        <v>1.0</v>
      </c>
      <c r="BL141" s="8">
        <v>1.0</v>
      </c>
      <c r="BU141" s="8">
        <v>1.0</v>
      </c>
    </row>
    <row r="142" ht="15.0" customHeight="1">
      <c r="A142" s="8" t="s">
        <v>208</v>
      </c>
      <c r="B142" s="8">
        <v>482.0</v>
      </c>
      <c r="C142" s="8">
        <v>1.0</v>
      </c>
      <c r="G142" s="8">
        <v>1.0</v>
      </c>
      <c r="L142" s="8">
        <v>1.0</v>
      </c>
      <c r="CJ142" s="8">
        <v>1.0</v>
      </c>
    </row>
    <row r="143" ht="15.0" customHeight="1">
      <c r="A143" s="8" t="s">
        <v>216</v>
      </c>
      <c r="B143" s="8">
        <v>483.0</v>
      </c>
      <c r="G143" s="8">
        <v>1.0</v>
      </c>
      <c r="AE143" s="8">
        <v>1.0</v>
      </c>
      <c r="AM143" s="8">
        <v>1.0</v>
      </c>
      <c r="BG143" s="8">
        <v>1.0</v>
      </c>
      <c r="BM143" s="8">
        <v>1.0</v>
      </c>
    </row>
    <row r="144" ht="15.0" customHeight="1">
      <c r="A144" s="8" t="s">
        <v>183</v>
      </c>
      <c r="B144" s="8">
        <v>484.0</v>
      </c>
      <c r="C144" s="8">
        <v>1.0</v>
      </c>
      <c r="AD144" s="8">
        <v>1.0</v>
      </c>
      <c r="BX144" s="8">
        <v>1.0</v>
      </c>
    </row>
    <row r="145" ht="15.0" customHeight="1">
      <c r="A145" s="8" t="s">
        <v>183</v>
      </c>
      <c r="B145" s="8">
        <v>485.0</v>
      </c>
      <c r="C145" s="8">
        <v>1.0</v>
      </c>
      <c r="BG145" s="8">
        <v>1.0</v>
      </c>
    </row>
    <row r="146" ht="15.0" customHeight="1">
      <c r="A146" s="8" t="s">
        <v>131</v>
      </c>
      <c r="B146" s="8">
        <v>487.0</v>
      </c>
      <c r="C146" s="8">
        <v>1.0</v>
      </c>
      <c r="H146" s="8">
        <v>1.0</v>
      </c>
      <c r="Y146" s="8">
        <v>1.0</v>
      </c>
      <c r="BN146" s="8">
        <v>1.0</v>
      </c>
    </row>
    <row r="147" ht="15.0" customHeight="1">
      <c r="A147" s="8" t="s">
        <v>132</v>
      </c>
      <c r="B147" s="8">
        <v>489.0</v>
      </c>
      <c r="C147" s="8">
        <v>1.0</v>
      </c>
      <c r="G147" s="8">
        <v>1.0</v>
      </c>
      <c r="H147" s="8">
        <v>1.0</v>
      </c>
      <c r="AE147" s="8">
        <v>1.0</v>
      </c>
      <c r="BN147" s="8">
        <v>1.0</v>
      </c>
    </row>
    <row r="148" ht="15.0" customHeight="1">
      <c r="A148" s="8" t="s">
        <v>132</v>
      </c>
      <c r="B148" s="8">
        <v>490.0</v>
      </c>
      <c r="C148" s="8">
        <v>1.0</v>
      </c>
      <c r="F148" s="8">
        <v>1.0</v>
      </c>
      <c r="BB148" s="8">
        <v>1.0</v>
      </c>
      <c r="BJ148" s="8">
        <v>1.0</v>
      </c>
      <c r="BN148" s="8">
        <v>1.0</v>
      </c>
    </row>
    <row r="149" ht="15.0" customHeight="1">
      <c r="A149" s="8" t="s">
        <v>132</v>
      </c>
      <c r="B149" s="8">
        <v>491.0</v>
      </c>
      <c r="C149" s="8">
        <v>1.0</v>
      </c>
      <c r="H149" s="8">
        <v>1.0</v>
      </c>
      <c r="AH149" s="8">
        <v>1.0</v>
      </c>
      <c r="BB149" s="8">
        <v>1.0</v>
      </c>
      <c r="BJ149" s="8">
        <v>1.0</v>
      </c>
      <c r="BN149" s="8">
        <v>1.0</v>
      </c>
    </row>
    <row r="150" ht="15.0" customHeight="1">
      <c r="A150" s="8" t="s">
        <v>132</v>
      </c>
      <c r="B150" s="8">
        <v>492.0</v>
      </c>
      <c r="C150" s="8">
        <v>1.0</v>
      </c>
      <c r="BN150" s="8">
        <v>1.0</v>
      </c>
    </row>
    <row r="151" ht="15.0" customHeight="1">
      <c r="A151" s="8" t="s">
        <v>132</v>
      </c>
      <c r="B151" s="8">
        <v>493.0</v>
      </c>
      <c r="C151" s="8">
        <v>1.0</v>
      </c>
      <c r="BO151" s="8">
        <v>1.0</v>
      </c>
    </row>
    <row r="152" ht="15.0" customHeight="1">
      <c r="A152" s="8" t="s">
        <v>133</v>
      </c>
      <c r="B152" s="8">
        <v>494.0</v>
      </c>
      <c r="C152" s="8">
        <v>1.0</v>
      </c>
      <c r="H152" s="8">
        <v>1.0</v>
      </c>
      <c r="BN152" s="8">
        <v>1.0</v>
      </c>
    </row>
    <row r="153" ht="15.0" customHeight="1">
      <c r="A153" s="8" t="s">
        <v>154</v>
      </c>
      <c r="B153" s="8">
        <v>495.0</v>
      </c>
      <c r="C153" s="8">
        <v>1.0</v>
      </c>
      <c r="H153" s="8">
        <v>1.0</v>
      </c>
    </row>
    <row r="154" ht="15.0" customHeight="1">
      <c r="A154" s="8" t="s">
        <v>154</v>
      </c>
      <c r="B154" s="8">
        <v>496.0</v>
      </c>
      <c r="C154" s="8">
        <v>1.0</v>
      </c>
      <c r="H154" s="8">
        <v>1.0</v>
      </c>
      <c r="AE154" s="8">
        <v>1.0</v>
      </c>
      <c r="BG154" s="8">
        <v>1.0</v>
      </c>
      <c r="BM154" s="8">
        <v>1.0</v>
      </c>
    </row>
    <row r="155" ht="15.0" customHeight="1">
      <c r="A155" s="8" t="s">
        <v>205</v>
      </c>
      <c r="B155" s="8">
        <v>497.0</v>
      </c>
      <c r="H155" s="8">
        <v>1.0</v>
      </c>
      <c r="AU155" s="8">
        <v>1.0</v>
      </c>
      <c r="BT155" s="8">
        <v>1.0</v>
      </c>
      <c r="CH155" s="8">
        <v>1.0</v>
      </c>
    </row>
    <row r="156" ht="15.0" customHeight="1">
      <c r="A156" s="8" t="s">
        <v>134</v>
      </c>
      <c r="B156" s="8">
        <v>498.0</v>
      </c>
      <c r="C156" s="8">
        <v>1.0</v>
      </c>
    </row>
    <row r="157" ht="15.0" customHeight="1">
      <c r="A157" s="8" t="s">
        <v>135</v>
      </c>
      <c r="B157" s="8">
        <v>499.0</v>
      </c>
      <c r="C157" s="8">
        <v>1.0</v>
      </c>
      <c r="AV157" s="8">
        <v>1.0</v>
      </c>
    </row>
    <row r="158" ht="15.0" customHeight="1">
      <c r="A158" s="8" t="s">
        <v>135</v>
      </c>
      <c r="B158" s="8">
        <v>500.0</v>
      </c>
      <c r="C158" s="8">
        <v>1.0</v>
      </c>
      <c r="L158" s="8">
        <v>1.0</v>
      </c>
      <c r="BA158" s="8">
        <v>1.0</v>
      </c>
      <c r="BG158" s="8">
        <v>1.0</v>
      </c>
    </row>
    <row r="159" ht="15.0" customHeight="1">
      <c r="A159" s="8" t="s">
        <v>135</v>
      </c>
      <c r="B159" s="8">
        <v>501.0</v>
      </c>
      <c r="C159" s="8">
        <v>1.0</v>
      </c>
      <c r="H159" s="8">
        <v>1.0</v>
      </c>
      <c r="J159" s="8">
        <v>1.0</v>
      </c>
      <c r="BA159" s="8">
        <v>1.0</v>
      </c>
      <c r="CF159" s="8">
        <v>1.0</v>
      </c>
    </row>
    <row r="160" ht="15.0" customHeight="1">
      <c r="A160" s="8" t="s">
        <v>135</v>
      </c>
      <c r="B160" s="8">
        <v>502.0</v>
      </c>
      <c r="C160" s="8">
        <v>1.0</v>
      </c>
    </row>
    <row r="161" ht="15.0" customHeight="1">
      <c r="A161" s="8" t="s">
        <v>237</v>
      </c>
      <c r="B161" s="8">
        <v>503.0</v>
      </c>
      <c r="H161" s="8">
        <v>1.0</v>
      </c>
      <c r="AE161" s="8">
        <v>1.0</v>
      </c>
      <c r="AQ161" s="8">
        <v>1.0</v>
      </c>
      <c r="AR161" s="8">
        <v>1.0</v>
      </c>
      <c r="AT161" s="8">
        <v>1.0</v>
      </c>
      <c r="AY161" s="8">
        <v>1.0</v>
      </c>
      <c r="BG161" s="8">
        <v>1.0</v>
      </c>
    </row>
    <row r="162" ht="15.0" customHeight="1">
      <c r="A162" s="8" t="s">
        <v>218</v>
      </c>
      <c r="B162" s="8">
        <v>504.0</v>
      </c>
      <c r="C162" s="8">
        <v>1.0</v>
      </c>
      <c r="G162" s="8">
        <v>1.0</v>
      </c>
      <c r="H162" s="8">
        <v>1.0</v>
      </c>
      <c r="AN162" s="8">
        <v>1.0</v>
      </c>
      <c r="AU162" s="8">
        <v>1.0</v>
      </c>
      <c r="BA162" s="8">
        <v>1.0</v>
      </c>
      <c r="BG162" s="8">
        <v>1.0</v>
      </c>
    </row>
    <row r="163" ht="15.0" customHeight="1">
      <c r="A163" s="8" t="s">
        <v>218</v>
      </c>
      <c r="B163" s="8">
        <v>505.0</v>
      </c>
      <c r="C163" s="8">
        <v>1.0</v>
      </c>
      <c r="G163" s="8">
        <v>1.0</v>
      </c>
      <c r="H163" s="8">
        <v>1.0</v>
      </c>
    </row>
    <row r="164" ht="15.0" customHeight="1">
      <c r="A164" s="8" t="s">
        <v>218</v>
      </c>
      <c r="B164" s="8">
        <v>506.0</v>
      </c>
      <c r="C164" s="8">
        <v>1.0</v>
      </c>
      <c r="G164" s="8">
        <v>1.0</v>
      </c>
      <c r="H164" s="8">
        <v>1.0</v>
      </c>
    </row>
    <row r="165" ht="15.0" customHeight="1">
      <c r="A165" s="8" t="s">
        <v>220</v>
      </c>
      <c r="B165" s="8">
        <v>507.0</v>
      </c>
      <c r="C165" s="8">
        <v>1.0</v>
      </c>
    </row>
    <row r="166" ht="15.0" customHeight="1">
      <c r="A166" s="8" t="s">
        <v>220</v>
      </c>
      <c r="B166" s="8">
        <v>508.0</v>
      </c>
      <c r="C166" s="8">
        <v>1.0</v>
      </c>
      <c r="G166" s="8">
        <v>1.0</v>
      </c>
      <c r="H166" s="8">
        <v>1.0</v>
      </c>
      <c r="I166" s="8">
        <v>1.0</v>
      </c>
      <c r="W166" s="8">
        <v>1.0</v>
      </c>
      <c r="BG166" s="8">
        <v>1.0</v>
      </c>
      <c r="BL166" s="8">
        <v>1.0</v>
      </c>
      <c r="BN166" s="8">
        <v>1.0</v>
      </c>
    </row>
    <row r="167" ht="15.0" customHeight="1">
      <c r="A167" s="8" t="s">
        <v>136</v>
      </c>
      <c r="B167" s="8">
        <v>510.0</v>
      </c>
      <c r="C167" s="8">
        <v>1.0</v>
      </c>
      <c r="BG167" s="8">
        <v>1.0</v>
      </c>
      <c r="BQ167" s="8">
        <v>1.0</v>
      </c>
    </row>
    <row r="168" ht="15.0" customHeight="1">
      <c r="A168" s="8" t="s">
        <v>136</v>
      </c>
      <c r="B168" s="8">
        <v>511.0</v>
      </c>
      <c r="C168" s="8">
        <v>1.0</v>
      </c>
      <c r="H168" s="8">
        <v>1.0</v>
      </c>
      <c r="L168" s="8">
        <v>1.0</v>
      </c>
      <c r="P168" s="8">
        <v>1.0</v>
      </c>
      <c r="X168" s="8">
        <v>1.0</v>
      </c>
      <c r="BG168" s="8">
        <v>1.0</v>
      </c>
    </row>
    <row r="169" ht="15.0" customHeight="1">
      <c r="A169" s="8" t="s">
        <v>136</v>
      </c>
      <c r="B169" s="8">
        <v>512.0</v>
      </c>
      <c r="C169" s="8">
        <v>1.0</v>
      </c>
      <c r="H169" s="8">
        <v>1.0</v>
      </c>
    </row>
    <row r="170" ht="15.0" customHeight="1">
      <c r="A170" s="8" t="s">
        <v>193</v>
      </c>
      <c r="B170" s="8">
        <v>513.0</v>
      </c>
      <c r="C170" s="8">
        <v>1.0</v>
      </c>
      <c r="W170" s="8">
        <v>1.0</v>
      </c>
      <c r="BG170" s="8">
        <v>1.0</v>
      </c>
      <c r="BN170" s="8">
        <v>1.0</v>
      </c>
    </row>
    <row r="171" ht="15.0" customHeight="1">
      <c r="A171" s="8" t="s">
        <v>190</v>
      </c>
      <c r="B171" s="8">
        <v>517.0</v>
      </c>
      <c r="G171" s="8">
        <v>1.0</v>
      </c>
      <c r="H171" s="8">
        <v>1.0</v>
      </c>
      <c r="Q171" s="8">
        <v>1.0</v>
      </c>
      <c r="BG171" s="8">
        <v>1.0</v>
      </c>
    </row>
    <row r="172" ht="15.0" customHeight="1">
      <c r="A172" s="8" t="s">
        <v>260</v>
      </c>
      <c r="B172" s="8">
        <v>526.0</v>
      </c>
      <c r="C172" s="8">
        <v>1.0</v>
      </c>
      <c r="L172" s="8">
        <v>1.0</v>
      </c>
      <c r="Q172" s="8">
        <v>1.0</v>
      </c>
      <c r="AE172" s="8">
        <v>1.0</v>
      </c>
    </row>
    <row r="173" ht="15.0" customHeight="1">
      <c r="A173" s="8" t="s">
        <v>260</v>
      </c>
      <c r="B173" s="8">
        <v>527.0</v>
      </c>
      <c r="C173" s="8">
        <v>1.0</v>
      </c>
    </row>
    <row r="174" ht="15.0" customHeight="1">
      <c r="A174" s="8" t="s">
        <v>261</v>
      </c>
      <c r="B174" s="8">
        <v>528.0</v>
      </c>
      <c r="C174" s="8">
        <v>1.0</v>
      </c>
    </row>
    <row r="175" ht="15.0" customHeight="1">
      <c r="A175" s="8" t="s">
        <v>124</v>
      </c>
      <c r="B175" s="3" t="s">
        <v>428</v>
      </c>
      <c r="H175" s="8">
        <v>1.0</v>
      </c>
    </row>
    <row r="176" ht="15.0" customHeight="1">
      <c r="A176" s="8" t="s">
        <v>190</v>
      </c>
      <c r="B176" s="3" t="s">
        <v>429</v>
      </c>
      <c r="H176" s="8">
        <v>1.0</v>
      </c>
      <c r="Q176" s="8">
        <v>1.0</v>
      </c>
    </row>
    <row r="177" ht="15.0" customHeight="1">
      <c r="A177" s="8" t="s">
        <v>305</v>
      </c>
      <c r="B177" s="3" t="s">
        <v>430</v>
      </c>
      <c r="AE177" s="8">
        <v>1.0</v>
      </c>
    </row>
    <row r="178" ht="15.0" customHeight="1">
      <c r="A178" s="8" t="s">
        <v>305</v>
      </c>
      <c r="B178" s="3" t="s">
        <v>431</v>
      </c>
      <c r="AE178" s="8">
        <v>1.0</v>
      </c>
    </row>
    <row r="179" ht="15.0" customHeight="1">
      <c r="A179" s="8" t="s">
        <v>89</v>
      </c>
      <c r="B179" s="3" t="s">
        <v>432</v>
      </c>
      <c r="AE179" s="8">
        <v>1.0</v>
      </c>
      <c r="BN179" s="8">
        <v>1.0</v>
      </c>
    </row>
    <row r="180" ht="15.0" customHeight="1">
      <c r="A180" s="8" t="s">
        <v>95</v>
      </c>
      <c r="B180" s="3" t="s">
        <v>433</v>
      </c>
      <c r="AE180" s="8">
        <v>1.0</v>
      </c>
    </row>
    <row r="181" ht="15.0" customHeight="1">
      <c r="A181" s="8" t="s">
        <v>179</v>
      </c>
      <c r="B181" s="3" t="s">
        <v>434</v>
      </c>
      <c r="AE181" s="8">
        <v>1.0</v>
      </c>
    </row>
    <row r="182" ht="15.0" customHeight="1">
      <c r="A182" s="8" t="s">
        <v>146</v>
      </c>
      <c r="B182" s="3" t="s">
        <v>435</v>
      </c>
      <c r="AE182" s="8">
        <v>1.0</v>
      </c>
    </row>
    <row r="183" ht="15.0" customHeight="1">
      <c r="A183" s="8" t="s">
        <v>146</v>
      </c>
      <c r="B183" s="3" t="s">
        <v>436</v>
      </c>
      <c r="AE183" s="8">
        <v>1.0</v>
      </c>
    </row>
    <row r="184" ht="15.0" customHeight="1">
      <c r="A184" s="8" t="s">
        <v>104</v>
      </c>
      <c r="B184" s="3" t="s">
        <v>437</v>
      </c>
      <c r="AE184" s="8">
        <v>1.0</v>
      </c>
    </row>
    <row r="185" ht="15.0" customHeight="1">
      <c r="A185" s="8" t="s">
        <v>104</v>
      </c>
      <c r="B185" s="3" t="s">
        <v>438</v>
      </c>
      <c r="AE185" s="8">
        <v>1.0</v>
      </c>
    </row>
    <row r="186" ht="15.0" customHeight="1">
      <c r="A186" s="8" t="s">
        <v>377</v>
      </c>
      <c r="B186" s="3" t="s">
        <v>439</v>
      </c>
      <c r="AE186" s="8">
        <v>1.0</v>
      </c>
    </row>
    <row r="187" ht="15.0" customHeight="1">
      <c r="A187" s="8" t="s">
        <v>377</v>
      </c>
      <c r="B187" s="3" t="s">
        <v>440</v>
      </c>
      <c r="AE187" s="8">
        <v>1.0</v>
      </c>
    </row>
    <row r="188" ht="15.0" customHeight="1">
      <c r="A188" s="8" t="s">
        <v>108</v>
      </c>
      <c r="B188" s="3" t="s">
        <v>441</v>
      </c>
      <c r="AE188" s="8">
        <v>1.0</v>
      </c>
    </row>
    <row r="189" ht="15.0" customHeight="1">
      <c r="A189" s="8" t="s">
        <v>111</v>
      </c>
      <c r="B189" s="3" t="s">
        <v>442</v>
      </c>
      <c r="AE189" s="8">
        <v>1.0</v>
      </c>
    </row>
    <row r="190" ht="15.0" customHeight="1">
      <c r="A190" s="8" t="s">
        <v>113</v>
      </c>
      <c r="B190" s="3" t="s">
        <v>443</v>
      </c>
      <c r="AE190" s="8">
        <v>1.0</v>
      </c>
    </row>
    <row r="191" ht="15.0" customHeight="1">
      <c r="A191" s="8" t="s">
        <v>113</v>
      </c>
      <c r="B191" s="3" t="s">
        <v>444</v>
      </c>
      <c r="AE191" s="8">
        <v>1.0</v>
      </c>
    </row>
    <row r="192" ht="15.0" customHeight="1">
      <c r="A192" s="8" t="s">
        <v>117</v>
      </c>
      <c r="B192" s="3" t="s">
        <v>445</v>
      </c>
      <c r="AE192" s="8">
        <v>1.0</v>
      </c>
    </row>
    <row r="193" ht="15.0" customHeight="1">
      <c r="A193" s="8" t="s">
        <v>123</v>
      </c>
      <c r="B193" s="3" t="s">
        <v>446</v>
      </c>
      <c r="AE193" s="8">
        <v>1.0</v>
      </c>
    </row>
    <row r="194" ht="15.0" customHeight="1">
      <c r="A194" s="8" t="s">
        <v>194</v>
      </c>
      <c r="B194" s="3" t="s">
        <v>447</v>
      </c>
      <c r="AE194" s="8">
        <v>1.0</v>
      </c>
    </row>
    <row r="195" ht="15.0" customHeight="1">
      <c r="A195" s="8" t="s">
        <v>194</v>
      </c>
      <c r="B195" s="3" t="s">
        <v>448</v>
      </c>
      <c r="AE195" s="8">
        <v>1.0</v>
      </c>
    </row>
    <row r="196" ht="15.0" customHeight="1">
      <c r="A196" s="8" t="s">
        <v>205</v>
      </c>
      <c r="B196" s="3" t="s">
        <v>449</v>
      </c>
      <c r="AE196" s="8">
        <v>1.0</v>
      </c>
    </row>
    <row r="197" ht="15.0" customHeight="1">
      <c r="A197" s="8" t="s">
        <v>237</v>
      </c>
      <c r="B197" s="3" t="s">
        <v>450</v>
      </c>
      <c r="AE197" s="8">
        <v>1.0</v>
      </c>
    </row>
    <row r="198" ht="15.0" customHeight="1">
      <c r="A198" s="8" t="s">
        <v>190</v>
      </c>
      <c r="B198" s="3" t="s">
        <v>451</v>
      </c>
      <c r="AE198" s="8">
        <v>1.0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1.13"/>
    <col customWidth="1" min="2" max="6" width="10.25"/>
  </cols>
  <sheetData>
    <row r="1" ht="15.0" customHeight="1">
      <c r="A1" s="3" t="s">
        <v>452</v>
      </c>
      <c r="B1" s="8">
        <v>73.0</v>
      </c>
      <c r="C1" s="3" t="s">
        <v>453</v>
      </c>
    </row>
    <row r="2" ht="15.0" customHeight="1">
      <c r="A2" s="10" t="s">
        <v>454</v>
      </c>
      <c r="B2" s="3" t="s">
        <v>455</v>
      </c>
      <c r="C2" s="8">
        <v>100.0</v>
      </c>
    </row>
    <row r="3" ht="15.0" customHeight="1">
      <c r="A3" s="3" t="s">
        <v>456</v>
      </c>
      <c r="B3" s="3" t="s">
        <v>457</v>
      </c>
      <c r="C3" s="8">
        <v>80.0</v>
      </c>
    </row>
    <row r="4" ht="15.0" customHeight="1">
      <c r="B4" s="3" t="s">
        <v>458</v>
      </c>
      <c r="C4" s="8">
        <v>80.0</v>
      </c>
    </row>
    <row r="5" ht="15.0" customHeight="1">
      <c r="B5" s="3" t="s">
        <v>459</v>
      </c>
      <c r="C5" s="8">
        <v>80.0</v>
      </c>
    </row>
    <row r="6" ht="15.0" customHeight="1">
      <c r="B6" s="3" t="s">
        <v>460</v>
      </c>
      <c r="C6" s="8">
        <v>80.0</v>
      </c>
    </row>
    <row r="7" ht="15.0" customHeight="1">
      <c r="B7" s="3" t="s">
        <v>461</v>
      </c>
      <c r="C7" s="8">
        <v>80.0</v>
      </c>
    </row>
    <row r="8" ht="15.0" customHeight="1">
      <c r="B8" s="3" t="s">
        <v>462</v>
      </c>
      <c r="C8" s="8">
        <v>80.0</v>
      </c>
    </row>
    <row r="9" ht="15.0" customHeight="1">
      <c r="B9" s="3" t="s">
        <v>463</v>
      </c>
      <c r="C9" s="8">
        <v>80.0</v>
      </c>
    </row>
    <row r="10" ht="15.0" customHeight="1">
      <c r="B10" s="3" t="s">
        <v>464</v>
      </c>
      <c r="C10" s="8">
        <v>80.0</v>
      </c>
    </row>
    <row r="11" ht="15.0" customHeight="1">
      <c r="B11" s="3" t="s">
        <v>465</v>
      </c>
      <c r="C11" s="8">
        <v>80.0</v>
      </c>
    </row>
    <row r="12" ht="15.0" customHeight="1">
      <c r="B12" s="3" t="s">
        <v>466</v>
      </c>
      <c r="C12" s="8">
        <v>80.0</v>
      </c>
    </row>
    <row r="13" ht="15.0" customHeight="1">
      <c r="B13" s="3" t="s">
        <v>467</v>
      </c>
      <c r="C13" s="8">
        <v>80.0</v>
      </c>
    </row>
    <row r="14" ht="15.0" customHeight="1">
      <c r="B14" s="3" t="s">
        <v>468</v>
      </c>
      <c r="C14" s="8">
        <v>80.0</v>
      </c>
    </row>
    <row r="15" ht="15.0" customHeight="1">
      <c r="B15" s="3" t="s">
        <v>469</v>
      </c>
      <c r="C15" s="8">
        <v>80.0</v>
      </c>
    </row>
    <row r="16" ht="15.0" customHeight="1">
      <c r="B16" s="3" t="s">
        <v>470</v>
      </c>
      <c r="C16" s="8">
        <v>80.0</v>
      </c>
    </row>
    <row r="17" ht="15.0" customHeight="1">
      <c r="B17" s="3" t="s">
        <v>471</v>
      </c>
      <c r="C17" s="8">
        <v>80.0</v>
      </c>
    </row>
    <row r="18" ht="15.0" customHeight="1">
      <c r="B18" s="3" t="s">
        <v>472</v>
      </c>
      <c r="C18" s="8">
        <v>80.0</v>
      </c>
    </row>
    <row r="19" ht="15.0" customHeight="1">
      <c r="A19" s="3" t="s">
        <v>473</v>
      </c>
      <c r="B19" s="3" t="s">
        <v>474</v>
      </c>
    </row>
    <row r="20" ht="15.0" customHeight="1">
      <c r="B20" s="3" t="s">
        <v>475</v>
      </c>
    </row>
    <row r="21" ht="15.0" customHeight="1">
      <c r="B21" s="3" t="s">
        <v>476</v>
      </c>
    </row>
    <row r="22" ht="15.0" customHeight="1">
      <c r="B22" s="3" t="s">
        <v>477</v>
      </c>
    </row>
    <row r="23" ht="15.0" customHeight="1">
      <c r="B23" s="3" t="s">
        <v>478</v>
      </c>
    </row>
    <row r="24" ht="15.0" customHeight="1">
      <c r="B24" s="3" t="s">
        <v>479</v>
      </c>
    </row>
    <row r="25" ht="15.0" customHeight="1">
      <c r="B25" s="3" t="s">
        <v>480</v>
      </c>
    </row>
    <row r="26" ht="15.0" customHeight="1">
      <c r="B26" s="3" t="s">
        <v>481</v>
      </c>
    </row>
    <row r="27" ht="15.0" customHeight="1">
      <c r="B27" s="3" t="s">
        <v>482</v>
      </c>
    </row>
    <row r="28" ht="15.0" customHeight="1">
      <c r="B28" s="3" t="s">
        <v>483</v>
      </c>
    </row>
    <row r="29" ht="15.0" customHeight="1">
      <c r="B29" s="3" t="s">
        <v>484</v>
      </c>
    </row>
    <row r="30" ht="15.0" customHeight="1">
      <c r="B30" s="3" t="s">
        <v>485</v>
      </c>
    </row>
    <row r="31" ht="15.0" customHeight="1">
      <c r="B31" s="3" t="s">
        <v>486</v>
      </c>
    </row>
    <row r="32" ht="15.0" customHeight="1">
      <c r="B32" s="3" t="s">
        <v>487</v>
      </c>
    </row>
    <row r="33" ht="15.0" customHeight="1">
      <c r="B33" s="3" t="s">
        <v>488</v>
      </c>
    </row>
    <row r="34" ht="15.0" customHeight="1">
      <c r="B34" s="3" t="s">
        <v>489</v>
      </c>
    </row>
  </sheetData>
  <drawing r:id="rId1"/>
</worksheet>
</file>