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תוצאות" sheetId="1" r:id="rId4"/>
  </sheets>
  <definedNames/>
  <calcPr/>
</workbook>
</file>

<file path=xl/sharedStrings.xml><?xml version="1.0" encoding="utf-8"?>
<sst xmlns="http://schemas.openxmlformats.org/spreadsheetml/2006/main" count="706" uniqueCount="602">
  <si>
    <t>מס קלפי</t>
  </si>
  <si>
    <t>יישוב</t>
  </si>
  <si>
    <t>שאול מופז</t>
  </si>
  <si>
    <t>אחוז שאול מופז</t>
  </si>
  <si>
    <t>ציפי לבני</t>
  </si>
  <si>
    <t>אחוז ציפי לבני</t>
  </si>
  <si>
    <t>נמנע</t>
  </si>
  <si>
    <t>פסול</t>
  </si>
  <si>
    <t>מספר מצביעים</t>
  </si>
  <si>
    <t>צפת</t>
  </si>
  <si>
    <t>74.49%</t>
  </si>
  <si>
    <t>23.87%</t>
  </si>
  <si>
    <t>צפת סה"כ</t>
  </si>
  <si>
    <t>בית שאן</t>
  </si>
  <si>
    <t>74.81%</t>
  </si>
  <si>
    <t>23.70%</t>
  </si>
  <si>
    <t>בית שאן סה"כ</t>
  </si>
  <si>
    <t>טירת הכרמל</t>
  </si>
  <si>
    <t>77.39%</t>
  </si>
  <si>
    <t>21.45%</t>
  </si>
  <si>
    <t>78.59%</t>
  </si>
  <si>
    <t>19.94%</t>
  </si>
  <si>
    <t>טירת הכרמל סה"כ</t>
  </si>
  <si>
    <t>חיפה</t>
  </si>
  <si>
    <t>64.93%</t>
  </si>
  <si>
    <t>34.33%</t>
  </si>
  <si>
    <t>54.55%</t>
  </si>
  <si>
    <t>44.63%</t>
  </si>
  <si>
    <t>49.36%</t>
  </si>
  <si>
    <t>60.48%</t>
  </si>
  <si>
    <t>37.90%</t>
  </si>
  <si>
    <t>59.22%</t>
  </si>
  <si>
    <t>38.83%</t>
  </si>
  <si>
    <t>חיפה סה"כ</t>
  </si>
  <si>
    <t>קריית אתא</t>
  </si>
  <si>
    <t>71.16%</t>
  </si>
  <si>
    <t>28.84%</t>
  </si>
  <si>
    <t>קריית אתא סה"כ</t>
  </si>
  <si>
    <t>קריית ים</t>
  </si>
  <si>
    <t>46.76%</t>
  </si>
  <si>
    <t>52.52%</t>
  </si>
  <si>
    <t>קריית ים סה"כ</t>
  </si>
  <si>
    <t>כרמיאל</t>
  </si>
  <si>
    <t>48.98%</t>
  </si>
  <si>
    <t>49.49%</t>
  </si>
  <si>
    <t>כרמיאל סה"כ</t>
  </si>
  <si>
    <t xml:space="preserve">עכו </t>
  </si>
  <si>
    <t>85.23%</t>
  </si>
  <si>
    <t>13.50%</t>
  </si>
  <si>
    <t xml:space="preserve">עכו  </t>
  </si>
  <si>
    <t>81.11%</t>
  </si>
  <si>
    <t>14.44%</t>
  </si>
  <si>
    <t>81.57%</t>
  </si>
  <si>
    <t>17.51%</t>
  </si>
  <si>
    <t>עכו  סה"כ</t>
  </si>
  <si>
    <t>נהריה</t>
  </si>
  <si>
    <t>54.62%</t>
  </si>
  <si>
    <t>43.70%</t>
  </si>
  <si>
    <t>נהריה סה"כ</t>
  </si>
  <si>
    <t>כפר ורדים</t>
  </si>
  <si>
    <t>45.22%</t>
  </si>
  <si>
    <t>54.14%</t>
  </si>
  <si>
    <t xml:space="preserve">כפר ורדים </t>
  </si>
  <si>
    <t>46.85%</t>
  </si>
  <si>
    <t>52.45%</t>
  </si>
  <si>
    <t>כפר ורדים סה"כ</t>
  </si>
  <si>
    <t>טבריה</t>
  </si>
  <si>
    <t>40.97%</t>
  </si>
  <si>
    <t>59.03%</t>
  </si>
  <si>
    <t>38.66%</t>
  </si>
  <si>
    <t>61.34%</t>
  </si>
  <si>
    <t>טבריה סה"כ</t>
  </si>
  <si>
    <t>חצור הגלילית</t>
  </si>
  <si>
    <t>62.25%</t>
  </si>
  <si>
    <t>35.10%</t>
  </si>
  <si>
    <t>חצור הגלילית סה"כ</t>
  </si>
  <si>
    <t>קריית שמונה</t>
  </si>
  <si>
    <t>40.22%</t>
  </si>
  <si>
    <t>58.30%</t>
  </si>
  <si>
    <t>קריית שמונה סה"כ</t>
  </si>
  <si>
    <t>נשר</t>
  </si>
  <si>
    <t>62.91%</t>
  </si>
  <si>
    <t>33.77%</t>
  </si>
  <si>
    <t>נשר סה"כ</t>
  </si>
  <si>
    <t>קריית ביאליק</t>
  </si>
  <si>
    <t>47.53%</t>
  </si>
  <si>
    <t>51.23%</t>
  </si>
  <si>
    <t>קריית ביאליק סה"כ</t>
  </si>
  <si>
    <t>קריית מוצקין</t>
  </si>
  <si>
    <t>70.36%</t>
  </si>
  <si>
    <t>29.04%</t>
  </si>
  <si>
    <t>66.49%</t>
  </si>
  <si>
    <t>31.91%</t>
  </si>
  <si>
    <t>קריית מוצקין סה"כ</t>
  </si>
  <si>
    <t>נתניה</t>
  </si>
  <si>
    <t>29.14%</t>
  </si>
  <si>
    <t>70.20%</t>
  </si>
  <si>
    <t>25.28%</t>
  </si>
  <si>
    <t>74.16%</t>
  </si>
  <si>
    <t>31.66%</t>
  </si>
  <si>
    <t>67.34%</t>
  </si>
  <si>
    <t>21.08%</t>
  </si>
  <si>
    <t>77.84%</t>
  </si>
  <si>
    <t>נתניה סה"כ</t>
  </si>
  <si>
    <t>חדרה</t>
  </si>
  <si>
    <t>59.91%</t>
  </si>
  <si>
    <t>39.19%</t>
  </si>
  <si>
    <t>56.74%</t>
  </si>
  <si>
    <t>43.26%</t>
  </si>
  <si>
    <t>חדרה סה"כ</t>
  </si>
  <si>
    <t>אור עקיבה</t>
  </si>
  <si>
    <t>81.03%</t>
  </si>
  <si>
    <t>18.28%</t>
  </si>
  <si>
    <t>אור עקיבה סה"כ</t>
  </si>
  <si>
    <t>פרדס חנה</t>
  </si>
  <si>
    <t>41.38%</t>
  </si>
  <si>
    <t>58.05%</t>
  </si>
  <si>
    <t>פרדס חנה סה"כ</t>
  </si>
  <si>
    <t>יקנעם</t>
  </si>
  <si>
    <t>47.83%</t>
  </si>
  <si>
    <t>51.69%</t>
  </si>
  <si>
    <t>יקנעם סה"כ</t>
  </si>
  <si>
    <t>עפולה</t>
  </si>
  <si>
    <t>64.75%</t>
  </si>
  <si>
    <t>34.84%</t>
  </si>
  <si>
    <t>64.68%</t>
  </si>
  <si>
    <t>33.83%</t>
  </si>
  <si>
    <t>עפולה סה"כ</t>
  </si>
  <si>
    <t>נצרת עילית</t>
  </si>
  <si>
    <t>83.94%</t>
  </si>
  <si>
    <t>13.87%</t>
  </si>
  <si>
    <t xml:space="preserve">נצרת עילית </t>
  </si>
  <si>
    <t>71.60%</t>
  </si>
  <si>
    <t>27.78%</t>
  </si>
  <si>
    <t>נצרת עילית סה"כ</t>
  </si>
  <si>
    <t>מגדל העמק</t>
  </si>
  <si>
    <t>63.93%</t>
  </si>
  <si>
    <t>35.52%</t>
  </si>
  <si>
    <t>62.12%</t>
  </si>
  <si>
    <t>36.87%</t>
  </si>
  <si>
    <t>מגדל העמק סה"כ</t>
  </si>
  <si>
    <t>זכרון יעקב</t>
  </si>
  <si>
    <t>41.78%</t>
  </si>
  <si>
    <t>57.53%</t>
  </si>
  <si>
    <t>זכרון יעקב סה"כ</t>
  </si>
  <si>
    <t>ראשון לציון מזרח</t>
  </si>
  <si>
    <t>76.70%</t>
  </si>
  <si>
    <t>21.36%</t>
  </si>
  <si>
    <t>59.55%</t>
  </si>
  <si>
    <t>37.64%</t>
  </si>
  <si>
    <t>69.54%</t>
  </si>
  <si>
    <t>28.74%</t>
  </si>
  <si>
    <t>63.64%</t>
  </si>
  <si>
    <t>35.15%</t>
  </si>
  <si>
    <t>68.28%</t>
  </si>
  <si>
    <t>30.65%</t>
  </si>
  <si>
    <t>57.04%</t>
  </si>
  <si>
    <t>42.96%</t>
  </si>
  <si>
    <t>ראשון לציון מזרח סה"כ</t>
  </si>
  <si>
    <t>ראשון לציון מערב</t>
  </si>
  <si>
    <t>65.38%</t>
  </si>
  <si>
    <t>34.07%</t>
  </si>
  <si>
    <t>57.67%</t>
  </si>
  <si>
    <t>41.72%</t>
  </si>
  <si>
    <t>52.63%</t>
  </si>
  <si>
    <t>46.62%</t>
  </si>
  <si>
    <t>62.57%</t>
  </si>
  <si>
    <t>36.90%</t>
  </si>
  <si>
    <t>62.20%</t>
  </si>
  <si>
    <t>37.20%</t>
  </si>
  <si>
    <t>63.78%</t>
  </si>
  <si>
    <t>36.22%</t>
  </si>
  <si>
    <t>ראשון לציון מערב סה"כ</t>
  </si>
  <si>
    <t>רמלה</t>
  </si>
  <si>
    <t>45.31%</t>
  </si>
  <si>
    <t>54.69%</t>
  </si>
  <si>
    <t>רמלה סה"כ</t>
  </si>
  <si>
    <t>מודיעין</t>
  </si>
  <si>
    <t>48.73%</t>
  </si>
  <si>
    <t>51.27%</t>
  </si>
  <si>
    <t>מודיעין סה"כ</t>
  </si>
  <si>
    <t>שוהם</t>
  </si>
  <si>
    <t>74.53%</t>
  </si>
  <si>
    <t>24.72%</t>
  </si>
  <si>
    <t>שוהם סה"כ</t>
  </si>
  <si>
    <t>חולון</t>
  </si>
  <si>
    <t>32.16%</t>
  </si>
  <si>
    <t>67.25%</t>
  </si>
  <si>
    <t>38.54%</t>
  </si>
  <si>
    <t>61.46%</t>
  </si>
  <si>
    <t>32.02%</t>
  </si>
  <si>
    <t>66.50%</t>
  </si>
  <si>
    <t>33.01%</t>
  </si>
  <si>
    <t>חולון סה"כ</t>
  </si>
  <si>
    <t>אור יהודה</t>
  </si>
  <si>
    <t>74.29%</t>
  </si>
  <si>
    <t>23.81%</t>
  </si>
  <si>
    <t>75.41%</t>
  </si>
  <si>
    <t>24.59%</t>
  </si>
  <si>
    <t>אור יהודה סה"כ</t>
  </si>
  <si>
    <t>יהוד</t>
  </si>
  <si>
    <t>56.38%</t>
  </si>
  <si>
    <t>43.21%</t>
  </si>
  <si>
    <t>יהוד סה"כ</t>
  </si>
  <si>
    <t>קריית אונו</t>
  </si>
  <si>
    <t>63.35%</t>
  </si>
  <si>
    <t>35.60%</t>
  </si>
  <si>
    <t>קריית אונו סה"כ</t>
  </si>
  <si>
    <t>גבעתיים</t>
  </si>
  <si>
    <t>57.50%</t>
  </si>
  <si>
    <t>40.71%</t>
  </si>
  <si>
    <t>57.08%</t>
  </si>
  <si>
    <t>41.55%</t>
  </si>
  <si>
    <t>גבעתיים סה"כ</t>
  </si>
  <si>
    <t>רמת גן</t>
  </si>
  <si>
    <t>51.94%</t>
  </si>
  <si>
    <t>43.69%</t>
  </si>
  <si>
    <t>60.26%</t>
  </si>
  <si>
    <t>38.43%</t>
  </si>
  <si>
    <t>69.02%</t>
  </si>
  <si>
    <t>28.26%</t>
  </si>
  <si>
    <t>67.84%</t>
  </si>
  <si>
    <t>30.99%</t>
  </si>
  <si>
    <t>59.63%</t>
  </si>
  <si>
    <t>37.27%</t>
  </si>
  <si>
    <t>רמת גן סה"כ</t>
  </si>
  <si>
    <t>תל אביב דרום</t>
  </si>
  <si>
    <t>29.55%</t>
  </si>
  <si>
    <t>70.45%</t>
  </si>
  <si>
    <t>22.43%</t>
  </si>
  <si>
    <t>76.81%</t>
  </si>
  <si>
    <t>20.49%</t>
  </si>
  <si>
    <t>79.02%</t>
  </si>
  <si>
    <t>תל אביב דרום סה"כ</t>
  </si>
  <si>
    <t>תל אביב צפון</t>
  </si>
  <si>
    <t>26.62%</t>
  </si>
  <si>
    <t>73.38%</t>
  </si>
  <si>
    <t>50.48%</t>
  </si>
  <si>
    <t>48.57%</t>
  </si>
  <si>
    <t>38.16%</t>
  </si>
  <si>
    <t>59.21%</t>
  </si>
  <si>
    <t>תל אביב צפון סה"כ</t>
  </si>
  <si>
    <t>ראש העין</t>
  </si>
  <si>
    <t>51.90%</t>
  </si>
  <si>
    <t>45.71%</t>
  </si>
  <si>
    <t>45.19%</t>
  </si>
  <si>
    <t>51.92%</t>
  </si>
  <si>
    <t>ראש העין סה"כ</t>
  </si>
  <si>
    <t>פתח תקוה</t>
  </si>
  <si>
    <t>50.00%</t>
  </si>
  <si>
    <t>47.45%</t>
  </si>
  <si>
    <t>48.37%</t>
  </si>
  <si>
    <t>51.63%</t>
  </si>
  <si>
    <t>46.44%</t>
  </si>
  <si>
    <t>52.72%</t>
  </si>
  <si>
    <t>41.80%</t>
  </si>
  <si>
    <t>57.38%</t>
  </si>
  <si>
    <t>פתח תקוה סה"כ</t>
  </si>
  <si>
    <t>בת ים</t>
  </si>
  <si>
    <t>50.92%</t>
  </si>
  <si>
    <t>48.17%</t>
  </si>
  <si>
    <t>63.11%</t>
  </si>
  <si>
    <t>36.41%</t>
  </si>
  <si>
    <t>44.39%</t>
  </si>
  <si>
    <t>55.10%</t>
  </si>
  <si>
    <t>בת ים סה"כ</t>
  </si>
  <si>
    <t>הוד השרון</t>
  </si>
  <si>
    <t>35.81%</t>
  </si>
  <si>
    <t>64.19%</t>
  </si>
  <si>
    <t>הוד השרון סה"כ</t>
  </si>
  <si>
    <t>הרצליה</t>
  </si>
  <si>
    <t>39.47%</t>
  </si>
  <si>
    <t>60.53%</t>
  </si>
  <si>
    <t>הרצליה סה"כ</t>
  </si>
  <si>
    <t>כפר סבא</t>
  </si>
  <si>
    <t>42.51%</t>
  </si>
  <si>
    <t>57.49%</t>
  </si>
  <si>
    <t>32.74%</t>
  </si>
  <si>
    <t>66.07%</t>
  </si>
  <si>
    <t>כפר סבא סה"כ</t>
  </si>
  <si>
    <t>נס ציונה</t>
  </si>
  <si>
    <t>65.25%</t>
  </si>
  <si>
    <t>34.40%</t>
  </si>
  <si>
    <t>נס ציונה סה"כ</t>
  </si>
  <si>
    <t>באר יעקב</t>
  </si>
  <si>
    <t>53.33%</t>
  </si>
  <si>
    <t>46.19%</t>
  </si>
  <si>
    <t>באר יעקב סה"כ</t>
  </si>
  <si>
    <t>לוד</t>
  </si>
  <si>
    <t>76.62%</t>
  </si>
  <si>
    <t>23.38%</t>
  </si>
  <si>
    <t>74.35%</t>
  </si>
  <si>
    <t>25.13%</t>
  </si>
  <si>
    <t>לוד סה"כ</t>
  </si>
  <si>
    <t>רמת השרון</t>
  </si>
  <si>
    <t>35.76%</t>
  </si>
  <si>
    <t>רמת השרון סה"כ</t>
  </si>
  <si>
    <t>רעננה</t>
  </si>
  <si>
    <t>47.41%</t>
  </si>
  <si>
    <t>52.01%</t>
  </si>
  <si>
    <t>רעננה סה"כ</t>
  </si>
  <si>
    <t>אופקים</t>
  </si>
  <si>
    <t>66.23%</t>
  </si>
  <si>
    <t>55.38%</t>
  </si>
  <si>
    <t>43.01%</t>
  </si>
  <si>
    <t>59.85%</t>
  </si>
  <si>
    <t>38.64%</t>
  </si>
  <si>
    <t>אופקים סה"כ</t>
  </si>
  <si>
    <t>קריית מלאכי</t>
  </si>
  <si>
    <t>75.00%</t>
  </si>
  <si>
    <t>24.16%</t>
  </si>
  <si>
    <t>קריית מלאכי סה"כ</t>
  </si>
  <si>
    <t>אשדוד</t>
  </si>
  <si>
    <t>72.08%</t>
  </si>
  <si>
    <t>26.90%</t>
  </si>
  <si>
    <t>80.00%</t>
  </si>
  <si>
    <t>19.00%</t>
  </si>
  <si>
    <t>73.86%</t>
  </si>
  <si>
    <t>25.49%</t>
  </si>
  <si>
    <t>69.12%</t>
  </si>
  <si>
    <t>29.41%</t>
  </si>
  <si>
    <t>69.89%</t>
  </si>
  <si>
    <t>28.98%</t>
  </si>
  <si>
    <t>65.03%</t>
  </si>
  <si>
    <t>32.52%</t>
  </si>
  <si>
    <t>אשדוד סה"כ</t>
  </si>
  <si>
    <t>בני עייש</t>
  </si>
  <si>
    <t>54.49%</t>
  </si>
  <si>
    <t>45.51%</t>
  </si>
  <si>
    <t>בני עייש סה"כ</t>
  </si>
  <si>
    <t>יבנה</t>
  </si>
  <si>
    <t>66.41%</t>
  </si>
  <si>
    <t>32.44%</t>
  </si>
  <si>
    <t>יבנה סה"כ</t>
  </si>
  <si>
    <t>בית שמש</t>
  </si>
  <si>
    <t>40.20%</t>
  </si>
  <si>
    <t>58.82%</t>
  </si>
  <si>
    <t>בית שמש סה"כ</t>
  </si>
  <si>
    <t>ירושלים</t>
  </si>
  <si>
    <t>58.85%</t>
  </si>
  <si>
    <t>40.10%</t>
  </si>
  <si>
    <t>39.81%</t>
  </si>
  <si>
    <t>57.41%</t>
  </si>
  <si>
    <t>52.98%</t>
  </si>
  <si>
    <t>45.83%</t>
  </si>
  <si>
    <t>51.55%</t>
  </si>
  <si>
    <t>44.33%</t>
  </si>
  <si>
    <t>41.89%</t>
  </si>
  <si>
    <t>55.41%</t>
  </si>
  <si>
    <t>60.94%</t>
  </si>
  <si>
    <t>37.50%</t>
  </si>
  <si>
    <t>ירושלים סה"כ</t>
  </si>
  <si>
    <t>מבשרת ציון</t>
  </si>
  <si>
    <t>40.00%</t>
  </si>
  <si>
    <t>57.71%</t>
  </si>
  <si>
    <t>מבשרת ציון סה"כ</t>
  </si>
  <si>
    <t>רחובות</t>
  </si>
  <si>
    <t>48.82%</t>
  </si>
  <si>
    <t>51.18%</t>
  </si>
  <si>
    <t>36.81%</t>
  </si>
  <si>
    <t>61.54%</t>
  </si>
  <si>
    <t>רחובות סה"כ</t>
  </si>
  <si>
    <t>אילת</t>
  </si>
  <si>
    <t>30.71%</t>
  </si>
  <si>
    <t>68.46%</t>
  </si>
  <si>
    <t>אילת סה"כ</t>
  </si>
  <si>
    <t>ספיר</t>
  </si>
  <si>
    <t>72.58%</t>
  </si>
  <si>
    <t>27.42%</t>
  </si>
  <si>
    <t>ספיר סה"כ</t>
  </si>
  <si>
    <t>דימונה</t>
  </si>
  <si>
    <t>73.08%</t>
  </si>
  <si>
    <t>25.27%</t>
  </si>
  <si>
    <t>דימונה סה"כ</t>
  </si>
  <si>
    <t>באר שבע</t>
  </si>
  <si>
    <t>63.70%</t>
  </si>
  <si>
    <t>35.56%</t>
  </si>
  <si>
    <t>55.65%</t>
  </si>
  <si>
    <t>41.94%</t>
  </si>
  <si>
    <t>67.42%</t>
  </si>
  <si>
    <t>32.58%</t>
  </si>
  <si>
    <t>62.13%</t>
  </si>
  <si>
    <t>36.69%</t>
  </si>
  <si>
    <t>63.46%</t>
  </si>
  <si>
    <t>36.54%</t>
  </si>
  <si>
    <t>באר שבע סה"כ</t>
  </si>
  <si>
    <t>ערד</t>
  </si>
  <si>
    <t>ערד סה"כ</t>
  </si>
  <si>
    <t>כפר עזה</t>
  </si>
  <si>
    <t>78.37%</t>
  </si>
  <si>
    <t>20.41%</t>
  </si>
  <si>
    <t>כפר עזה סה"כ</t>
  </si>
  <si>
    <t>נתיבות</t>
  </si>
  <si>
    <t>73.03%</t>
  </si>
  <si>
    <t>68.42%</t>
  </si>
  <si>
    <t>27.49%</t>
  </si>
  <si>
    <t>נתיבות סה"כ</t>
  </si>
  <si>
    <t>שדרות</t>
  </si>
  <si>
    <t>88.80%</t>
  </si>
  <si>
    <t>10.79%</t>
  </si>
  <si>
    <t>87.33%</t>
  </si>
  <si>
    <t>12.67%</t>
  </si>
  <si>
    <t>שדרות סה"כ</t>
  </si>
  <si>
    <t>שחר</t>
  </si>
  <si>
    <t>71.66%</t>
  </si>
  <si>
    <t>27.25%</t>
  </si>
  <si>
    <t>שחר סה"כ</t>
  </si>
  <si>
    <t>קריית גת</t>
  </si>
  <si>
    <t>89.77%</t>
  </si>
  <si>
    <t>9.47%</t>
  </si>
  <si>
    <t>86.51%</t>
  </si>
  <si>
    <t>13.10%</t>
  </si>
  <si>
    <t>72.86%</t>
  </si>
  <si>
    <t>26.67%</t>
  </si>
  <si>
    <t>קריית גת סה"כ</t>
  </si>
  <si>
    <t>אשקלון</t>
  </si>
  <si>
    <t>78.79%</t>
  </si>
  <si>
    <t>20.00%</t>
  </si>
  <si>
    <t>74.76%</t>
  </si>
  <si>
    <t>23.30%</t>
  </si>
  <si>
    <t>78.32%</t>
  </si>
  <si>
    <t>21.68%</t>
  </si>
  <si>
    <t>76.22%</t>
  </si>
  <si>
    <t>22.56%</t>
  </si>
  <si>
    <t>69.76%</t>
  </si>
  <si>
    <t>27.80%</t>
  </si>
  <si>
    <t>79.84%</t>
  </si>
  <si>
    <t>17.83%</t>
  </si>
  <si>
    <t>76.71%</t>
  </si>
  <si>
    <t>22.60%</t>
  </si>
  <si>
    <t>25.00%</t>
  </si>
  <si>
    <t>אשקלון סה"כ</t>
  </si>
  <si>
    <t>מעלה אדומים</t>
  </si>
  <si>
    <t>52.94%</t>
  </si>
  <si>
    <t>45.88%</t>
  </si>
  <si>
    <t>מעלה אדומים סה"כ</t>
  </si>
  <si>
    <t>בעיינה</t>
  </si>
  <si>
    <t>82.84%</t>
  </si>
  <si>
    <t>16.83%</t>
  </si>
  <si>
    <t>בעיינה סה"כ</t>
  </si>
  <si>
    <t>סכנין</t>
  </si>
  <si>
    <t>60.98%</t>
  </si>
  <si>
    <t>39.02%</t>
  </si>
  <si>
    <t>סכנין סה"כ</t>
  </si>
  <si>
    <t>דליית אל כרמל</t>
  </si>
  <si>
    <t>67.61%</t>
  </si>
  <si>
    <t>32.39%</t>
  </si>
  <si>
    <t>12.57%</t>
  </si>
  <si>
    <t>87.13%</t>
  </si>
  <si>
    <t>דליית אל כרמל סה"כ</t>
  </si>
  <si>
    <t>דליית כרמל</t>
  </si>
  <si>
    <t>91.26%</t>
  </si>
  <si>
    <t>8.09%</t>
  </si>
  <si>
    <t>דליית כרמל סה"כ</t>
  </si>
  <si>
    <t>78.51%</t>
  </si>
  <si>
    <t>21.19%</t>
  </si>
  <si>
    <t>כאבול</t>
  </si>
  <si>
    <t>55.03%</t>
  </si>
  <si>
    <t>44.97%</t>
  </si>
  <si>
    <t>כאבול סה"כ</t>
  </si>
  <si>
    <t>דיר אל אסד</t>
  </si>
  <si>
    <t>84.19%</t>
  </si>
  <si>
    <t>11.68%</t>
  </si>
  <si>
    <t>94.31%</t>
  </si>
  <si>
    <t>4.10%</t>
  </si>
  <si>
    <t>81.62%</t>
  </si>
  <si>
    <t>16.54%</t>
  </si>
  <si>
    <t>87.27%</t>
  </si>
  <si>
    <t>12.73%</t>
  </si>
  <si>
    <t>דיר אל אסד סה"כ</t>
  </si>
  <si>
    <t>ירכא</t>
  </si>
  <si>
    <t>70.00%</t>
  </si>
  <si>
    <t>29.25%</t>
  </si>
  <si>
    <t>ירכא סה"כ</t>
  </si>
  <si>
    <t>בית ג'אן</t>
  </si>
  <si>
    <t>26.05%</t>
  </si>
  <si>
    <t>72.83%</t>
  </si>
  <si>
    <t>40.86%</t>
  </si>
  <si>
    <t>59.14%</t>
  </si>
  <si>
    <t>בית ג'אן סה"כ</t>
  </si>
  <si>
    <t>כפר יאסיף</t>
  </si>
  <si>
    <t>97.15%</t>
  </si>
  <si>
    <t>2.85%</t>
  </si>
  <si>
    <t>כפר יאסיף סה"כ</t>
  </si>
  <si>
    <t>חורפיש</t>
  </si>
  <si>
    <t>75.47%</t>
  </si>
  <si>
    <t>24.53%</t>
  </si>
  <si>
    <t>62.08%</t>
  </si>
  <si>
    <t>37.92%</t>
  </si>
  <si>
    <t>חורפיש סה"כ</t>
  </si>
  <si>
    <t>ינוח ג'ת</t>
  </si>
  <si>
    <t>25.84%</t>
  </si>
  <si>
    <t>ינוח ג'ת סה"כ</t>
  </si>
  <si>
    <t>סאג'ור</t>
  </si>
  <si>
    <t>49.31%</t>
  </si>
  <si>
    <t>50.69%</t>
  </si>
  <si>
    <t>סאג'ור סה"כ</t>
  </si>
  <si>
    <t>ג'וליס</t>
  </si>
  <si>
    <t>55.14%</t>
  </si>
  <si>
    <t>44.36%</t>
  </si>
  <si>
    <t>41.86%</t>
  </si>
  <si>
    <t>56.98%</t>
  </si>
  <si>
    <t>ג'וליס סה"כ</t>
  </si>
  <si>
    <t>מג'אר ( מרר )</t>
  </si>
  <si>
    <t>61.94%</t>
  </si>
  <si>
    <t>37.02%</t>
  </si>
  <si>
    <t>71.77%</t>
  </si>
  <si>
    <t>26.61%</t>
  </si>
  <si>
    <t>מג'אר ( מרר ) סה"כ</t>
  </si>
  <si>
    <t>דיר חנא</t>
  </si>
  <si>
    <t>56.33%</t>
  </si>
  <si>
    <t>43.07%</t>
  </si>
  <si>
    <t>דיר חנא סה"כ</t>
  </si>
  <si>
    <t>בועיינה נוג'ידאת</t>
  </si>
  <si>
    <t>81.21%</t>
  </si>
  <si>
    <t>16.36%</t>
  </si>
  <si>
    <t>בועיינה נוג'ידאת סה"כ</t>
  </si>
  <si>
    <t xml:space="preserve">אבו סנאו </t>
  </si>
  <si>
    <t>64.29%</t>
  </si>
  <si>
    <t>35.71%</t>
  </si>
  <si>
    <t>אבו סנאו  סה"כ</t>
  </si>
  <si>
    <t>כיסרא</t>
  </si>
  <si>
    <t>76.11%</t>
  </si>
  <si>
    <t>23.89%</t>
  </si>
  <si>
    <t>96.31%</t>
  </si>
  <si>
    <t>3.43%</t>
  </si>
  <si>
    <t>כיסרא סה"כ</t>
  </si>
  <si>
    <t>שפרעם</t>
  </si>
  <si>
    <t>97.45%</t>
  </si>
  <si>
    <t>2.55%</t>
  </si>
  <si>
    <t>93.33%</t>
  </si>
  <si>
    <t>5.56%</t>
  </si>
  <si>
    <t>שפרעם סה"כ</t>
  </si>
  <si>
    <t>טמרה</t>
  </si>
  <si>
    <t>73.10%</t>
  </si>
  <si>
    <t>טמרה סה"כ</t>
  </si>
  <si>
    <t>כפר כמא</t>
  </si>
  <si>
    <t>46.67%</t>
  </si>
  <si>
    <t>כפר כמא סה"כ</t>
  </si>
  <si>
    <t>עוספייה</t>
  </si>
  <si>
    <t>77.67%</t>
  </si>
  <si>
    <t>22.33%</t>
  </si>
  <si>
    <t>עוספייה סה"כ</t>
  </si>
  <si>
    <t>באקה ג'ת</t>
  </si>
  <si>
    <t>84.57%</t>
  </si>
  <si>
    <t>10.49%</t>
  </si>
  <si>
    <t>באקה ג'ת סה"כ</t>
  </si>
  <si>
    <t>כפר קרע</t>
  </si>
  <si>
    <t>80.79%</t>
  </si>
  <si>
    <t>17.22%</t>
  </si>
  <si>
    <t>כפר קרע סה"כ</t>
  </si>
  <si>
    <t>טייבה</t>
  </si>
  <si>
    <t>44.44%</t>
  </si>
  <si>
    <t>55.56%</t>
  </si>
  <si>
    <t>45.45%</t>
  </si>
  <si>
    <t>טייבה סה"כ</t>
  </si>
  <si>
    <t>טירה</t>
  </si>
  <si>
    <t>80.83%</t>
  </si>
  <si>
    <t>19.17%</t>
  </si>
  <si>
    <t>80.26%</t>
  </si>
  <si>
    <t>17.76%</t>
  </si>
  <si>
    <t>טירה סה"כ</t>
  </si>
  <si>
    <t>רהט</t>
  </si>
  <si>
    <t>61.01%</t>
  </si>
  <si>
    <t>38.07%</t>
  </si>
  <si>
    <t>24.56%</t>
  </si>
  <si>
    <t>71.93%</t>
  </si>
  <si>
    <t>רהט סה"כ</t>
  </si>
  <si>
    <t>דבורייה</t>
  </si>
  <si>
    <t>53.69%</t>
  </si>
  <si>
    <t>45.08%</t>
  </si>
  <si>
    <t>דבורייה סה"כ</t>
  </si>
  <si>
    <t>פקיעין</t>
  </si>
  <si>
    <t>92.99%</t>
  </si>
  <si>
    <t>6.37%</t>
  </si>
  <si>
    <t>פקיעין סה"כ</t>
  </si>
  <si>
    <t>נצרת</t>
  </si>
  <si>
    <t>79.14%</t>
  </si>
  <si>
    <t>20.32%</t>
  </si>
  <si>
    <t>39.41%</t>
  </si>
  <si>
    <t>נצרת סה"כ</t>
  </si>
  <si>
    <t>תל שבע</t>
  </si>
  <si>
    <t>93.75%</t>
  </si>
  <si>
    <t>5.29%</t>
  </si>
  <si>
    <t>תל שבע סה"כ</t>
  </si>
  <si>
    <t>ביר אל מכסור</t>
  </si>
  <si>
    <t>89.55%</t>
  </si>
  <si>
    <t>8.96%</t>
  </si>
  <si>
    <t>ביר אל מכסור סה"כ</t>
  </si>
  <si>
    <t>כעאבייה טפאש</t>
  </si>
  <si>
    <t>96.41%</t>
  </si>
  <si>
    <t>2.79%</t>
  </si>
  <si>
    <t>כעאבייה טפאש סה"כ</t>
  </si>
  <si>
    <t>קדימה צורן</t>
  </si>
  <si>
    <t>41.14%</t>
  </si>
  <si>
    <t>57.86%</t>
  </si>
  <si>
    <t>קדימה צורן סה"כ</t>
  </si>
  <si>
    <t>80.93%</t>
  </si>
  <si>
    <t>15.98%</t>
  </si>
  <si>
    <t>34.27%</t>
  </si>
  <si>
    <t>65.73%</t>
  </si>
  <si>
    <t>סכום כולל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</si>
</sst>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sz val="16.0"/>
      <color rgb="FF000000"/>
    </font>
    <font>
      <sz val="10.0"/>
      <color rgb="FF000000"/>
    </font>
    <font>
      <b/>
      <sz val="10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0.13"/>
    <col customWidth="1" min="2" max="2" width="17.13"/>
    <col customWidth="1" min="3" max="3" width="12.25"/>
    <col customWidth="1" min="4" max="4" width="19.75"/>
    <col customWidth="1" min="5" max="5" width="10.5"/>
    <col customWidth="1" min="6" max="6" width="16.38"/>
    <col customWidth="1" min="7" max="8" width="5.88"/>
    <col customWidth="1" min="9" max="9" width="17.1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6.25" customHeight="1">
      <c r="A2" s="2">
        <v>101.0</v>
      </c>
      <c r="B2" s="3" t="s">
        <v>9</v>
      </c>
      <c r="C2" s="2">
        <v>181.0</v>
      </c>
      <c r="D2" s="2" t="s">
        <v>10</v>
      </c>
      <c r="E2" s="2">
        <v>58.0</v>
      </c>
      <c r="F2" s="2" t="s">
        <v>11</v>
      </c>
      <c r="G2" s="2">
        <v>4.0</v>
      </c>
      <c r="H2" s="2">
        <v>5.0</v>
      </c>
      <c r="I2" s="2">
        <v>248.0</v>
      </c>
    </row>
    <row r="3" ht="26.25" customHeight="1">
      <c r="B3" s="4" t="s">
        <v>12</v>
      </c>
      <c r="C3" s="5">
        <f>SUBTOTAL(9,C2)</f>
        <v>181</v>
      </c>
      <c r="E3" s="5">
        <f>SUBTOTAL(9,E2)</f>
        <v>58</v>
      </c>
      <c r="G3" s="5">
        <f t="shared" ref="G3:I3" si="1">SUBTOTAL(9,G2)</f>
        <v>4</v>
      </c>
      <c r="H3" s="5">
        <f t="shared" si="1"/>
        <v>5</v>
      </c>
      <c r="I3" s="5">
        <f t="shared" si="1"/>
        <v>248</v>
      </c>
    </row>
    <row r="4" ht="26.25" customHeight="1">
      <c r="A4" s="2">
        <v>102.0</v>
      </c>
      <c r="B4" s="3" t="s">
        <v>13</v>
      </c>
      <c r="C4" s="2">
        <v>101.0</v>
      </c>
      <c r="D4" s="2" t="s">
        <v>14</v>
      </c>
      <c r="E4" s="2">
        <v>32.0</v>
      </c>
      <c r="F4" s="2" t="s">
        <v>15</v>
      </c>
      <c r="G4" s="2">
        <v>2.0</v>
      </c>
      <c r="H4" s="2">
        <v>1.0</v>
      </c>
      <c r="I4" s="2">
        <v>136.0</v>
      </c>
    </row>
    <row r="5" ht="26.25" customHeight="1">
      <c r="B5" s="4" t="s">
        <v>16</v>
      </c>
      <c r="C5" s="5">
        <f>SUBTOTAL(9,C4)</f>
        <v>101</v>
      </c>
      <c r="E5" s="5">
        <f>SUBTOTAL(9,E4)</f>
        <v>32</v>
      </c>
      <c r="G5" s="5">
        <f t="shared" ref="G5:I5" si="2">SUBTOTAL(9,G4)</f>
        <v>2</v>
      </c>
      <c r="H5" s="5">
        <f t="shared" si="2"/>
        <v>1</v>
      </c>
      <c r="I5" s="5">
        <f t="shared" si="2"/>
        <v>136</v>
      </c>
    </row>
    <row r="6" ht="26.25" customHeight="1">
      <c r="A6" s="2">
        <v>103.0</v>
      </c>
      <c r="B6" s="3" t="s">
        <v>17</v>
      </c>
      <c r="C6" s="2">
        <v>267.0</v>
      </c>
      <c r="D6" s="2" t="s">
        <v>18</v>
      </c>
      <c r="E6" s="2">
        <v>74.0</v>
      </c>
      <c r="F6" s="2" t="s">
        <v>19</v>
      </c>
      <c r="G6" s="2">
        <v>4.0</v>
      </c>
      <c r="H6" s="2">
        <v>1.0</v>
      </c>
      <c r="I6" s="2">
        <v>346.0</v>
      </c>
    </row>
    <row r="7" ht="26.25" customHeight="1">
      <c r="A7" s="2">
        <v>104.0</v>
      </c>
      <c r="B7" s="3" t="s">
        <v>17</v>
      </c>
      <c r="C7" s="2">
        <v>268.0</v>
      </c>
      <c r="D7" s="2" t="s">
        <v>20</v>
      </c>
      <c r="E7" s="2">
        <v>68.0</v>
      </c>
      <c r="F7" s="2" t="s">
        <v>21</v>
      </c>
      <c r="G7" s="2">
        <v>5.0</v>
      </c>
      <c r="H7" s="2">
        <v>1.0</v>
      </c>
      <c r="I7" s="2">
        <v>342.0</v>
      </c>
    </row>
    <row r="8" ht="26.25" customHeight="1">
      <c r="B8" s="4" t="s">
        <v>22</v>
      </c>
      <c r="C8" s="5">
        <f>SUBTOTAL(9,C6:C7)</f>
        <v>535</v>
      </c>
      <c r="E8" s="5">
        <f>SUBTOTAL(9,E6:E7)</f>
        <v>142</v>
      </c>
      <c r="G8" s="5">
        <f t="shared" ref="G8:I8" si="3">SUBTOTAL(9,G6:G7)</f>
        <v>9</v>
      </c>
      <c r="H8" s="5">
        <f t="shared" si="3"/>
        <v>2</v>
      </c>
      <c r="I8" s="5">
        <f t="shared" si="3"/>
        <v>688</v>
      </c>
    </row>
    <row r="9" ht="26.25" customHeight="1">
      <c r="A9" s="2">
        <v>105.0</v>
      </c>
      <c r="B9" s="3" t="s">
        <v>23</v>
      </c>
      <c r="C9" s="2">
        <v>87.0</v>
      </c>
      <c r="D9" s="2" t="s">
        <v>24</v>
      </c>
      <c r="E9" s="2">
        <v>46.0</v>
      </c>
      <c r="F9" s="2" t="s">
        <v>25</v>
      </c>
      <c r="G9" s="2">
        <v>1.0</v>
      </c>
      <c r="H9" s="2">
        <v>0.0</v>
      </c>
      <c r="I9" s="2">
        <v>134.0</v>
      </c>
    </row>
    <row r="10" ht="26.25" customHeight="1">
      <c r="A10" s="2">
        <v>106.0</v>
      </c>
      <c r="B10" s="3" t="s">
        <v>23</v>
      </c>
      <c r="C10" s="2">
        <v>66.0</v>
      </c>
      <c r="D10" s="2" t="s">
        <v>26</v>
      </c>
      <c r="E10" s="2">
        <v>54.0</v>
      </c>
      <c r="F10" s="2" t="s">
        <v>27</v>
      </c>
      <c r="G10" s="2">
        <v>1.0</v>
      </c>
      <c r="H10" s="2">
        <v>0.0</v>
      </c>
      <c r="I10" s="2">
        <v>121.0</v>
      </c>
    </row>
    <row r="11" ht="26.25" customHeight="1">
      <c r="A11" s="2">
        <v>107.0</v>
      </c>
      <c r="B11" s="3" t="s">
        <v>23</v>
      </c>
      <c r="C11" s="2">
        <v>77.0</v>
      </c>
      <c r="D11" s="2" t="s">
        <v>28</v>
      </c>
      <c r="E11" s="2">
        <v>77.0</v>
      </c>
      <c r="F11" s="2" t="s">
        <v>28</v>
      </c>
      <c r="G11" s="2">
        <v>2.0</v>
      </c>
      <c r="H11" s="2">
        <v>4.0</v>
      </c>
      <c r="I11" s="2">
        <v>160.0</v>
      </c>
    </row>
    <row r="12" ht="26.25" customHeight="1">
      <c r="A12" s="2">
        <v>108.0</v>
      </c>
      <c r="B12" s="3" t="s">
        <v>23</v>
      </c>
      <c r="C12" s="2">
        <v>75.0</v>
      </c>
      <c r="D12" s="2" t="s">
        <v>29</v>
      </c>
      <c r="E12" s="2">
        <v>47.0</v>
      </c>
      <c r="F12" s="2" t="s">
        <v>30</v>
      </c>
      <c r="G12" s="2">
        <v>2.0</v>
      </c>
      <c r="H12" s="2">
        <v>3.0</v>
      </c>
      <c r="I12" s="2">
        <v>127.0</v>
      </c>
    </row>
    <row r="13" ht="26.25" customHeight="1">
      <c r="A13" s="2">
        <v>109.0</v>
      </c>
      <c r="B13" s="3" t="s">
        <v>23</v>
      </c>
      <c r="C13" s="2">
        <v>61.0</v>
      </c>
      <c r="D13" s="2" t="s">
        <v>31</v>
      </c>
      <c r="E13" s="2">
        <v>40.0</v>
      </c>
      <c r="F13" s="2" t="s">
        <v>32</v>
      </c>
      <c r="G13" s="2">
        <v>2.0</v>
      </c>
      <c r="H13" s="2">
        <v>5.0</v>
      </c>
      <c r="I13" s="2">
        <v>108.0</v>
      </c>
    </row>
    <row r="14" ht="26.25" customHeight="1">
      <c r="B14" s="4" t="s">
        <v>33</v>
      </c>
      <c r="C14" s="5">
        <f>SUBTOTAL(9,C9:C13)</f>
        <v>366</v>
      </c>
      <c r="E14" s="5">
        <f>SUBTOTAL(9,E9:E13)</f>
        <v>264</v>
      </c>
      <c r="G14" s="5">
        <f t="shared" ref="G14:I14" si="4">SUBTOTAL(9,G9:G13)</f>
        <v>8</v>
      </c>
      <c r="H14" s="5">
        <f t="shared" si="4"/>
        <v>12</v>
      </c>
      <c r="I14" s="5">
        <f t="shared" si="4"/>
        <v>650</v>
      </c>
    </row>
    <row r="15" ht="26.25" customHeight="1">
      <c r="A15" s="2">
        <v>110.0</v>
      </c>
      <c r="B15" s="3" t="s">
        <v>34</v>
      </c>
      <c r="C15" s="2">
        <v>153.0</v>
      </c>
      <c r="D15" s="2" t="s">
        <v>35</v>
      </c>
      <c r="E15" s="2">
        <v>62.0</v>
      </c>
      <c r="F15" s="2" t="s">
        <v>36</v>
      </c>
      <c r="G15" s="2">
        <v>0.0</v>
      </c>
      <c r="H15" s="2">
        <v>7.0</v>
      </c>
      <c r="I15" s="2">
        <v>222.0</v>
      </c>
    </row>
    <row r="16" ht="26.25" customHeight="1">
      <c r="B16" s="4" t="s">
        <v>37</v>
      </c>
      <c r="C16" s="5">
        <f>SUBTOTAL(9,C15)</f>
        <v>153</v>
      </c>
      <c r="E16" s="5">
        <f>SUBTOTAL(9,E15)</f>
        <v>62</v>
      </c>
      <c r="G16" s="5">
        <f t="shared" ref="G16:I16" si="5">SUBTOTAL(9,G15)</f>
        <v>0</v>
      </c>
      <c r="H16" s="5">
        <f t="shared" si="5"/>
        <v>7</v>
      </c>
      <c r="I16" s="5">
        <f t="shared" si="5"/>
        <v>222</v>
      </c>
    </row>
    <row r="17" ht="26.25" customHeight="1">
      <c r="A17" s="2">
        <v>111.0</v>
      </c>
      <c r="B17" s="3" t="s">
        <v>38</v>
      </c>
      <c r="C17" s="2">
        <v>65.0</v>
      </c>
      <c r="D17" s="2" t="s">
        <v>39</v>
      </c>
      <c r="E17" s="2">
        <v>73.0</v>
      </c>
      <c r="F17" s="2" t="s">
        <v>40</v>
      </c>
      <c r="G17" s="2">
        <v>1.0</v>
      </c>
      <c r="H17" s="2">
        <v>1.0</v>
      </c>
      <c r="I17" s="2">
        <v>140.0</v>
      </c>
    </row>
    <row r="18" ht="26.25" customHeight="1">
      <c r="B18" s="4" t="s">
        <v>41</v>
      </c>
      <c r="C18" s="5">
        <f>SUBTOTAL(9,C17)</f>
        <v>65</v>
      </c>
      <c r="E18" s="5">
        <f>SUBTOTAL(9,E17)</f>
        <v>73</v>
      </c>
      <c r="G18" s="5">
        <f t="shared" ref="G18:I18" si="6">SUBTOTAL(9,G17)</f>
        <v>1</v>
      </c>
      <c r="H18" s="5">
        <f t="shared" si="6"/>
        <v>1</v>
      </c>
      <c r="I18" s="5">
        <f t="shared" si="6"/>
        <v>140</v>
      </c>
    </row>
    <row r="19" ht="26.25" customHeight="1">
      <c r="A19" s="2">
        <v>112.0</v>
      </c>
      <c r="B19" s="3" t="s">
        <v>42</v>
      </c>
      <c r="C19" s="2">
        <v>96.0</v>
      </c>
      <c r="D19" s="2" t="s">
        <v>43</v>
      </c>
      <c r="E19" s="2">
        <v>97.0</v>
      </c>
      <c r="F19" s="2" t="s">
        <v>44</v>
      </c>
      <c r="G19" s="2">
        <v>3.0</v>
      </c>
      <c r="H19" s="2">
        <v>0.0</v>
      </c>
      <c r="I19" s="2">
        <v>196.0</v>
      </c>
    </row>
    <row r="20" ht="26.25" customHeight="1">
      <c r="B20" s="4" t="s">
        <v>45</v>
      </c>
      <c r="C20" s="5">
        <f>SUBTOTAL(9,C19)</f>
        <v>96</v>
      </c>
      <c r="E20" s="5">
        <f>SUBTOTAL(9,E19)</f>
        <v>97</v>
      </c>
      <c r="G20" s="5">
        <f t="shared" ref="G20:I20" si="7">SUBTOTAL(9,G19)</f>
        <v>3</v>
      </c>
      <c r="H20" s="5">
        <f t="shared" si="7"/>
        <v>0</v>
      </c>
      <c r="I20" s="5">
        <f t="shared" si="7"/>
        <v>196</v>
      </c>
    </row>
    <row r="21" ht="26.25" customHeight="1">
      <c r="A21" s="2">
        <v>113.0</v>
      </c>
      <c r="B21" s="3" t="s">
        <v>46</v>
      </c>
      <c r="C21" s="2">
        <v>202.0</v>
      </c>
      <c r="D21" s="2" t="s">
        <v>47</v>
      </c>
      <c r="E21" s="2">
        <v>32.0</v>
      </c>
      <c r="F21" s="2" t="s">
        <v>48</v>
      </c>
      <c r="G21" s="2">
        <v>3.0</v>
      </c>
      <c r="H21" s="2">
        <v>5.0</v>
      </c>
      <c r="I21" s="2">
        <v>242.0</v>
      </c>
    </row>
    <row r="22" ht="26.25" customHeight="1">
      <c r="A22" s="2">
        <v>114.0</v>
      </c>
      <c r="B22" s="3" t="s">
        <v>49</v>
      </c>
      <c r="C22" s="2">
        <v>146.0</v>
      </c>
      <c r="D22" s="2" t="s">
        <v>50</v>
      </c>
      <c r="E22" s="2">
        <v>26.0</v>
      </c>
      <c r="F22" s="2" t="s">
        <v>51</v>
      </c>
      <c r="G22" s="2">
        <v>8.0</v>
      </c>
      <c r="H22" s="2">
        <v>2.0</v>
      </c>
      <c r="I22" s="2">
        <v>182.0</v>
      </c>
    </row>
    <row r="23" ht="26.25" customHeight="1">
      <c r="A23" s="2">
        <v>115.0</v>
      </c>
      <c r="B23" s="3" t="s">
        <v>46</v>
      </c>
      <c r="C23" s="2">
        <v>177.0</v>
      </c>
      <c r="D23" s="2" t="s">
        <v>52</v>
      </c>
      <c r="E23" s="2">
        <v>38.0</v>
      </c>
      <c r="F23" s="2" t="s">
        <v>53</v>
      </c>
      <c r="G23" s="2">
        <v>2.0</v>
      </c>
      <c r="H23" s="2">
        <v>0.0</v>
      </c>
      <c r="I23" s="2">
        <v>217.0</v>
      </c>
    </row>
    <row r="24" ht="26.25" customHeight="1">
      <c r="B24" s="4" t="s">
        <v>54</v>
      </c>
      <c r="C24" s="5">
        <f>SUBTOTAL(9,C21:C23)</f>
        <v>525</v>
      </c>
      <c r="E24" s="5">
        <f>SUBTOTAL(9,E21:E23)</f>
        <v>96</v>
      </c>
      <c r="G24" s="5">
        <f t="shared" ref="G24:I24" si="8">SUBTOTAL(9,G21:G23)</f>
        <v>13</v>
      </c>
      <c r="H24" s="5">
        <f t="shared" si="8"/>
        <v>7</v>
      </c>
      <c r="I24" s="5">
        <f t="shared" si="8"/>
        <v>641</v>
      </c>
    </row>
    <row r="25" ht="26.25" customHeight="1">
      <c r="A25" s="2">
        <v>116.0</v>
      </c>
      <c r="B25" s="3" t="s">
        <v>55</v>
      </c>
      <c r="C25" s="2">
        <v>130.0</v>
      </c>
      <c r="D25" s="2" t="s">
        <v>56</v>
      </c>
      <c r="E25" s="2">
        <v>104.0</v>
      </c>
      <c r="F25" s="2" t="s">
        <v>57</v>
      </c>
      <c r="G25" s="2">
        <v>4.0</v>
      </c>
      <c r="H25" s="2">
        <v>3.0</v>
      </c>
      <c r="I25" s="2">
        <v>241.0</v>
      </c>
    </row>
    <row r="26" ht="26.25" customHeight="1">
      <c r="B26" s="4" t="s">
        <v>58</v>
      </c>
      <c r="C26" s="5">
        <f>SUBTOTAL(9,C25)</f>
        <v>130</v>
      </c>
      <c r="E26" s="5">
        <f>SUBTOTAL(9,E25)</f>
        <v>104</v>
      </c>
      <c r="G26" s="5">
        <f t="shared" ref="G26:I26" si="9">SUBTOTAL(9,G25)</f>
        <v>4</v>
      </c>
      <c r="H26" s="5">
        <f t="shared" si="9"/>
        <v>3</v>
      </c>
      <c r="I26" s="5">
        <f t="shared" si="9"/>
        <v>241</v>
      </c>
    </row>
    <row r="27" ht="26.25" customHeight="1">
      <c r="A27" s="2">
        <v>117.0</v>
      </c>
      <c r="B27" s="3" t="s">
        <v>59</v>
      </c>
      <c r="C27" s="2">
        <v>71.0</v>
      </c>
      <c r="D27" s="2" t="s">
        <v>60</v>
      </c>
      <c r="E27" s="2">
        <v>85.0</v>
      </c>
      <c r="F27" s="2" t="s">
        <v>61</v>
      </c>
      <c r="G27" s="2">
        <v>1.0</v>
      </c>
      <c r="H27" s="2">
        <v>0.0</v>
      </c>
      <c r="I27" s="2">
        <v>157.0</v>
      </c>
    </row>
    <row r="28" ht="26.25" customHeight="1">
      <c r="A28" s="2">
        <v>118.0</v>
      </c>
      <c r="B28" s="3" t="s">
        <v>62</v>
      </c>
      <c r="C28" s="2">
        <v>67.0</v>
      </c>
      <c r="D28" s="2" t="s">
        <v>63</v>
      </c>
      <c r="E28" s="2">
        <v>75.0</v>
      </c>
      <c r="F28" s="2" t="s">
        <v>64</v>
      </c>
      <c r="G28" s="2">
        <v>1.0</v>
      </c>
      <c r="H28" s="2">
        <v>0.0</v>
      </c>
      <c r="I28" s="2">
        <v>143.0</v>
      </c>
    </row>
    <row r="29" ht="26.25" customHeight="1">
      <c r="B29" s="4" t="s">
        <v>65</v>
      </c>
      <c r="C29" s="5">
        <f>SUBTOTAL(9,C27:C28)</f>
        <v>138</v>
      </c>
      <c r="E29" s="5">
        <f>SUBTOTAL(9,E27:E28)</f>
        <v>160</v>
      </c>
      <c r="G29" s="5">
        <f t="shared" ref="G29:I29" si="10">SUBTOTAL(9,G27:G28)</f>
        <v>2</v>
      </c>
      <c r="H29" s="5">
        <f t="shared" si="10"/>
        <v>0</v>
      </c>
      <c r="I29" s="5">
        <f t="shared" si="10"/>
        <v>300</v>
      </c>
    </row>
    <row r="30" ht="26.25" customHeight="1">
      <c r="A30" s="2">
        <v>119.0</v>
      </c>
      <c r="B30" s="3" t="s">
        <v>66</v>
      </c>
      <c r="C30" s="2">
        <v>93.0</v>
      </c>
      <c r="D30" s="2" t="s">
        <v>67</v>
      </c>
      <c r="E30" s="2">
        <v>134.0</v>
      </c>
      <c r="F30" s="2" t="s">
        <v>68</v>
      </c>
      <c r="G30" s="2">
        <v>0.0</v>
      </c>
      <c r="H30" s="2">
        <v>0.0</v>
      </c>
      <c r="I30" s="2">
        <v>227.0</v>
      </c>
    </row>
    <row r="31" ht="26.25" customHeight="1">
      <c r="A31" s="2">
        <v>120.0</v>
      </c>
      <c r="B31" s="3" t="s">
        <v>66</v>
      </c>
      <c r="C31" s="2">
        <v>75.0</v>
      </c>
      <c r="D31" s="2" t="s">
        <v>69</v>
      </c>
      <c r="E31" s="2">
        <v>119.0</v>
      </c>
      <c r="F31" s="2" t="s">
        <v>70</v>
      </c>
      <c r="G31" s="2">
        <v>0.0</v>
      </c>
      <c r="H31" s="2">
        <v>1.0</v>
      </c>
      <c r="I31" s="2">
        <v>195.0</v>
      </c>
    </row>
    <row r="32" ht="26.25" customHeight="1">
      <c r="B32" s="4" t="s">
        <v>71</v>
      </c>
      <c r="C32" s="5">
        <f>SUBTOTAL(9,C30:C31)</f>
        <v>168</v>
      </c>
      <c r="E32" s="5">
        <f>SUBTOTAL(9,E30:E31)</f>
        <v>253</v>
      </c>
      <c r="G32" s="5">
        <f t="shared" ref="G32:I32" si="11">SUBTOTAL(9,G30:G31)</f>
        <v>0</v>
      </c>
      <c r="H32" s="5">
        <f t="shared" si="11"/>
        <v>1</v>
      </c>
      <c r="I32" s="5">
        <f t="shared" si="11"/>
        <v>422</v>
      </c>
    </row>
    <row r="33" ht="26.25" customHeight="1">
      <c r="A33" s="2">
        <v>121.0</v>
      </c>
      <c r="B33" s="3" t="s">
        <v>72</v>
      </c>
      <c r="C33" s="2">
        <v>94.0</v>
      </c>
      <c r="D33" s="2" t="s">
        <v>73</v>
      </c>
      <c r="E33" s="2">
        <v>53.0</v>
      </c>
      <c r="F33" s="2" t="s">
        <v>74</v>
      </c>
      <c r="G33" s="2">
        <v>4.0</v>
      </c>
      <c r="H33" s="2">
        <v>3.0</v>
      </c>
      <c r="I33" s="2">
        <v>154.0</v>
      </c>
    </row>
    <row r="34" ht="26.25" customHeight="1">
      <c r="B34" s="4" t="s">
        <v>75</v>
      </c>
      <c r="C34" s="5">
        <f>SUBTOTAL(9,C33)</f>
        <v>94</v>
      </c>
      <c r="E34" s="5">
        <f>SUBTOTAL(9,E33)</f>
        <v>53</v>
      </c>
      <c r="G34" s="5">
        <f t="shared" ref="G34:I34" si="12">SUBTOTAL(9,G33)</f>
        <v>4</v>
      </c>
      <c r="H34" s="5">
        <f t="shared" si="12"/>
        <v>3</v>
      </c>
      <c r="I34" s="5">
        <f t="shared" si="12"/>
        <v>154</v>
      </c>
    </row>
    <row r="35" ht="26.25" customHeight="1">
      <c r="A35" s="2">
        <v>122.0</v>
      </c>
      <c r="B35" s="3" t="s">
        <v>76</v>
      </c>
      <c r="C35" s="2">
        <v>109.0</v>
      </c>
      <c r="D35" s="2" t="s">
        <v>77</v>
      </c>
      <c r="E35" s="2">
        <v>158.0</v>
      </c>
      <c r="F35" s="2" t="s">
        <v>78</v>
      </c>
      <c r="G35" s="2">
        <v>4.0</v>
      </c>
      <c r="H35" s="2">
        <v>0.0</v>
      </c>
      <c r="I35" s="2">
        <v>271.0</v>
      </c>
    </row>
    <row r="36" ht="26.25" customHeight="1">
      <c r="B36" s="4" t="s">
        <v>79</v>
      </c>
      <c r="C36" s="5">
        <f>SUBTOTAL(9,C35)</f>
        <v>109</v>
      </c>
      <c r="E36" s="5">
        <f>SUBTOTAL(9,E35)</f>
        <v>158</v>
      </c>
      <c r="G36" s="5">
        <f t="shared" ref="G36:I36" si="13">SUBTOTAL(9,G35)</f>
        <v>4</v>
      </c>
      <c r="H36" s="5">
        <f t="shared" si="13"/>
        <v>0</v>
      </c>
      <c r="I36" s="5">
        <f t="shared" si="13"/>
        <v>271</v>
      </c>
    </row>
    <row r="37" ht="26.25" customHeight="1">
      <c r="A37" s="2">
        <v>123.0</v>
      </c>
      <c r="B37" s="3" t="s">
        <v>80</v>
      </c>
      <c r="C37" s="2">
        <v>95.0</v>
      </c>
      <c r="D37" s="2" t="s">
        <v>81</v>
      </c>
      <c r="E37" s="2">
        <v>51.0</v>
      </c>
      <c r="F37" s="2" t="s">
        <v>82</v>
      </c>
      <c r="G37" s="2">
        <v>5.0</v>
      </c>
      <c r="H37" s="2">
        <v>4.0</v>
      </c>
      <c r="I37" s="2">
        <v>155.0</v>
      </c>
    </row>
    <row r="38" ht="26.25" customHeight="1">
      <c r="B38" s="4" t="s">
        <v>83</v>
      </c>
      <c r="C38" s="5">
        <f>SUBTOTAL(9,C37)</f>
        <v>95</v>
      </c>
      <c r="E38" s="5">
        <f>SUBTOTAL(9,E37)</f>
        <v>51</v>
      </c>
      <c r="G38" s="5">
        <f t="shared" ref="G38:I38" si="14">SUBTOTAL(9,G37)</f>
        <v>5</v>
      </c>
      <c r="H38" s="5">
        <f t="shared" si="14"/>
        <v>4</v>
      </c>
      <c r="I38" s="5">
        <f t="shared" si="14"/>
        <v>155</v>
      </c>
    </row>
    <row r="39" ht="26.25" customHeight="1">
      <c r="A39" s="2">
        <v>124.0</v>
      </c>
      <c r="B39" s="3" t="s">
        <v>84</v>
      </c>
      <c r="C39" s="2">
        <v>154.0</v>
      </c>
      <c r="D39" s="2" t="s">
        <v>85</v>
      </c>
      <c r="E39" s="2">
        <v>166.0</v>
      </c>
      <c r="F39" s="2" t="s">
        <v>86</v>
      </c>
      <c r="G39" s="2">
        <v>4.0</v>
      </c>
      <c r="H39" s="2">
        <v>8.0</v>
      </c>
      <c r="I39" s="2">
        <v>332.0</v>
      </c>
    </row>
    <row r="40" ht="26.25" customHeight="1">
      <c r="B40" s="4" t="s">
        <v>87</v>
      </c>
      <c r="C40" s="5">
        <f>SUBTOTAL(9,C39)</f>
        <v>154</v>
      </c>
      <c r="E40" s="5">
        <f>SUBTOTAL(9,E39)</f>
        <v>166</v>
      </c>
      <c r="G40" s="5">
        <f t="shared" ref="G40:I40" si="15">SUBTOTAL(9,G39)</f>
        <v>4</v>
      </c>
      <c r="H40" s="5">
        <f t="shared" si="15"/>
        <v>8</v>
      </c>
      <c r="I40" s="5">
        <f t="shared" si="15"/>
        <v>332</v>
      </c>
    </row>
    <row r="41" ht="26.25" customHeight="1">
      <c r="A41" s="2">
        <v>125.0</v>
      </c>
      <c r="B41" s="3" t="s">
        <v>88</v>
      </c>
      <c r="C41" s="2">
        <v>235.0</v>
      </c>
      <c r="D41" s="2" t="s">
        <v>89</v>
      </c>
      <c r="E41" s="2">
        <v>97.0</v>
      </c>
      <c r="F41" s="2" t="s">
        <v>90</v>
      </c>
      <c r="G41" s="2">
        <v>2.0</v>
      </c>
      <c r="H41" s="2">
        <v>7.0</v>
      </c>
      <c r="I41" s="2">
        <v>341.0</v>
      </c>
    </row>
    <row r="42" ht="26.25" customHeight="1">
      <c r="A42" s="2">
        <v>126.0</v>
      </c>
      <c r="B42" s="3" t="s">
        <v>88</v>
      </c>
      <c r="C42" s="2">
        <v>125.0</v>
      </c>
      <c r="D42" s="2" t="s">
        <v>91</v>
      </c>
      <c r="E42" s="2">
        <v>60.0</v>
      </c>
      <c r="F42" s="2" t="s">
        <v>92</v>
      </c>
      <c r="G42" s="2">
        <v>3.0</v>
      </c>
      <c r="H42" s="2">
        <v>3.0</v>
      </c>
      <c r="I42" s="2">
        <v>191.0</v>
      </c>
    </row>
    <row r="43" ht="26.25" customHeight="1">
      <c r="B43" s="4" t="s">
        <v>93</v>
      </c>
      <c r="C43" s="5">
        <f>SUBTOTAL(9,C41:C42)</f>
        <v>360</v>
      </c>
      <c r="E43" s="5">
        <f>SUBTOTAL(9,E41:E42)</f>
        <v>157</v>
      </c>
      <c r="G43" s="5">
        <f t="shared" ref="G43:I43" si="16">SUBTOTAL(9,G41:G42)</f>
        <v>5</v>
      </c>
      <c r="H43" s="5">
        <f t="shared" si="16"/>
        <v>10</v>
      </c>
      <c r="I43" s="5">
        <f t="shared" si="16"/>
        <v>532</v>
      </c>
    </row>
    <row r="44" ht="26.25" customHeight="1">
      <c r="A44" s="2">
        <v>127.0</v>
      </c>
      <c r="B44" s="3" t="s">
        <v>94</v>
      </c>
      <c r="C44" s="2">
        <v>44.0</v>
      </c>
      <c r="D44" s="2" t="s">
        <v>95</v>
      </c>
      <c r="E44" s="2">
        <v>106.0</v>
      </c>
      <c r="F44" s="2" t="s">
        <v>96</v>
      </c>
      <c r="G44" s="2">
        <v>1.0</v>
      </c>
      <c r="H44" s="2">
        <v>1.0</v>
      </c>
      <c r="I44" s="2">
        <v>152.0</v>
      </c>
    </row>
    <row r="45" ht="26.25" customHeight="1">
      <c r="A45" s="2">
        <v>128.0</v>
      </c>
      <c r="B45" s="3" t="s">
        <v>94</v>
      </c>
      <c r="C45" s="2">
        <v>45.0</v>
      </c>
      <c r="D45" s="2" t="s">
        <v>97</v>
      </c>
      <c r="E45" s="2">
        <v>132.0</v>
      </c>
      <c r="F45" s="2" t="s">
        <v>98</v>
      </c>
      <c r="G45" s="2">
        <v>1.0</v>
      </c>
      <c r="H45" s="2">
        <v>3.0</v>
      </c>
      <c r="I45" s="2">
        <v>181.0</v>
      </c>
    </row>
    <row r="46" ht="26.25" customHeight="1">
      <c r="A46" s="2">
        <v>129.0</v>
      </c>
      <c r="B46" s="3" t="s">
        <v>94</v>
      </c>
      <c r="C46" s="2">
        <v>63.0</v>
      </c>
      <c r="D46" s="2" t="s">
        <v>99</v>
      </c>
      <c r="E46" s="2">
        <v>134.0</v>
      </c>
      <c r="F46" s="2" t="s">
        <v>100</v>
      </c>
      <c r="G46" s="2">
        <v>2.0</v>
      </c>
      <c r="H46" s="2">
        <v>3.0</v>
      </c>
      <c r="I46" s="2">
        <v>202.0</v>
      </c>
    </row>
    <row r="47" ht="26.25" customHeight="1">
      <c r="A47" s="2">
        <v>130.0</v>
      </c>
      <c r="B47" s="3" t="s">
        <v>94</v>
      </c>
      <c r="C47" s="2">
        <v>39.0</v>
      </c>
      <c r="D47" s="2" t="s">
        <v>101</v>
      </c>
      <c r="E47" s="2">
        <v>144.0</v>
      </c>
      <c r="F47" s="2" t="s">
        <v>102</v>
      </c>
      <c r="G47" s="2">
        <v>2.0</v>
      </c>
      <c r="H47" s="2">
        <v>5.0</v>
      </c>
      <c r="I47" s="2">
        <v>190.0</v>
      </c>
    </row>
    <row r="48" ht="26.25" customHeight="1">
      <c r="B48" s="4" t="s">
        <v>103</v>
      </c>
      <c r="C48" s="5">
        <f>SUBTOTAL(9,C44:C47)</f>
        <v>191</v>
      </c>
      <c r="E48" s="5">
        <f>SUBTOTAL(9,E44:E47)</f>
        <v>516</v>
      </c>
      <c r="G48" s="5">
        <f t="shared" ref="G48:I48" si="17">SUBTOTAL(9,G44:G47)</f>
        <v>6</v>
      </c>
      <c r="H48" s="5">
        <f t="shared" si="17"/>
        <v>12</v>
      </c>
      <c r="I48" s="5">
        <f t="shared" si="17"/>
        <v>725</v>
      </c>
    </row>
    <row r="49" ht="26.25" customHeight="1">
      <c r="A49" s="2">
        <v>131.0</v>
      </c>
      <c r="B49" s="3" t="s">
        <v>104</v>
      </c>
      <c r="C49" s="2">
        <v>133.0</v>
      </c>
      <c r="D49" s="2" t="s">
        <v>105</v>
      </c>
      <c r="E49" s="2">
        <v>87.0</v>
      </c>
      <c r="F49" s="2" t="s">
        <v>106</v>
      </c>
      <c r="G49" s="2">
        <v>2.0</v>
      </c>
      <c r="H49" s="2">
        <v>2.0</v>
      </c>
      <c r="I49" s="2">
        <v>224.0</v>
      </c>
    </row>
    <row r="50" ht="26.25" customHeight="1">
      <c r="A50" s="2">
        <v>132.0</v>
      </c>
      <c r="B50" s="3" t="s">
        <v>104</v>
      </c>
      <c r="C50" s="2">
        <v>122.0</v>
      </c>
      <c r="D50" s="2" t="s">
        <v>107</v>
      </c>
      <c r="E50" s="2">
        <v>93.0</v>
      </c>
      <c r="F50" s="2" t="s">
        <v>108</v>
      </c>
      <c r="G50" s="2">
        <v>0.0</v>
      </c>
      <c r="H50" s="2">
        <v>2.0</v>
      </c>
      <c r="I50" s="2">
        <v>217.0</v>
      </c>
    </row>
    <row r="51" ht="26.25" customHeight="1">
      <c r="B51" s="4" t="s">
        <v>109</v>
      </c>
      <c r="C51" s="5">
        <f>SUBTOTAL(9,C49:C50)</f>
        <v>255</v>
      </c>
      <c r="E51" s="5">
        <f>SUBTOTAL(9,E49:E50)</f>
        <v>180</v>
      </c>
      <c r="G51" s="5">
        <f t="shared" ref="G51:I51" si="18">SUBTOTAL(9,G49:G50)</f>
        <v>2</v>
      </c>
      <c r="H51" s="5">
        <f t="shared" si="18"/>
        <v>4</v>
      </c>
      <c r="I51" s="5">
        <f t="shared" si="18"/>
        <v>441</v>
      </c>
    </row>
    <row r="52" ht="26.25" customHeight="1">
      <c r="A52" s="2">
        <v>133.0</v>
      </c>
      <c r="B52" s="3" t="s">
        <v>110</v>
      </c>
      <c r="C52" s="2">
        <v>235.0</v>
      </c>
      <c r="D52" s="2" t="s">
        <v>111</v>
      </c>
      <c r="E52" s="2">
        <v>53.0</v>
      </c>
      <c r="F52" s="2" t="s">
        <v>112</v>
      </c>
      <c r="G52" s="2">
        <v>2.0</v>
      </c>
      <c r="H52" s="2">
        <v>2.0</v>
      </c>
      <c r="I52" s="2">
        <v>292.0</v>
      </c>
    </row>
    <row r="53" ht="26.25" customHeight="1">
      <c r="B53" s="4" t="s">
        <v>113</v>
      </c>
      <c r="C53" s="5">
        <f>SUBTOTAL(9,C52)</f>
        <v>235</v>
      </c>
      <c r="E53" s="5">
        <f>SUBTOTAL(9,E52)</f>
        <v>53</v>
      </c>
      <c r="G53" s="5">
        <f t="shared" ref="G53:I53" si="19">SUBTOTAL(9,G52)</f>
        <v>2</v>
      </c>
      <c r="H53" s="5">
        <f t="shared" si="19"/>
        <v>2</v>
      </c>
      <c r="I53" s="5">
        <f t="shared" si="19"/>
        <v>292</v>
      </c>
    </row>
    <row r="54" ht="26.25" customHeight="1">
      <c r="A54" s="2">
        <v>134.0</v>
      </c>
      <c r="B54" s="3" t="s">
        <v>114</v>
      </c>
      <c r="C54" s="2">
        <v>72.0</v>
      </c>
      <c r="D54" s="2" t="s">
        <v>115</v>
      </c>
      <c r="E54" s="2">
        <v>101.0</v>
      </c>
      <c r="F54" s="2" t="s">
        <v>116</v>
      </c>
      <c r="G54" s="2">
        <v>1.0</v>
      </c>
      <c r="H54" s="2">
        <v>3.0</v>
      </c>
      <c r="I54" s="2">
        <v>177.0</v>
      </c>
    </row>
    <row r="55" ht="26.25" customHeight="1">
      <c r="B55" s="4" t="s">
        <v>117</v>
      </c>
      <c r="C55" s="5">
        <f>SUBTOTAL(9,C54)</f>
        <v>72</v>
      </c>
      <c r="E55" s="5">
        <f>SUBTOTAL(9,E54)</f>
        <v>101</v>
      </c>
      <c r="G55" s="5">
        <f t="shared" ref="G55:I55" si="20">SUBTOTAL(9,G54)</f>
        <v>1</v>
      </c>
      <c r="H55" s="5">
        <f t="shared" si="20"/>
        <v>3</v>
      </c>
      <c r="I55" s="5">
        <f t="shared" si="20"/>
        <v>177</v>
      </c>
    </row>
    <row r="56" ht="26.25" customHeight="1">
      <c r="A56" s="2">
        <v>135.0</v>
      </c>
      <c r="B56" s="3" t="s">
        <v>118</v>
      </c>
      <c r="C56" s="2">
        <v>99.0</v>
      </c>
      <c r="D56" s="2" t="s">
        <v>119</v>
      </c>
      <c r="E56" s="2">
        <v>107.0</v>
      </c>
      <c r="F56" s="2" t="s">
        <v>120</v>
      </c>
      <c r="G56" s="2">
        <v>1.0</v>
      </c>
      <c r="H56" s="2">
        <v>3.0</v>
      </c>
      <c r="I56" s="2">
        <v>210.0</v>
      </c>
    </row>
    <row r="57" ht="26.25" customHeight="1">
      <c r="B57" s="4" t="s">
        <v>121</v>
      </c>
      <c r="C57" s="5">
        <f>SUBTOTAL(9,C56)</f>
        <v>99</v>
      </c>
      <c r="E57" s="5">
        <f>SUBTOTAL(9,E56)</f>
        <v>107</v>
      </c>
      <c r="G57" s="5">
        <f t="shared" ref="G57:I57" si="21">SUBTOTAL(9,G56)</f>
        <v>1</v>
      </c>
      <c r="H57" s="5">
        <f t="shared" si="21"/>
        <v>3</v>
      </c>
      <c r="I57" s="5">
        <f t="shared" si="21"/>
        <v>210</v>
      </c>
    </row>
    <row r="58" ht="26.25" customHeight="1">
      <c r="A58" s="2">
        <v>136.0</v>
      </c>
      <c r="B58" s="3" t="s">
        <v>122</v>
      </c>
      <c r="C58" s="2">
        <v>158.0</v>
      </c>
      <c r="D58" s="2" t="s">
        <v>123</v>
      </c>
      <c r="E58" s="2">
        <v>85.0</v>
      </c>
      <c r="F58" s="2" t="s">
        <v>124</v>
      </c>
      <c r="G58" s="2">
        <v>1.0</v>
      </c>
      <c r="H58" s="2">
        <v>4.0</v>
      </c>
      <c r="I58" s="2">
        <v>248.0</v>
      </c>
    </row>
    <row r="59" ht="26.25" customHeight="1">
      <c r="A59" s="2">
        <v>137.0</v>
      </c>
      <c r="B59" s="3" t="s">
        <v>122</v>
      </c>
      <c r="C59" s="2">
        <v>130.0</v>
      </c>
      <c r="D59" s="2" t="s">
        <v>125</v>
      </c>
      <c r="E59" s="2">
        <v>68.0</v>
      </c>
      <c r="F59" s="2" t="s">
        <v>126</v>
      </c>
      <c r="G59" s="2">
        <v>3.0</v>
      </c>
      <c r="H59" s="2">
        <v>5.0</v>
      </c>
      <c r="I59" s="2">
        <v>206.0</v>
      </c>
    </row>
    <row r="60" ht="26.25" customHeight="1">
      <c r="B60" s="4" t="s">
        <v>127</v>
      </c>
      <c r="C60" s="5">
        <f>SUBTOTAL(9,C58:C59)</f>
        <v>288</v>
      </c>
      <c r="E60" s="5">
        <f>SUBTOTAL(9,E58:E59)</f>
        <v>153</v>
      </c>
      <c r="G60" s="5">
        <f t="shared" ref="G60:I60" si="22">SUBTOTAL(9,G58:G59)</f>
        <v>4</v>
      </c>
      <c r="H60" s="5">
        <f t="shared" si="22"/>
        <v>9</v>
      </c>
      <c r="I60" s="5">
        <f t="shared" si="22"/>
        <v>454</v>
      </c>
    </row>
    <row r="61" ht="26.25" customHeight="1">
      <c r="A61" s="2">
        <v>138.0</v>
      </c>
      <c r="B61" s="3" t="s">
        <v>128</v>
      </c>
      <c r="C61" s="2">
        <v>115.0</v>
      </c>
      <c r="D61" s="2" t="s">
        <v>129</v>
      </c>
      <c r="E61" s="2">
        <v>19.0</v>
      </c>
      <c r="F61" s="2" t="s">
        <v>130</v>
      </c>
      <c r="G61" s="2">
        <v>3.0</v>
      </c>
      <c r="H61" s="2">
        <v>1.0</v>
      </c>
      <c r="I61" s="2">
        <v>138.0</v>
      </c>
    </row>
    <row r="62" ht="26.25" customHeight="1">
      <c r="A62" s="2">
        <v>139.0</v>
      </c>
      <c r="B62" s="3" t="s">
        <v>131</v>
      </c>
      <c r="C62" s="2">
        <v>116.0</v>
      </c>
      <c r="D62" s="2" t="s">
        <v>132</v>
      </c>
      <c r="E62" s="2">
        <v>45.0</v>
      </c>
      <c r="F62" s="2" t="s">
        <v>133</v>
      </c>
      <c r="G62" s="2">
        <v>1.0</v>
      </c>
      <c r="H62" s="2">
        <v>1.0</v>
      </c>
      <c r="I62" s="2">
        <v>163.0</v>
      </c>
    </row>
    <row r="63" ht="26.25" customHeight="1">
      <c r="B63" s="4" t="s">
        <v>134</v>
      </c>
      <c r="C63" s="5">
        <f>SUBTOTAL(9,C61:C62)</f>
        <v>231</v>
      </c>
      <c r="E63" s="5">
        <f>SUBTOTAL(9,E61:E62)</f>
        <v>64</v>
      </c>
      <c r="G63" s="5">
        <f t="shared" ref="G63:I63" si="23">SUBTOTAL(9,G61:G62)</f>
        <v>4</v>
      </c>
      <c r="H63" s="5">
        <f t="shared" si="23"/>
        <v>2</v>
      </c>
      <c r="I63" s="5">
        <f t="shared" si="23"/>
        <v>301</v>
      </c>
    </row>
    <row r="64" ht="26.25" customHeight="1">
      <c r="A64" s="2">
        <v>140.0</v>
      </c>
      <c r="B64" s="3" t="s">
        <v>135</v>
      </c>
      <c r="C64" s="2">
        <v>117.0</v>
      </c>
      <c r="D64" s="2" t="s">
        <v>136</v>
      </c>
      <c r="E64" s="2">
        <v>65.0</v>
      </c>
      <c r="F64" s="2" t="s">
        <v>137</v>
      </c>
      <c r="G64" s="2">
        <v>1.0</v>
      </c>
      <c r="H64" s="2">
        <v>3.0</v>
      </c>
      <c r="I64" s="2">
        <v>186.0</v>
      </c>
    </row>
    <row r="65" ht="26.25" customHeight="1">
      <c r="A65" s="2">
        <v>141.0</v>
      </c>
      <c r="B65" s="3" t="s">
        <v>135</v>
      </c>
      <c r="C65" s="2">
        <v>123.0</v>
      </c>
      <c r="D65" s="2" t="s">
        <v>138</v>
      </c>
      <c r="E65" s="2">
        <v>73.0</v>
      </c>
      <c r="F65" s="2" t="s">
        <v>139</v>
      </c>
      <c r="G65" s="2">
        <v>2.0</v>
      </c>
      <c r="H65" s="2">
        <v>1.0</v>
      </c>
      <c r="I65" s="2">
        <v>199.0</v>
      </c>
    </row>
    <row r="66" ht="26.25" customHeight="1">
      <c r="B66" s="4" t="s">
        <v>140</v>
      </c>
      <c r="C66" s="5">
        <f>SUBTOTAL(9,C64:C65)</f>
        <v>240</v>
      </c>
      <c r="E66" s="5">
        <f>SUBTOTAL(9,E64:E65)</f>
        <v>138</v>
      </c>
      <c r="G66" s="5">
        <f t="shared" ref="G66:I66" si="24">SUBTOTAL(9,G64:G65)</f>
        <v>3</v>
      </c>
      <c r="H66" s="5">
        <f t="shared" si="24"/>
        <v>4</v>
      </c>
      <c r="I66" s="5">
        <f t="shared" si="24"/>
        <v>385</v>
      </c>
    </row>
    <row r="67" ht="26.25" customHeight="1">
      <c r="A67" s="2">
        <v>142.0</v>
      </c>
      <c r="B67" s="3" t="s">
        <v>141</v>
      </c>
      <c r="C67" s="2">
        <v>61.0</v>
      </c>
      <c r="D67" s="2" t="s">
        <v>142</v>
      </c>
      <c r="E67" s="2">
        <v>84.0</v>
      </c>
      <c r="F67" s="2" t="s">
        <v>143</v>
      </c>
      <c r="G67" s="2">
        <v>1.0</v>
      </c>
      <c r="H67" s="2">
        <v>0.0</v>
      </c>
      <c r="I67" s="2">
        <v>146.0</v>
      </c>
    </row>
    <row r="68" ht="26.25" customHeight="1">
      <c r="B68" s="4" t="s">
        <v>144</v>
      </c>
      <c r="C68" s="5">
        <f>SUBTOTAL(9,C67)</f>
        <v>61</v>
      </c>
      <c r="E68" s="5">
        <f>SUBTOTAL(9,E67)</f>
        <v>84</v>
      </c>
      <c r="G68" s="5">
        <f t="shared" ref="G68:I68" si="25">SUBTOTAL(9,G67)</f>
        <v>1</v>
      </c>
      <c r="H68" s="5">
        <f t="shared" si="25"/>
        <v>0</v>
      </c>
      <c r="I68" s="5">
        <f t="shared" si="25"/>
        <v>146</v>
      </c>
    </row>
    <row r="69" ht="26.25" customHeight="1">
      <c r="A69" s="2">
        <v>143.0</v>
      </c>
      <c r="B69" s="3" t="s">
        <v>145</v>
      </c>
      <c r="C69" s="2">
        <v>79.0</v>
      </c>
      <c r="D69" s="2" t="s">
        <v>146</v>
      </c>
      <c r="E69" s="2">
        <v>22.0</v>
      </c>
      <c r="F69" s="2" t="s">
        <v>147</v>
      </c>
      <c r="G69" s="2">
        <v>2.0</v>
      </c>
      <c r="H69" s="2">
        <v>0.0</v>
      </c>
      <c r="I69" s="2">
        <v>103.0</v>
      </c>
    </row>
    <row r="70" ht="26.25" customHeight="1">
      <c r="A70" s="2">
        <v>144.0</v>
      </c>
      <c r="B70" s="3" t="s">
        <v>145</v>
      </c>
      <c r="C70" s="2">
        <v>106.0</v>
      </c>
      <c r="D70" s="2" t="s">
        <v>148</v>
      </c>
      <c r="E70" s="2">
        <v>67.0</v>
      </c>
      <c r="F70" s="2" t="s">
        <v>149</v>
      </c>
      <c r="G70" s="2">
        <v>5.0</v>
      </c>
      <c r="H70" s="2">
        <v>0.0</v>
      </c>
      <c r="I70" s="2">
        <v>178.0</v>
      </c>
    </row>
    <row r="71" ht="26.25" customHeight="1">
      <c r="A71" s="2">
        <v>145.0</v>
      </c>
      <c r="B71" s="3" t="s">
        <v>145</v>
      </c>
      <c r="C71" s="2">
        <v>121.0</v>
      </c>
      <c r="D71" s="2" t="s">
        <v>150</v>
      </c>
      <c r="E71" s="2">
        <v>50.0</v>
      </c>
      <c r="F71" s="2" t="s">
        <v>151</v>
      </c>
      <c r="G71" s="2">
        <v>3.0</v>
      </c>
      <c r="H71" s="2">
        <v>3.0</v>
      </c>
      <c r="I71" s="2">
        <v>177.0</v>
      </c>
    </row>
    <row r="72" ht="26.25" customHeight="1">
      <c r="A72" s="2">
        <v>146.0</v>
      </c>
      <c r="B72" s="3" t="s">
        <v>145</v>
      </c>
      <c r="C72" s="2">
        <v>105.0</v>
      </c>
      <c r="D72" s="2" t="s">
        <v>152</v>
      </c>
      <c r="E72" s="2">
        <v>58.0</v>
      </c>
      <c r="F72" s="2" t="s">
        <v>153</v>
      </c>
      <c r="G72" s="2">
        <v>2.0</v>
      </c>
      <c r="H72" s="2">
        <v>1.0</v>
      </c>
      <c r="I72" s="2">
        <v>166.0</v>
      </c>
    </row>
    <row r="73" ht="26.25" customHeight="1">
      <c r="A73" s="2">
        <v>147.0</v>
      </c>
      <c r="B73" s="3" t="s">
        <v>145</v>
      </c>
      <c r="C73" s="2">
        <v>127.0</v>
      </c>
      <c r="D73" s="2" t="s">
        <v>154</v>
      </c>
      <c r="E73" s="2">
        <v>57.0</v>
      </c>
      <c r="F73" s="2" t="s">
        <v>155</v>
      </c>
      <c r="G73" s="2">
        <v>2.0</v>
      </c>
      <c r="H73" s="2">
        <v>0.0</v>
      </c>
      <c r="I73" s="2">
        <v>186.0</v>
      </c>
    </row>
    <row r="74" ht="26.25" customHeight="1">
      <c r="A74" s="2">
        <v>148.0</v>
      </c>
      <c r="B74" s="3" t="s">
        <v>145</v>
      </c>
      <c r="C74" s="2">
        <v>77.0</v>
      </c>
      <c r="D74" s="2" t="s">
        <v>156</v>
      </c>
      <c r="E74" s="2">
        <v>58.0</v>
      </c>
      <c r="F74" s="2" t="s">
        <v>157</v>
      </c>
      <c r="G74" s="2">
        <v>0.0</v>
      </c>
      <c r="H74" s="2">
        <v>0.0</v>
      </c>
      <c r="I74" s="2">
        <v>135.0</v>
      </c>
    </row>
    <row r="75" ht="26.25" customHeight="1">
      <c r="B75" s="4" t="s">
        <v>158</v>
      </c>
      <c r="C75" s="5">
        <f>SUBTOTAL(9,C69:C74)</f>
        <v>615</v>
      </c>
      <c r="E75" s="5">
        <f>SUBTOTAL(9,E69:E74)</f>
        <v>312</v>
      </c>
      <c r="G75" s="5">
        <f t="shared" ref="G75:I75" si="26">SUBTOTAL(9,G69:G74)</f>
        <v>14</v>
      </c>
      <c r="H75" s="5">
        <f t="shared" si="26"/>
        <v>4</v>
      </c>
      <c r="I75" s="5">
        <f t="shared" si="26"/>
        <v>945</v>
      </c>
    </row>
    <row r="76" ht="26.25" customHeight="1">
      <c r="A76" s="2">
        <v>149.0</v>
      </c>
      <c r="B76" s="3" t="s">
        <v>159</v>
      </c>
      <c r="C76" s="2">
        <v>119.0</v>
      </c>
      <c r="D76" s="2" t="s">
        <v>160</v>
      </c>
      <c r="E76" s="2">
        <v>62.0</v>
      </c>
      <c r="F76" s="2" t="s">
        <v>161</v>
      </c>
      <c r="G76" s="2">
        <v>1.0</v>
      </c>
      <c r="H76" s="2">
        <v>1.0</v>
      </c>
      <c r="I76" s="2">
        <v>183.0</v>
      </c>
    </row>
    <row r="77" ht="26.25" customHeight="1">
      <c r="A77" s="2">
        <v>150.0</v>
      </c>
      <c r="B77" s="3" t="s">
        <v>159</v>
      </c>
      <c r="C77" s="2">
        <v>94.0</v>
      </c>
      <c r="D77" s="2" t="s">
        <v>162</v>
      </c>
      <c r="E77" s="2">
        <v>68.0</v>
      </c>
      <c r="F77" s="2" t="s">
        <v>163</v>
      </c>
      <c r="G77" s="2">
        <v>1.0</v>
      </c>
      <c r="H77" s="2">
        <v>0.0</v>
      </c>
      <c r="I77" s="2">
        <v>163.0</v>
      </c>
    </row>
    <row r="78" ht="26.25" customHeight="1">
      <c r="A78" s="2">
        <v>151.0</v>
      </c>
      <c r="B78" s="3" t="s">
        <v>159</v>
      </c>
      <c r="C78" s="2">
        <v>70.0</v>
      </c>
      <c r="D78" s="2" t="s">
        <v>164</v>
      </c>
      <c r="E78" s="2">
        <v>62.0</v>
      </c>
      <c r="F78" s="2" t="s">
        <v>165</v>
      </c>
      <c r="G78" s="2">
        <v>1.0</v>
      </c>
      <c r="H78" s="2">
        <v>0.0</v>
      </c>
      <c r="I78" s="2">
        <v>133.0</v>
      </c>
    </row>
    <row r="79" ht="26.25" customHeight="1">
      <c r="A79" s="2">
        <v>152.0</v>
      </c>
      <c r="B79" s="3" t="s">
        <v>159</v>
      </c>
      <c r="C79" s="2">
        <v>117.0</v>
      </c>
      <c r="D79" s="2" t="s">
        <v>166</v>
      </c>
      <c r="E79" s="2">
        <v>69.0</v>
      </c>
      <c r="F79" s="2" t="s">
        <v>167</v>
      </c>
      <c r="G79" s="2">
        <v>1.0</v>
      </c>
      <c r="H79" s="2">
        <v>1.0</v>
      </c>
      <c r="I79" s="2">
        <v>188.0</v>
      </c>
    </row>
    <row r="80" ht="26.25" customHeight="1">
      <c r="A80" s="2">
        <v>153.0</v>
      </c>
      <c r="B80" s="3" t="s">
        <v>159</v>
      </c>
      <c r="C80" s="2">
        <v>102.0</v>
      </c>
      <c r="D80" s="2" t="s">
        <v>168</v>
      </c>
      <c r="E80" s="2">
        <v>61.0</v>
      </c>
      <c r="F80" s="2" t="s">
        <v>169</v>
      </c>
      <c r="G80" s="2">
        <v>1.0</v>
      </c>
      <c r="H80" s="2">
        <v>0.0</v>
      </c>
      <c r="I80" s="2">
        <v>164.0</v>
      </c>
    </row>
    <row r="81" ht="26.25" customHeight="1">
      <c r="A81" s="2">
        <v>154.0</v>
      </c>
      <c r="B81" s="3" t="s">
        <v>159</v>
      </c>
      <c r="C81" s="2">
        <v>81.0</v>
      </c>
      <c r="D81" s="2" t="s">
        <v>170</v>
      </c>
      <c r="E81" s="2">
        <v>46.0</v>
      </c>
      <c r="F81" s="2" t="s">
        <v>171</v>
      </c>
      <c r="G81" s="2">
        <v>0.0</v>
      </c>
      <c r="H81" s="2">
        <v>2.0</v>
      </c>
      <c r="I81" s="2">
        <v>129.0</v>
      </c>
    </row>
    <row r="82" ht="26.25" customHeight="1">
      <c r="B82" s="4" t="s">
        <v>172</v>
      </c>
      <c r="C82" s="5">
        <f>SUBTOTAL(9,C76:C81)</f>
        <v>583</v>
      </c>
      <c r="E82" s="5">
        <f>SUBTOTAL(9,E76:E81)</f>
        <v>368</v>
      </c>
      <c r="G82" s="5">
        <f t="shared" ref="G82:I82" si="27">SUBTOTAL(9,G76:G81)</f>
        <v>5</v>
      </c>
      <c r="H82" s="5">
        <f t="shared" si="27"/>
        <v>4</v>
      </c>
      <c r="I82" s="5">
        <f t="shared" si="27"/>
        <v>960</v>
      </c>
    </row>
    <row r="83" ht="15.0" customHeight="1">
      <c r="A83" s="2">
        <v>155.0</v>
      </c>
      <c r="B83" s="3" t="s">
        <v>173</v>
      </c>
      <c r="C83" s="2">
        <v>58.0</v>
      </c>
      <c r="D83" s="2" t="s">
        <v>174</v>
      </c>
      <c r="E83" s="2">
        <v>70.0</v>
      </c>
      <c r="F83" s="2" t="s">
        <v>175</v>
      </c>
      <c r="G83" s="2">
        <v>0.0</v>
      </c>
      <c r="H83" s="2">
        <v>2.0</v>
      </c>
      <c r="I83" s="2">
        <v>130.0</v>
      </c>
    </row>
    <row r="84" ht="15.0" customHeight="1">
      <c r="B84" s="4" t="s">
        <v>176</v>
      </c>
      <c r="C84" s="5">
        <f>SUBTOTAL(9,C83)</f>
        <v>58</v>
      </c>
      <c r="E84" s="5">
        <f>SUBTOTAL(9,E83)</f>
        <v>70</v>
      </c>
      <c r="G84" s="5">
        <f t="shared" ref="G84:I84" si="28">SUBTOTAL(9,G83)</f>
        <v>0</v>
      </c>
      <c r="H84" s="5">
        <f t="shared" si="28"/>
        <v>2</v>
      </c>
      <c r="I84" s="5">
        <f t="shared" si="28"/>
        <v>130</v>
      </c>
    </row>
    <row r="85" ht="26.25" customHeight="1">
      <c r="A85" s="2">
        <v>156.0</v>
      </c>
      <c r="B85" s="3" t="s">
        <v>177</v>
      </c>
      <c r="C85" s="2">
        <v>115.0</v>
      </c>
      <c r="D85" s="2" t="s">
        <v>178</v>
      </c>
      <c r="E85" s="2">
        <v>121.0</v>
      </c>
      <c r="F85" s="2" t="s">
        <v>179</v>
      </c>
      <c r="G85" s="2">
        <v>0.0</v>
      </c>
      <c r="H85" s="2">
        <v>2.0</v>
      </c>
      <c r="I85" s="2">
        <v>238.0</v>
      </c>
    </row>
    <row r="86" ht="26.25" customHeight="1">
      <c r="B86" s="4" t="s">
        <v>180</v>
      </c>
      <c r="C86" s="5">
        <f>SUBTOTAL(9,C85)</f>
        <v>115</v>
      </c>
      <c r="E86" s="5">
        <f>SUBTOTAL(9,E85)</f>
        <v>121</v>
      </c>
      <c r="G86" s="5">
        <f t="shared" ref="G86:I86" si="29">SUBTOTAL(9,G85)</f>
        <v>0</v>
      </c>
      <c r="H86" s="5">
        <f t="shared" si="29"/>
        <v>2</v>
      </c>
      <c r="I86" s="5">
        <f t="shared" si="29"/>
        <v>238</v>
      </c>
    </row>
    <row r="87" ht="26.25" customHeight="1">
      <c r="A87" s="2">
        <v>157.0</v>
      </c>
      <c r="B87" s="3" t="s">
        <v>181</v>
      </c>
      <c r="C87" s="2">
        <v>199.0</v>
      </c>
      <c r="D87" s="2" t="s">
        <v>182</v>
      </c>
      <c r="E87" s="2">
        <v>66.0</v>
      </c>
      <c r="F87" s="2" t="s">
        <v>183</v>
      </c>
      <c r="G87" s="2">
        <v>2.0</v>
      </c>
      <c r="H87" s="2">
        <v>2.0</v>
      </c>
      <c r="I87" s="2">
        <v>269.0</v>
      </c>
    </row>
    <row r="88" ht="26.25" customHeight="1">
      <c r="B88" s="4" t="s">
        <v>184</v>
      </c>
      <c r="C88" s="5">
        <f>SUBTOTAL(9,C87)</f>
        <v>199</v>
      </c>
      <c r="E88" s="5">
        <f>SUBTOTAL(9,E87)</f>
        <v>66</v>
      </c>
      <c r="G88" s="5">
        <f t="shared" ref="G88:I88" si="30">SUBTOTAL(9,G87)</f>
        <v>2</v>
      </c>
      <c r="H88" s="5">
        <f t="shared" si="30"/>
        <v>2</v>
      </c>
      <c r="I88" s="5">
        <f t="shared" si="30"/>
        <v>269</v>
      </c>
    </row>
    <row r="89" ht="26.25" customHeight="1">
      <c r="A89" s="2">
        <v>158.0</v>
      </c>
      <c r="B89" s="3" t="s">
        <v>185</v>
      </c>
      <c r="C89" s="2">
        <v>55.0</v>
      </c>
      <c r="D89" s="2" t="s">
        <v>186</v>
      </c>
      <c r="E89" s="2">
        <v>115.0</v>
      </c>
      <c r="F89" s="2" t="s">
        <v>187</v>
      </c>
      <c r="G89" s="2">
        <v>1.0</v>
      </c>
      <c r="H89" s="2">
        <v>1.0</v>
      </c>
      <c r="I89" s="2">
        <v>172.0</v>
      </c>
    </row>
    <row r="90" ht="26.25" customHeight="1">
      <c r="A90" s="2">
        <v>159.0</v>
      </c>
      <c r="B90" s="3" t="s">
        <v>185</v>
      </c>
      <c r="C90" s="2">
        <v>74.0</v>
      </c>
      <c r="D90" s="2" t="s">
        <v>188</v>
      </c>
      <c r="E90" s="2">
        <v>118.0</v>
      </c>
      <c r="F90" s="2" t="s">
        <v>189</v>
      </c>
      <c r="G90" s="2">
        <v>0.0</v>
      </c>
      <c r="H90" s="2">
        <v>1.0</v>
      </c>
      <c r="I90" s="2">
        <v>193.0</v>
      </c>
    </row>
    <row r="91" ht="26.25" customHeight="1">
      <c r="A91" s="2">
        <v>160.0</v>
      </c>
      <c r="B91" s="3" t="s">
        <v>185</v>
      </c>
      <c r="C91" s="2">
        <v>65.0</v>
      </c>
      <c r="D91" s="2" t="s">
        <v>190</v>
      </c>
      <c r="E91" s="2">
        <v>135.0</v>
      </c>
      <c r="F91" s="2" t="s">
        <v>191</v>
      </c>
      <c r="G91" s="2">
        <v>3.0</v>
      </c>
      <c r="H91" s="2">
        <v>5.0</v>
      </c>
      <c r="I91" s="2">
        <v>208.0</v>
      </c>
    </row>
    <row r="92" ht="26.25" customHeight="1">
      <c r="A92" s="2">
        <v>161.0</v>
      </c>
      <c r="B92" s="3" t="s">
        <v>185</v>
      </c>
      <c r="C92" s="2">
        <v>68.0</v>
      </c>
      <c r="D92" s="2" t="s">
        <v>192</v>
      </c>
      <c r="E92" s="2">
        <v>137.0</v>
      </c>
      <c r="F92" s="2" t="s">
        <v>191</v>
      </c>
      <c r="G92" s="2">
        <v>1.0</v>
      </c>
      <c r="H92" s="2">
        <v>5.0</v>
      </c>
      <c r="I92" s="2">
        <v>211.0</v>
      </c>
    </row>
    <row r="93" ht="26.25" customHeight="1">
      <c r="B93" s="4" t="s">
        <v>193</v>
      </c>
      <c r="C93" s="5">
        <f>SUBTOTAL(9,C89:C92)</f>
        <v>262</v>
      </c>
      <c r="E93" s="5">
        <f>SUBTOTAL(9,E89:E92)</f>
        <v>505</v>
      </c>
      <c r="G93" s="5">
        <f t="shared" ref="G93:I93" si="31">SUBTOTAL(9,G89:G92)</f>
        <v>5</v>
      </c>
      <c r="H93" s="5">
        <f t="shared" si="31"/>
        <v>12</v>
      </c>
      <c r="I93" s="5">
        <f t="shared" si="31"/>
        <v>784</v>
      </c>
    </row>
    <row r="94" ht="26.25" customHeight="1">
      <c r="A94" s="2">
        <v>163.0</v>
      </c>
      <c r="B94" s="3" t="s">
        <v>194</v>
      </c>
      <c r="C94" s="2">
        <v>78.0</v>
      </c>
      <c r="D94" s="2" t="s">
        <v>195</v>
      </c>
      <c r="E94" s="2">
        <v>25.0</v>
      </c>
      <c r="F94" s="2" t="s">
        <v>196</v>
      </c>
      <c r="G94" s="2">
        <v>2.0</v>
      </c>
      <c r="H94" s="2">
        <v>4.0</v>
      </c>
      <c r="I94" s="2">
        <v>109.0</v>
      </c>
    </row>
    <row r="95" ht="26.25" customHeight="1">
      <c r="A95" s="2">
        <v>164.0</v>
      </c>
      <c r="B95" s="3" t="s">
        <v>194</v>
      </c>
      <c r="C95" s="2">
        <v>46.0</v>
      </c>
      <c r="D95" s="2" t="s">
        <v>197</v>
      </c>
      <c r="E95" s="2">
        <v>15.0</v>
      </c>
      <c r="F95" s="2" t="s">
        <v>198</v>
      </c>
      <c r="G95" s="2">
        <v>0.0</v>
      </c>
      <c r="H95" s="2">
        <v>0.0</v>
      </c>
      <c r="I95" s="2">
        <v>61.0</v>
      </c>
    </row>
    <row r="96" ht="26.25" customHeight="1">
      <c r="B96" s="4" t="s">
        <v>199</v>
      </c>
      <c r="C96" s="5">
        <f>SUBTOTAL(9,C94:C95)</f>
        <v>124</v>
      </c>
      <c r="E96" s="5">
        <f>SUBTOTAL(9,E94:E95)</f>
        <v>40</v>
      </c>
      <c r="G96" s="5">
        <f t="shared" ref="G96:I96" si="32">SUBTOTAL(9,G94:G95)</f>
        <v>2</v>
      </c>
      <c r="H96" s="5">
        <f t="shared" si="32"/>
        <v>4</v>
      </c>
      <c r="I96" s="5">
        <f t="shared" si="32"/>
        <v>170</v>
      </c>
    </row>
    <row r="97" ht="26.25" customHeight="1">
      <c r="A97" s="2">
        <v>165.0</v>
      </c>
      <c r="B97" s="3" t="s">
        <v>200</v>
      </c>
      <c r="C97" s="2">
        <v>137.0</v>
      </c>
      <c r="D97" s="2" t="s">
        <v>201</v>
      </c>
      <c r="E97" s="2">
        <v>105.0</v>
      </c>
      <c r="F97" s="2" t="s">
        <v>202</v>
      </c>
      <c r="G97" s="2">
        <v>1.0</v>
      </c>
      <c r="H97" s="2">
        <v>0.0</v>
      </c>
      <c r="I97" s="2">
        <v>243.0</v>
      </c>
    </row>
    <row r="98" ht="26.25" customHeight="1">
      <c r="B98" s="4" t="s">
        <v>203</v>
      </c>
      <c r="C98" s="5">
        <f>SUBTOTAL(9,C97)</f>
        <v>137</v>
      </c>
      <c r="E98" s="5">
        <f>SUBTOTAL(9,E97)</f>
        <v>105</v>
      </c>
      <c r="G98" s="5">
        <f t="shared" ref="G98:I98" si="33">SUBTOTAL(9,G97)</f>
        <v>1</v>
      </c>
      <c r="H98" s="5">
        <f t="shared" si="33"/>
        <v>0</v>
      </c>
      <c r="I98" s="5">
        <f t="shared" si="33"/>
        <v>243</v>
      </c>
    </row>
    <row r="99" ht="26.25" customHeight="1">
      <c r="A99" s="2">
        <v>166.0</v>
      </c>
      <c r="B99" s="3" t="s">
        <v>204</v>
      </c>
      <c r="C99" s="2">
        <v>121.0</v>
      </c>
      <c r="D99" s="2" t="s">
        <v>205</v>
      </c>
      <c r="E99" s="2">
        <v>68.0</v>
      </c>
      <c r="F99" s="2" t="s">
        <v>206</v>
      </c>
      <c r="G99" s="2">
        <v>2.0</v>
      </c>
      <c r="H99" s="2">
        <v>1.0</v>
      </c>
      <c r="I99" s="2">
        <v>192.0</v>
      </c>
    </row>
    <row r="100" ht="26.25" customHeight="1">
      <c r="B100" s="4" t="s">
        <v>207</v>
      </c>
      <c r="C100" s="5">
        <f>SUBTOTAL(9,C99)</f>
        <v>121</v>
      </c>
      <c r="E100" s="5">
        <f>SUBTOTAL(9,E99)</f>
        <v>68</v>
      </c>
      <c r="G100" s="5">
        <f t="shared" ref="G100:I100" si="34">SUBTOTAL(9,G99)</f>
        <v>2</v>
      </c>
      <c r="H100" s="5">
        <f t="shared" si="34"/>
        <v>1</v>
      </c>
      <c r="I100" s="5">
        <f t="shared" si="34"/>
        <v>192</v>
      </c>
    </row>
    <row r="101" ht="26.25" customHeight="1">
      <c r="A101" s="2">
        <v>167.0</v>
      </c>
      <c r="B101" s="3" t="s">
        <v>208</v>
      </c>
      <c r="C101" s="2">
        <v>161.0</v>
      </c>
      <c r="D101" s="2" t="s">
        <v>209</v>
      </c>
      <c r="E101" s="2">
        <v>114.0</v>
      </c>
      <c r="F101" s="2" t="s">
        <v>210</v>
      </c>
      <c r="G101" s="2">
        <v>5.0</v>
      </c>
      <c r="H101" s="2">
        <v>2.0</v>
      </c>
      <c r="I101" s="2">
        <v>282.0</v>
      </c>
    </row>
    <row r="102" ht="26.25" customHeight="1">
      <c r="A102" s="2">
        <v>168.0</v>
      </c>
      <c r="B102" s="3" t="s">
        <v>208</v>
      </c>
      <c r="C102" s="2">
        <v>125.0</v>
      </c>
      <c r="D102" s="2" t="s">
        <v>211</v>
      </c>
      <c r="E102" s="2">
        <v>91.0</v>
      </c>
      <c r="F102" s="2" t="s">
        <v>212</v>
      </c>
      <c r="G102" s="2">
        <v>3.0</v>
      </c>
      <c r="H102" s="2">
        <v>2.0</v>
      </c>
      <c r="I102" s="2">
        <v>221.0</v>
      </c>
    </row>
    <row r="103" ht="26.25" customHeight="1">
      <c r="B103" s="4" t="s">
        <v>213</v>
      </c>
      <c r="C103" s="5">
        <f>SUBTOTAL(9,C101:C102)</f>
        <v>286</v>
      </c>
      <c r="E103" s="5">
        <f>SUBTOTAL(9,E101:E102)</f>
        <v>205</v>
      </c>
      <c r="G103" s="5">
        <f t="shared" ref="G103:I103" si="35">SUBTOTAL(9,G101:G102)</f>
        <v>8</v>
      </c>
      <c r="H103" s="5">
        <f t="shared" si="35"/>
        <v>4</v>
      </c>
      <c r="I103" s="5">
        <f t="shared" si="35"/>
        <v>503</v>
      </c>
    </row>
    <row r="104" ht="26.25" customHeight="1">
      <c r="A104" s="2">
        <v>169.0</v>
      </c>
      <c r="B104" s="3" t="s">
        <v>214</v>
      </c>
      <c r="C104" s="2">
        <v>107.0</v>
      </c>
      <c r="D104" s="2" t="s">
        <v>215</v>
      </c>
      <c r="E104" s="2">
        <v>90.0</v>
      </c>
      <c r="F104" s="2" t="s">
        <v>216</v>
      </c>
      <c r="G104" s="2">
        <v>9.0</v>
      </c>
      <c r="H104" s="2">
        <v>1.0</v>
      </c>
      <c r="I104" s="2">
        <v>207.0</v>
      </c>
    </row>
    <row r="105" ht="26.25" customHeight="1">
      <c r="A105" s="2">
        <v>170.0</v>
      </c>
      <c r="B105" s="3" t="s">
        <v>214</v>
      </c>
      <c r="C105" s="2">
        <v>138.0</v>
      </c>
      <c r="D105" s="2" t="s">
        <v>217</v>
      </c>
      <c r="E105" s="2">
        <v>88.0</v>
      </c>
      <c r="F105" s="2" t="s">
        <v>218</v>
      </c>
      <c r="G105" s="2">
        <v>3.0</v>
      </c>
      <c r="H105" s="2">
        <v>2.0</v>
      </c>
      <c r="I105" s="2">
        <v>231.0</v>
      </c>
    </row>
    <row r="106" ht="26.25" customHeight="1">
      <c r="A106" s="2">
        <v>171.0</v>
      </c>
      <c r="B106" s="3" t="s">
        <v>214</v>
      </c>
      <c r="C106" s="2">
        <v>127.0</v>
      </c>
      <c r="D106" s="2" t="s">
        <v>219</v>
      </c>
      <c r="E106" s="2">
        <v>52.0</v>
      </c>
      <c r="F106" s="2" t="s">
        <v>220</v>
      </c>
      <c r="G106" s="2">
        <v>5.0</v>
      </c>
      <c r="H106" s="2">
        <v>0.0</v>
      </c>
      <c r="I106" s="2">
        <v>184.0</v>
      </c>
    </row>
    <row r="107" ht="26.25" customHeight="1">
      <c r="A107" s="2">
        <v>172.0</v>
      </c>
      <c r="B107" s="3" t="s">
        <v>214</v>
      </c>
      <c r="C107" s="2">
        <v>116.0</v>
      </c>
      <c r="D107" s="2" t="s">
        <v>221</v>
      </c>
      <c r="E107" s="2">
        <v>53.0</v>
      </c>
      <c r="F107" s="2" t="s">
        <v>222</v>
      </c>
      <c r="G107" s="2">
        <v>2.0</v>
      </c>
      <c r="H107" s="2">
        <v>1.0</v>
      </c>
      <c r="I107" s="2">
        <v>172.0</v>
      </c>
    </row>
    <row r="108" ht="26.25" customHeight="1">
      <c r="A108" s="2">
        <v>173.0</v>
      </c>
      <c r="B108" s="3" t="s">
        <v>214</v>
      </c>
      <c r="C108" s="2">
        <v>96.0</v>
      </c>
      <c r="D108" s="2" t="s">
        <v>223</v>
      </c>
      <c r="E108" s="2">
        <v>60.0</v>
      </c>
      <c r="F108" s="2" t="s">
        <v>224</v>
      </c>
      <c r="G108" s="2">
        <v>5.0</v>
      </c>
      <c r="H108" s="2">
        <v>0.0</v>
      </c>
      <c r="I108" s="2">
        <v>161.0</v>
      </c>
    </row>
    <row r="109" ht="26.25" customHeight="1">
      <c r="B109" s="4" t="s">
        <v>225</v>
      </c>
      <c r="C109" s="5">
        <f>SUBTOTAL(9,C104:C108)</f>
        <v>584</v>
      </c>
      <c r="E109" s="5">
        <f>SUBTOTAL(9,E104:E108)</f>
        <v>343</v>
      </c>
      <c r="G109" s="5">
        <f t="shared" ref="G109:I109" si="36">SUBTOTAL(9,G104:G108)</f>
        <v>24</v>
      </c>
      <c r="H109" s="5">
        <f t="shared" si="36"/>
        <v>4</v>
      </c>
      <c r="I109" s="5">
        <f t="shared" si="36"/>
        <v>955</v>
      </c>
    </row>
    <row r="110" ht="26.25" customHeight="1">
      <c r="A110" s="2">
        <v>174.0</v>
      </c>
      <c r="B110" s="3" t="s">
        <v>226</v>
      </c>
      <c r="C110" s="2">
        <v>52.0</v>
      </c>
      <c r="D110" s="2" t="s">
        <v>227</v>
      </c>
      <c r="E110" s="2">
        <v>124.0</v>
      </c>
      <c r="F110" s="2" t="s">
        <v>228</v>
      </c>
      <c r="G110" s="2">
        <v>0.0</v>
      </c>
      <c r="H110" s="2">
        <v>1.0</v>
      </c>
      <c r="I110" s="2">
        <v>177.0</v>
      </c>
    </row>
    <row r="111" ht="26.25" customHeight="1">
      <c r="A111" s="2">
        <v>175.0</v>
      </c>
      <c r="B111" s="3" t="s">
        <v>226</v>
      </c>
      <c r="C111" s="2">
        <v>59.0</v>
      </c>
      <c r="D111" s="2" t="s">
        <v>229</v>
      </c>
      <c r="E111" s="2">
        <v>202.0</v>
      </c>
      <c r="F111" s="2" t="s">
        <v>230</v>
      </c>
      <c r="G111" s="2">
        <v>2.0</v>
      </c>
      <c r="H111" s="2">
        <v>1.0</v>
      </c>
      <c r="I111" s="2">
        <v>264.0</v>
      </c>
    </row>
    <row r="112" ht="26.25" customHeight="1">
      <c r="A112" s="2">
        <v>176.0</v>
      </c>
      <c r="B112" s="3" t="s">
        <v>226</v>
      </c>
      <c r="C112" s="2">
        <v>42.0</v>
      </c>
      <c r="D112" s="2" t="s">
        <v>231</v>
      </c>
      <c r="E112" s="2">
        <v>162.0</v>
      </c>
      <c r="F112" s="2" t="s">
        <v>232</v>
      </c>
      <c r="G112" s="2">
        <v>1.0</v>
      </c>
      <c r="H112" s="2">
        <v>0.0</v>
      </c>
      <c r="I112" s="2">
        <v>205.0</v>
      </c>
    </row>
    <row r="113" ht="26.25" customHeight="1">
      <c r="B113" s="4" t="s">
        <v>233</v>
      </c>
      <c r="C113" s="5">
        <f>SUBTOTAL(9,C110:C112)</f>
        <v>153</v>
      </c>
      <c r="E113" s="5">
        <f>SUBTOTAL(9,E110:E112)</f>
        <v>488</v>
      </c>
      <c r="G113" s="5">
        <f t="shared" ref="G113:I113" si="37">SUBTOTAL(9,G110:G112)</f>
        <v>3</v>
      </c>
      <c r="H113" s="5">
        <f t="shared" si="37"/>
        <v>2</v>
      </c>
      <c r="I113" s="5">
        <f t="shared" si="37"/>
        <v>646</v>
      </c>
    </row>
    <row r="114" ht="26.25" customHeight="1">
      <c r="A114" s="2">
        <v>177.0</v>
      </c>
      <c r="B114" s="3" t="s">
        <v>234</v>
      </c>
      <c r="C114" s="2">
        <v>78.0</v>
      </c>
      <c r="D114" s="2" t="s">
        <v>235</v>
      </c>
      <c r="E114" s="2">
        <v>215.0</v>
      </c>
      <c r="F114" s="2" t="s">
        <v>236</v>
      </c>
      <c r="G114" s="2">
        <v>0.0</v>
      </c>
      <c r="H114" s="2">
        <v>1.0</v>
      </c>
      <c r="I114" s="2">
        <v>294.0</v>
      </c>
    </row>
    <row r="115" ht="26.25" customHeight="1">
      <c r="A115" s="2">
        <v>178.0</v>
      </c>
      <c r="B115" s="3" t="s">
        <v>234</v>
      </c>
      <c r="C115" s="2">
        <v>53.0</v>
      </c>
      <c r="D115" s="2" t="s">
        <v>237</v>
      </c>
      <c r="E115" s="2">
        <v>51.0</v>
      </c>
      <c r="F115" s="2" t="s">
        <v>238</v>
      </c>
      <c r="G115" s="2">
        <v>1.0</v>
      </c>
      <c r="H115" s="2">
        <v>1.0</v>
      </c>
      <c r="I115" s="2">
        <v>106.0</v>
      </c>
    </row>
    <row r="116" ht="26.25" customHeight="1">
      <c r="A116" s="2">
        <v>179.0</v>
      </c>
      <c r="B116" s="3" t="s">
        <v>234</v>
      </c>
      <c r="C116" s="2">
        <v>29.0</v>
      </c>
      <c r="D116" s="2" t="s">
        <v>239</v>
      </c>
      <c r="E116" s="2">
        <v>45.0</v>
      </c>
      <c r="F116" s="2" t="s">
        <v>240</v>
      </c>
      <c r="G116" s="2">
        <v>2.0</v>
      </c>
      <c r="H116" s="2">
        <v>0.0</v>
      </c>
      <c r="I116" s="2">
        <v>76.0</v>
      </c>
    </row>
    <row r="117" ht="26.25" customHeight="1">
      <c r="B117" s="4" t="s">
        <v>241</v>
      </c>
      <c r="C117" s="5">
        <f>SUBTOTAL(9,C114:C116)</f>
        <v>160</v>
      </c>
      <c r="E117" s="5">
        <f>SUBTOTAL(9,E114:E116)</f>
        <v>311</v>
      </c>
      <c r="G117" s="5">
        <f t="shared" ref="G117:I117" si="38">SUBTOTAL(9,G114:G116)</f>
        <v>3</v>
      </c>
      <c r="H117" s="5">
        <f t="shared" si="38"/>
        <v>2</v>
      </c>
      <c r="I117" s="5">
        <f t="shared" si="38"/>
        <v>476</v>
      </c>
    </row>
    <row r="118" ht="26.25" customHeight="1">
      <c r="A118" s="2">
        <v>180.0</v>
      </c>
      <c r="B118" s="3" t="s">
        <v>242</v>
      </c>
      <c r="C118" s="2">
        <v>109.0</v>
      </c>
      <c r="D118" s="2" t="s">
        <v>243</v>
      </c>
      <c r="E118" s="2">
        <v>96.0</v>
      </c>
      <c r="F118" s="2" t="s">
        <v>244</v>
      </c>
      <c r="G118" s="2">
        <v>5.0</v>
      </c>
      <c r="H118" s="2">
        <v>3.0</v>
      </c>
      <c r="I118" s="2">
        <v>213.0</v>
      </c>
    </row>
    <row r="119" ht="26.25" customHeight="1">
      <c r="A119" s="2">
        <v>181.0</v>
      </c>
      <c r="B119" s="3" t="s">
        <v>242</v>
      </c>
      <c r="C119" s="2">
        <v>94.0</v>
      </c>
      <c r="D119" s="2" t="s">
        <v>245</v>
      </c>
      <c r="E119" s="2">
        <v>108.0</v>
      </c>
      <c r="F119" s="2" t="s">
        <v>246</v>
      </c>
      <c r="G119" s="2">
        <v>6.0</v>
      </c>
      <c r="H119" s="2">
        <v>0.0</v>
      </c>
      <c r="I119" s="2">
        <v>208.0</v>
      </c>
    </row>
    <row r="120" ht="26.25" customHeight="1">
      <c r="B120" s="4" t="s">
        <v>247</v>
      </c>
      <c r="C120" s="5">
        <f>SUBTOTAL(9,C118:C119)</f>
        <v>203</v>
      </c>
      <c r="E120" s="5">
        <f>SUBTOTAL(9,E118:E119)</f>
        <v>204</v>
      </c>
      <c r="G120" s="5">
        <f t="shared" ref="G120:I120" si="39">SUBTOTAL(9,G118:G119)</f>
        <v>11</v>
      </c>
      <c r="H120" s="5">
        <f t="shared" si="39"/>
        <v>3</v>
      </c>
      <c r="I120" s="5">
        <f t="shared" si="39"/>
        <v>421</v>
      </c>
    </row>
    <row r="121" ht="26.25" customHeight="1">
      <c r="A121" s="2">
        <v>182.0</v>
      </c>
      <c r="B121" s="3" t="s">
        <v>248</v>
      </c>
      <c r="C121" s="2">
        <v>98.0</v>
      </c>
      <c r="D121" s="2" t="s">
        <v>249</v>
      </c>
      <c r="E121" s="2">
        <v>93.0</v>
      </c>
      <c r="F121" s="2" t="s">
        <v>250</v>
      </c>
      <c r="G121" s="2">
        <v>5.0</v>
      </c>
      <c r="H121" s="2">
        <v>2.0</v>
      </c>
      <c r="I121" s="2">
        <v>198.0</v>
      </c>
    </row>
    <row r="122" ht="26.25" customHeight="1">
      <c r="A122" s="2">
        <v>183.0</v>
      </c>
      <c r="B122" s="3" t="s">
        <v>248</v>
      </c>
      <c r="C122" s="2">
        <v>104.0</v>
      </c>
      <c r="D122" s="2" t="s">
        <v>251</v>
      </c>
      <c r="E122" s="2">
        <v>111.0</v>
      </c>
      <c r="F122" s="2" t="s">
        <v>252</v>
      </c>
      <c r="G122" s="2">
        <v>0.0</v>
      </c>
      <c r="H122" s="2">
        <v>4.0</v>
      </c>
      <c r="I122" s="2">
        <v>219.0</v>
      </c>
    </row>
    <row r="123" ht="26.25" customHeight="1">
      <c r="A123" s="2">
        <v>184.0</v>
      </c>
      <c r="B123" s="3" t="s">
        <v>248</v>
      </c>
      <c r="C123" s="2">
        <v>111.0</v>
      </c>
      <c r="D123" s="2" t="s">
        <v>253</v>
      </c>
      <c r="E123" s="2">
        <v>126.0</v>
      </c>
      <c r="F123" s="2" t="s">
        <v>254</v>
      </c>
      <c r="G123" s="2">
        <v>2.0</v>
      </c>
      <c r="H123" s="2">
        <v>4.0</v>
      </c>
      <c r="I123" s="2">
        <v>243.0</v>
      </c>
    </row>
    <row r="124" ht="26.25" customHeight="1">
      <c r="A124" s="2">
        <v>185.0</v>
      </c>
      <c r="B124" s="3" t="s">
        <v>248</v>
      </c>
      <c r="C124" s="2">
        <v>102.0</v>
      </c>
      <c r="D124" s="2" t="s">
        <v>255</v>
      </c>
      <c r="E124" s="2">
        <v>140.0</v>
      </c>
      <c r="F124" s="2" t="s">
        <v>256</v>
      </c>
      <c r="G124" s="2">
        <v>2.0</v>
      </c>
      <c r="H124" s="2">
        <v>1.0</v>
      </c>
      <c r="I124" s="2">
        <v>245.0</v>
      </c>
    </row>
    <row r="125" ht="26.25" customHeight="1">
      <c r="B125" s="4" t="s">
        <v>257</v>
      </c>
      <c r="C125" s="5">
        <f>SUBTOTAL(9,C121:C124)</f>
        <v>415</v>
      </c>
      <c r="E125" s="5">
        <f>SUBTOTAL(9,E121:E124)</f>
        <v>470</v>
      </c>
      <c r="G125" s="5">
        <f t="shared" ref="G125:I125" si="40">SUBTOTAL(9,G121:G124)</f>
        <v>9</v>
      </c>
      <c r="H125" s="5">
        <f t="shared" si="40"/>
        <v>11</v>
      </c>
      <c r="I125" s="5">
        <f t="shared" si="40"/>
        <v>905</v>
      </c>
    </row>
    <row r="126" ht="26.25" customHeight="1">
      <c r="A126" s="2">
        <v>186.0</v>
      </c>
      <c r="B126" s="3" t="s">
        <v>258</v>
      </c>
      <c r="C126" s="2">
        <v>111.0</v>
      </c>
      <c r="D126" s="2" t="s">
        <v>259</v>
      </c>
      <c r="E126" s="2">
        <v>105.0</v>
      </c>
      <c r="F126" s="2" t="s">
        <v>260</v>
      </c>
      <c r="G126" s="2">
        <v>2.0</v>
      </c>
      <c r="H126" s="2">
        <v>5.0</v>
      </c>
      <c r="I126" s="2">
        <v>223.0</v>
      </c>
    </row>
    <row r="127" ht="26.25" customHeight="1">
      <c r="A127" s="2">
        <v>187.0</v>
      </c>
      <c r="B127" s="3" t="s">
        <v>258</v>
      </c>
      <c r="C127" s="2">
        <v>130.0</v>
      </c>
      <c r="D127" s="2" t="s">
        <v>261</v>
      </c>
      <c r="E127" s="2">
        <v>75.0</v>
      </c>
      <c r="F127" s="2" t="s">
        <v>262</v>
      </c>
      <c r="G127" s="2">
        <v>1.0</v>
      </c>
      <c r="H127" s="2">
        <v>1.0</v>
      </c>
      <c r="I127" s="2">
        <v>207.0</v>
      </c>
    </row>
    <row r="128" ht="26.25" customHeight="1">
      <c r="A128" s="2">
        <v>188.0</v>
      </c>
      <c r="B128" s="3" t="s">
        <v>258</v>
      </c>
      <c r="C128" s="2">
        <v>87.0</v>
      </c>
      <c r="D128" s="2" t="s">
        <v>263</v>
      </c>
      <c r="E128" s="2">
        <v>108.0</v>
      </c>
      <c r="F128" s="2" t="s">
        <v>264</v>
      </c>
      <c r="G128" s="2">
        <v>1.0</v>
      </c>
      <c r="H128" s="2">
        <v>0.0</v>
      </c>
      <c r="I128" s="2">
        <v>196.0</v>
      </c>
    </row>
    <row r="129" ht="26.25" customHeight="1">
      <c r="B129" s="4" t="s">
        <v>265</v>
      </c>
      <c r="C129" s="5">
        <f>SUBTOTAL(9,C126:C128)</f>
        <v>328</v>
      </c>
      <c r="E129" s="5">
        <f>SUBTOTAL(9,E126:E128)</f>
        <v>288</v>
      </c>
      <c r="G129" s="5">
        <f t="shared" ref="G129:I129" si="41">SUBTOTAL(9,G126:G128)</f>
        <v>4</v>
      </c>
      <c r="H129" s="5">
        <f t="shared" si="41"/>
        <v>6</v>
      </c>
      <c r="I129" s="5">
        <f t="shared" si="41"/>
        <v>626</v>
      </c>
    </row>
    <row r="130" ht="26.25" customHeight="1">
      <c r="A130" s="2">
        <v>189.0</v>
      </c>
      <c r="B130" s="3" t="s">
        <v>266</v>
      </c>
      <c r="C130" s="2">
        <v>106.0</v>
      </c>
      <c r="D130" s="2" t="s">
        <v>267</v>
      </c>
      <c r="E130" s="2">
        <v>190.0</v>
      </c>
      <c r="F130" s="2" t="s">
        <v>268</v>
      </c>
      <c r="G130" s="2">
        <v>0.0</v>
      </c>
      <c r="H130" s="2">
        <v>5.0</v>
      </c>
      <c r="I130" s="2">
        <v>301.0</v>
      </c>
    </row>
    <row r="131" ht="26.25" customHeight="1">
      <c r="B131" s="4" t="s">
        <v>269</v>
      </c>
      <c r="C131" s="5">
        <f>SUBTOTAL(9,C130)</f>
        <v>106</v>
      </c>
      <c r="E131" s="5">
        <f>SUBTOTAL(9,E130)</f>
        <v>190</v>
      </c>
      <c r="G131" s="5">
        <f t="shared" ref="G131:I131" si="42">SUBTOTAL(9,G130)</f>
        <v>0</v>
      </c>
      <c r="H131" s="5">
        <f t="shared" si="42"/>
        <v>5</v>
      </c>
      <c r="I131" s="5">
        <f t="shared" si="42"/>
        <v>301</v>
      </c>
    </row>
    <row r="132" ht="26.25" customHeight="1">
      <c r="A132" s="2">
        <v>190.0</v>
      </c>
      <c r="B132" s="3" t="s">
        <v>270</v>
      </c>
      <c r="C132" s="2">
        <v>120.0</v>
      </c>
      <c r="D132" s="2" t="s">
        <v>271</v>
      </c>
      <c r="E132" s="2">
        <v>184.0</v>
      </c>
      <c r="F132" s="2" t="s">
        <v>272</v>
      </c>
      <c r="G132" s="2">
        <v>0.0</v>
      </c>
      <c r="H132" s="2">
        <v>0.0</v>
      </c>
      <c r="I132" s="2">
        <v>304.0</v>
      </c>
    </row>
    <row r="133" ht="26.25" customHeight="1">
      <c r="B133" s="4" t="s">
        <v>273</v>
      </c>
      <c r="C133" s="5">
        <f>SUBTOTAL(9,C132)</f>
        <v>120</v>
      </c>
      <c r="E133" s="5">
        <f>SUBTOTAL(9,E132)</f>
        <v>184</v>
      </c>
      <c r="G133" s="5">
        <f t="shared" ref="G133:I133" si="43">SUBTOTAL(9,G132)</f>
        <v>0</v>
      </c>
      <c r="H133" s="5">
        <f t="shared" si="43"/>
        <v>0</v>
      </c>
      <c r="I133" s="5">
        <f t="shared" si="43"/>
        <v>304</v>
      </c>
    </row>
    <row r="134" ht="26.25" customHeight="1">
      <c r="A134" s="2">
        <v>191.0</v>
      </c>
      <c r="B134" s="3" t="s">
        <v>274</v>
      </c>
      <c r="C134" s="2">
        <v>88.0</v>
      </c>
      <c r="D134" s="2" t="s">
        <v>275</v>
      </c>
      <c r="E134" s="2">
        <v>119.0</v>
      </c>
      <c r="F134" s="2" t="s">
        <v>276</v>
      </c>
      <c r="G134" s="2">
        <v>0.0</v>
      </c>
      <c r="H134" s="2">
        <v>0.0</v>
      </c>
      <c r="I134" s="2">
        <v>207.0</v>
      </c>
    </row>
    <row r="135" ht="26.25" customHeight="1">
      <c r="A135" s="2">
        <v>192.0</v>
      </c>
      <c r="B135" s="3" t="s">
        <v>274</v>
      </c>
      <c r="C135" s="2">
        <v>55.0</v>
      </c>
      <c r="D135" s="2" t="s">
        <v>277</v>
      </c>
      <c r="E135" s="2">
        <v>111.0</v>
      </c>
      <c r="F135" s="2" t="s">
        <v>278</v>
      </c>
      <c r="G135" s="2">
        <v>2.0</v>
      </c>
      <c r="H135" s="2">
        <v>1.0</v>
      </c>
      <c r="I135" s="2">
        <v>169.0</v>
      </c>
    </row>
    <row r="136" ht="26.25" customHeight="1">
      <c r="B136" s="4" t="s">
        <v>279</v>
      </c>
      <c r="C136" s="5">
        <f>SUBTOTAL(9,C134:C135)</f>
        <v>143</v>
      </c>
      <c r="E136" s="5">
        <f>SUBTOTAL(9,E134:E135)</f>
        <v>230</v>
      </c>
      <c r="G136" s="5">
        <f t="shared" ref="G136:I136" si="44">SUBTOTAL(9,G134:G135)</f>
        <v>2</v>
      </c>
      <c r="H136" s="5">
        <f t="shared" si="44"/>
        <v>1</v>
      </c>
      <c r="I136" s="5">
        <f t="shared" si="44"/>
        <v>376</v>
      </c>
    </row>
    <row r="137" ht="26.25" customHeight="1">
      <c r="A137" s="2">
        <v>193.0</v>
      </c>
      <c r="B137" s="3" t="s">
        <v>280</v>
      </c>
      <c r="C137" s="2">
        <v>184.0</v>
      </c>
      <c r="D137" s="2" t="s">
        <v>281</v>
      </c>
      <c r="E137" s="2">
        <v>97.0</v>
      </c>
      <c r="F137" s="2" t="s">
        <v>282</v>
      </c>
      <c r="G137" s="2">
        <v>1.0</v>
      </c>
      <c r="H137" s="2">
        <v>0.0</v>
      </c>
      <c r="I137" s="2">
        <v>282.0</v>
      </c>
    </row>
    <row r="138" ht="26.25" customHeight="1">
      <c r="B138" s="4" t="s">
        <v>283</v>
      </c>
      <c r="C138" s="5">
        <f>SUBTOTAL(9,C137)</f>
        <v>184</v>
      </c>
      <c r="E138" s="5">
        <f>SUBTOTAL(9,E137)</f>
        <v>97</v>
      </c>
      <c r="G138" s="5">
        <f t="shared" ref="G138:I138" si="45">SUBTOTAL(9,G137)</f>
        <v>1</v>
      </c>
      <c r="H138" s="5">
        <f t="shared" si="45"/>
        <v>0</v>
      </c>
      <c r="I138" s="5">
        <f t="shared" si="45"/>
        <v>282</v>
      </c>
    </row>
    <row r="139" ht="26.25" customHeight="1">
      <c r="A139" s="2">
        <v>194.0</v>
      </c>
      <c r="B139" s="3" t="s">
        <v>284</v>
      </c>
      <c r="C139" s="2">
        <v>112.0</v>
      </c>
      <c r="D139" s="2" t="s">
        <v>285</v>
      </c>
      <c r="E139" s="2">
        <v>97.0</v>
      </c>
      <c r="F139" s="2" t="s">
        <v>286</v>
      </c>
      <c r="G139" s="2">
        <v>1.0</v>
      </c>
      <c r="H139" s="2">
        <v>1.0</v>
      </c>
      <c r="I139" s="2">
        <v>211.0</v>
      </c>
    </row>
    <row r="140" ht="26.25" customHeight="1">
      <c r="B140" s="4" t="s">
        <v>287</v>
      </c>
      <c r="C140" s="5">
        <f>SUBTOTAL(9,C139)</f>
        <v>112</v>
      </c>
      <c r="E140" s="5">
        <f>SUBTOTAL(9,E139)</f>
        <v>97</v>
      </c>
      <c r="G140" s="5">
        <f t="shared" ref="G140:I140" si="46">SUBTOTAL(9,G139)</f>
        <v>1</v>
      </c>
      <c r="H140" s="5">
        <f t="shared" si="46"/>
        <v>1</v>
      </c>
      <c r="I140" s="5">
        <f t="shared" si="46"/>
        <v>211</v>
      </c>
    </row>
    <row r="141" ht="26.25" customHeight="1">
      <c r="A141" s="2">
        <v>195.0</v>
      </c>
      <c r="B141" s="3" t="s">
        <v>288</v>
      </c>
      <c r="C141" s="2">
        <v>154.0</v>
      </c>
      <c r="D141" s="2" t="s">
        <v>289</v>
      </c>
      <c r="E141" s="2">
        <v>47.0</v>
      </c>
      <c r="F141" s="2" t="s">
        <v>290</v>
      </c>
      <c r="G141" s="2">
        <v>0.0</v>
      </c>
      <c r="H141" s="2">
        <v>4.0</v>
      </c>
      <c r="I141" s="2">
        <v>205.0</v>
      </c>
    </row>
    <row r="142" ht="26.25" customHeight="1">
      <c r="A142" s="2">
        <v>196.0</v>
      </c>
      <c r="B142" s="3" t="s">
        <v>288</v>
      </c>
      <c r="C142" s="2">
        <v>142.0</v>
      </c>
      <c r="D142" s="2" t="s">
        <v>291</v>
      </c>
      <c r="E142" s="2">
        <v>48.0</v>
      </c>
      <c r="F142" s="2" t="s">
        <v>292</v>
      </c>
      <c r="G142" s="2">
        <v>1.0</v>
      </c>
      <c r="H142" s="2">
        <v>1.0</v>
      </c>
      <c r="I142" s="2">
        <v>192.0</v>
      </c>
    </row>
    <row r="143" ht="26.25" customHeight="1">
      <c r="B143" s="4" t="s">
        <v>293</v>
      </c>
      <c r="C143" s="5">
        <f>SUBTOTAL(9,C141:C142)</f>
        <v>296</v>
      </c>
      <c r="E143" s="5">
        <f>SUBTOTAL(9,E141:E142)</f>
        <v>95</v>
      </c>
      <c r="G143" s="5">
        <f t="shared" ref="G143:I143" si="47">SUBTOTAL(9,G141:G142)</f>
        <v>1</v>
      </c>
      <c r="H143" s="5">
        <f t="shared" si="47"/>
        <v>5</v>
      </c>
      <c r="I143" s="5">
        <f t="shared" si="47"/>
        <v>397</v>
      </c>
    </row>
    <row r="144" ht="26.25" customHeight="1">
      <c r="A144" s="2">
        <v>197.0</v>
      </c>
      <c r="B144" s="3" t="s">
        <v>294</v>
      </c>
      <c r="C144" s="2">
        <v>59.0</v>
      </c>
      <c r="D144" s="2" t="s">
        <v>295</v>
      </c>
      <c r="E144" s="2">
        <v>105.0</v>
      </c>
      <c r="F144" s="2" t="s">
        <v>152</v>
      </c>
      <c r="G144" s="2">
        <v>1.0</v>
      </c>
      <c r="H144" s="2">
        <v>1.0</v>
      </c>
      <c r="I144" s="2">
        <v>166.0</v>
      </c>
    </row>
    <row r="145" ht="26.25" customHeight="1">
      <c r="B145" s="4" t="s">
        <v>296</v>
      </c>
      <c r="C145" s="5">
        <f>SUBTOTAL(9,C144)</f>
        <v>59</v>
      </c>
      <c r="E145" s="5">
        <f>SUBTOTAL(9,E144)</f>
        <v>105</v>
      </c>
      <c r="G145" s="5">
        <f t="shared" ref="G145:I145" si="48">SUBTOTAL(9,G144)</f>
        <v>1</v>
      </c>
      <c r="H145" s="5">
        <f t="shared" si="48"/>
        <v>1</v>
      </c>
      <c r="I145" s="5">
        <f t="shared" si="48"/>
        <v>166</v>
      </c>
    </row>
    <row r="146" ht="26.25" customHeight="1">
      <c r="A146" s="2">
        <v>198.0</v>
      </c>
      <c r="B146" s="3" t="s">
        <v>297</v>
      </c>
      <c r="C146" s="2">
        <v>165.0</v>
      </c>
      <c r="D146" s="2" t="s">
        <v>298</v>
      </c>
      <c r="E146" s="2">
        <v>181.0</v>
      </c>
      <c r="F146" s="2" t="s">
        <v>299</v>
      </c>
      <c r="G146" s="2">
        <v>2.0</v>
      </c>
      <c r="H146" s="2">
        <v>1.0</v>
      </c>
      <c r="I146" s="2">
        <v>349.0</v>
      </c>
    </row>
    <row r="147" ht="26.25" customHeight="1">
      <c r="B147" s="4" t="s">
        <v>300</v>
      </c>
      <c r="C147" s="5">
        <f>SUBTOTAL(9,C146)</f>
        <v>165</v>
      </c>
      <c r="E147" s="5">
        <f>SUBTOTAL(9,E146)</f>
        <v>181</v>
      </c>
      <c r="G147" s="5">
        <f t="shared" ref="G147:I147" si="49">SUBTOTAL(9,G146)</f>
        <v>2</v>
      </c>
      <c r="H147" s="5">
        <f t="shared" si="49"/>
        <v>1</v>
      </c>
      <c r="I147" s="5">
        <f t="shared" si="49"/>
        <v>349</v>
      </c>
    </row>
    <row r="148" ht="26.25" customHeight="1">
      <c r="A148" s="2">
        <v>199.0</v>
      </c>
      <c r="B148" s="3" t="s">
        <v>301</v>
      </c>
      <c r="C148" s="2">
        <v>102.0</v>
      </c>
      <c r="D148" s="2" t="s">
        <v>302</v>
      </c>
      <c r="E148" s="2">
        <v>52.0</v>
      </c>
      <c r="F148" s="2" t="s">
        <v>82</v>
      </c>
      <c r="G148" s="2">
        <v>0.0</v>
      </c>
      <c r="H148" s="2">
        <v>5.0</v>
      </c>
      <c r="I148" s="2">
        <v>159.0</v>
      </c>
    </row>
    <row r="149" ht="26.25" customHeight="1">
      <c r="A149" s="2">
        <v>200.0</v>
      </c>
      <c r="B149" s="3" t="s">
        <v>301</v>
      </c>
      <c r="C149" s="2">
        <v>103.0</v>
      </c>
      <c r="D149" s="2" t="s">
        <v>303</v>
      </c>
      <c r="E149" s="2">
        <v>80.0</v>
      </c>
      <c r="F149" s="2" t="s">
        <v>304</v>
      </c>
      <c r="G149" s="2">
        <v>3.0</v>
      </c>
      <c r="H149" s="2">
        <v>4.0</v>
      </c>
      <c r="I149" s="2">
        <v>190.0</v>
      </c>
    </row>
    <row r="150" ht="26.25" customHeight="1">
      <c r="A150" s="2">
        <v>201.0</v>
      </c>
      <c r="B150" s="3" t="s">
        <v>301</v>
      </c>
      <c r="C150" s="2">
        <v>79.0</v>
      </c>
      <c r="D150" s="2" t="s">
        <v>305</v>
      </c>
      <c r="E150" s="2">
        <v>51.0</v>
      </c>
      <c r="F150" s="2" t="s">
        <v>306</v>
      </c>
      <c r="G150" s="2">
        <v>2.0</v>
      </c>
      <c r="H150" s="2">
        <v>1.0</v>
      </c>
      <c r="I150" s="2">
        <v>133.0</v>
      </c>
    </row>
    <row r="151" ht="26.25" customHeight="1">
      <c r="B151" s="4" t="s">
        <v>307</v>
      </c>
      <c r="C151" s="5">
        <f>SUBTOTAL(9,C148:C150)</f>
        <v>284</v>
      </c>
      <c r="E151" s="5">
        <f>SUBTOTAL(9,E148:E150)</f>
        <v>183</v>
      </c>
      <c r="G151" s="5">
        <f t="shared" ref="G151:I151" si="50">SUBTOTAL(9,G148:G150)</f>
        <v>5</v>
      </c>
      <c r="H151" s="5">
        <f t="shared" si="50"/>
        <v>10</v>
      </c>
      <c r="I151" s="5">
        <f t="shared" si="50"/>
        <v>482</v>
      </c>
    </row>
    <row r="152" ht="26.25" customHeight="1">
      <c r="A152" s="2">
        <v>202.0</v>
      </c>
      <c r="B152" s="3" t="s">
        <v>308</v>
      </c>
      <c r="C152" s="2">
        <v>267.0</v>
      </c>
      <c r="D152" s="2" t="s">
        <v>309</v>
      </c>
      <c r="E152" s="2">
        <v>86.0</v>
      </c>
      <c r="F152" s="2" t="s">
        <v>310</v>
      </c>
      <c r="G152" s="2">
        <v>3.0</v>
      </c>
      <c r="H152" s="2">
        <v>2.0</v>
      </c>
      <c r="I152" s="2">
        <v>358.0</v>
      </c>
    </row>
    <row r="153" ht="26.25" customHeight="1">
      <c r="B153" s="4" t="s">
        <v>311</v>
      </c>
      <c r="C153" s="5">
        <f>SUBTOTAL(9,C152)</f>
        <v>267</v>
      </c>
      <c r="E153" s="5">
        <f>SUBTOTAL(9,E152)</f>
        <v>86</v>
      </c>
      <c r="G153" s="5">
        <f t="shared" ref="G153:I153" si="51">SUBTOTAL(9,G152)</f>
        <v>3</v>
      </c>
      <c r="H153" s="5">
        <f t="shared" si="51"/>
        <v>2</v>
      </c>
      <c r="I153" s="5">
        <f t="shared" si="51"/>
        <v>358</v>
      </c>
    </row>
    <row r="154" ht="26.25" customHeight="1">
      <c r="A154" s="2">
        <v>203.0</v>
      </c>
      <c r="B154" s="3" t="s">
        <v>312</v>
      </c>
      <c r="C154" s="2">
        <v>142.0</v>
      </c>
      <c r="D154" s="2" t="s">
        <v>313</v>
      </c>
      <c r="E154" s="2">
        <v>53.0</v>
      </c>
      <c r="F154" s="2" t="s">
        <v>314</v>
      </c>
      <c r="G154" s="2">
        <v>2.0</v>
      </c>
      <c r="H154" s="2">
        <v>3.0</v>
      </c>
      <c r="I154" s="2">
        <v>200.0</v>
      </c>
    </row>
    <row r="155" ht="15.0" customHeight="1">
      <c r="A155" s="2">
        <v>204.0</v>
      </c>
      <c r="B155" s="3" t="s">
        <v>312</v>
      </c>
      <c r="C155" s="2">
        <v>160.0</v>
      </c>
      <c r="D155" s="2" t="s">
        <v>315</v>
      </c>
      <c r="E155" s="2">
        <v>38.0</v>
      </c>
      <c r="F155" s="2" t="s">
        <v>316</v>
      </c>
      <c r="G155" s="2">
        <v>2.0</v>
      </c>
      <c r="H155" s="2">
        <v>0.0</v>
      </c>
      <c r="I155" s="2">
        <v>200.0</v>
      </c>
    </row>
    <row r="156" ht="26.25" customHeight="1">
      <c r="A156" s="2">
        <v>205.0</v>
      </c>
      <c r="B156" s="3" t="s">
        <v>312</v>
      </c>
      <c r="C156" s="2">
        <v>113.0</v>
      </c>
      <c r="D156" s="2" t="s">
        <v>317</v>
      </c>
      <c r="E156" s="2">
        <v>39.0</v>
      </c>
      <c r="F156" s="2" t="s">
        <v>318</v>
      </c>
      <c r="G156" s="2">
        <v>1.0</v>
      </c>
      <c r="H156" s="2">
        <v>2.0</v>
      </c>
      <c r="I156" s="2">
        <v>155.0</v>
      </c>
    </row>
    <row r="157" ht="26.25" customHeight="1">
      <c r="A157" s="2">
        <v>206.0</v>
      </c>
      <c r="B157" s="3" t="s">
        <v>312</v>
      </c>
      <c r="C157" s="2">
        <v>141.0</v>
      </c>
      <c r="D157" s="2" t="s">
        <v>319</v>
      </c>
      <c r="E157" s="2">
        <v>60.0</v>
      </c>
      <c r="F157" s="2" t="s">
        <v>320</v>
      </c>
      <c r="G157" s="2">
        <v>3.0</v>
      </c>
      <c r="H157" s="2">
        <v>2.0</v>
      </c>
      <c r="I157" s="2">
        <v>206.0</v>
      </c>
    </row>
    <row r="158" ht="26.25" customHeight="1">
      <c r="A158" s="2">
        <v>207.0</v>
      </c>
      <c r="B158" s="3" t="s">
        <v>312</v>
      </c>
      <c r="C158" s="2">
        <v>123.0</v>
      </c>
      <c r="D158" s="2" t="s">
        <v>321</v>
      </c>
      <c r="E158" s="2">
        <v>51.0</v>
      </c>
      <c r="F158" s="2" t="s">
        <v>322</v>
      </c>
      <c r="G158" s="2">
        <v>2.0</v>
      </c>
      <c r="H158" s="2">
        <v>1.0</v>
      </c>
      <c r="I158" s="2">
        <v>177.0</v>
      </c>
    </row>
    <row r="159" ht="26.25" customHeight="1">
      <c r="A159" s="2">
        <v>208.0</v>
      </c>
      <c r="B159" s="3" t="s">
        <v>312</v>
      </c>
      <c r="C159" s="2">
        <v>106.0</v>
      </c>
      <c r="D159" s="2" t="s">
        <v>323</v>
      </c>
      <c r="E159" s="2">
        <v>53.0</v>
      </c>
      <c r="F159" s="2" t="s">
        <v>324</v>
      </c>
      <c r="G159" s="2">
        <v>4.0</v>
      </c>
      <c r="H159" s="2">
        <v>1.0</v>
      </c>
      <c r="I159" s="2">
        <v>164.0</v>
      </c>
    </row>
    <row r="160" ht="26.25" customHeight="1">
      <c r="B160" s="4" t="s">
        <v>325</v>
      </c>
      <c r="C160" s="5">
        <f>SUBTOTAL(9,C154:C159)</f>
        <v>785</v>
      </c>
      <c r="E160" s="5">
        <f>SUBTOTAL(9,E154:E159)</f>
        <v>294</v>
      </c>
      <c r="G160" s="5">
        <f t="shared" ref="G160:I160" si="52">SUBTOTAL(9,G154:G159)</f>
        <v>14</v>
      </c>
      <c r="H160" s="5">
        <f t="shared" si="52"/>
        <v>9</v>
      </c>
      <c r="I160" s="5">
        <f t="shared" si="52"/>
        <v>1102</v>
      </c>
    </row>
    <row r="161" ht="26.25" customHeight="1">
      <c r="A161" s="2">
        <v>209.0</v>
      </c>
      <c r="B161" s="3" t="s">
        <v>326</v>
      </c>
      <c r="C161" s="2">
        <v>91.0</v>
      </c>
      <c r="D161" s="2" t="s">
        <v>327</v>
      </c>
      <c r="E161" s="2">
        <v>76.0</v>
      </c>
      <c r="F161" s="2" t="s">
        <v>328</v>
      </c>
      <c r="G161" s="2">
        <v>0.0</v>
      </c>
      <c r="H161" s="2">
        <v>1.0</v>
      </c>
      <c r="I161" s="2">
        <v>168.0</v>
      </c>
    </row>
    <row r="162" ht="26.25" customHeight="1">
      <c r="B162" s="4" t="s">
        <v>329</v>
      </c>
      <c r="C162" s="5">
        <f>SUBTOTAL(9,C161)</f>
        <v>91</v>
      </c>
      <c r="E162" s="5">
        <f>SUBTOTAL(9,E161)</f>
        <v>76</v>
      </c>
      <c r="G162" s="5">
        <f t="shared" ref="G162:I162" si="53">SUBTOTAL(9,G161)</f>
        <v>0</v>
      </c>
      <c r="H162" s="5">
        <f t="shared" si="53"/>
        <v>1</v>
      </c>
      <c r="I162" s="5">
        <f t="shared" si="53"/>
        <v>168</v>
      </c>
    </row>
    <row r="163" ht="26.25" customHeight="1">
      <c r="A163" s="2">
        <v>210.0</v>
      </c>
      <c r="B163" s="3" t="s">
        <v>330</v>
      </c>
      <c r="C163" s="2">
        <v>174.0</v>
      </c>
      <c r="D163" s="2" t="s">
        <v>331</v>
      </c>
      <c r="E163" s="2">
        <v>85.0</v>
      </c>
      <c r="F163" s="2" t="s">
        <v>332</v>
      </c>
      <c r="G163" s="2">
        <v>3.0</v>
      </c>
      <c r="H163" s="2">
        <v>0.0</v>
      </c>
      <c r="I163" s="2">
        <v>262.0</v>
      </c>
    </row>
    <row r="164" ht="26.25" customHeight="1">
      <c r="B164" s="4" t="s">
        <v>333</v>
      </c>
      <c r="C164" s="5">
        <f>SUBTOTAL(9,C163)</f>
        <v>174</v>
      </c>
      <c r="E164" s="5">
        <f>SUBTOTAL(9,E163)</f>
        <v>85</v>
      </c>
      <c r="G164" s="5">
        <f t="shared" ref="G164:I164" si="54">SUBTOTAL(9,G163)</f>
        <v>3</v>
      </c>
      <c r="H164" s="5">
        <f t="shared" si="54"/>
        <v>0</v>
      </c>
      <c r="I164" s="5">
        <f t="shared" si="54"/>
        <v>262</v>
      </c>
    </row>
    <row r="165" ht="26.25" customHeight="1">
      <c r="A165" s="2">
        <v>211.0</v>
      </c>
      <c r="B165" s="3" t="s">
        <v>334</v>
      </c>
      <c r="C165" s="2">
        <v>82.0</v>
      </c>
      <c r="D165" s="2" t="s">
        <v>335</v>
      </c>
      <c r="E165" s="2">
        <v>120.0</v>
      </c>
      <c r="F165" s="2" t="s">
        <v>336</v>
      </c>
      <c r="G165" s="2">
        <v>2.0</v>
      </c>
      <c r="H165" s="2">
        <v>1.0</v>
      </c>
      <c r="I165" s="2">
        <v>205.0</v>
      </c>
    </row>
    <row r="166" ht="26.25" customHeight="1">
      <c r="B166" s="4" t="s">
        <v>337</v>
      </c>
      <c r="C166" s="5">
        <f>SUBTOTAL(9,C165)</f>
        <v>82</v>
      </c>
      <c r="E166" s="5">
        <f>SUBTOTAL(9,E165)</f>
        <v>120</v>
      </c>
      <c r="G166" s="5">
        <f t="shared" ref="G166:I166" si="55">SUBTOTAL(9,G165)</f>
        <v>2</v>
      </c>
      <c r="H166" s="5">
        <f t="shared" si="55"/>
        <v>1</v>
      </c>
      <c r="I166" s="5">
        <f t="shared" si="55"/>
        <v>205</v>
      </c>
    </row>
    <row r="167" ht="26.25" customHeight="1">
      <c r="A167" s="2">
        <v>212.0</v>
      </c>
      <c r="B167" s="3" t="s">
        <v>338</v>
      </c>
      <c r="C167" s="2">
        <v>113.0</v>
      </c>
      <c r="D167" s="2" t="s">
        <v>339</v>
      </c>
      <c r="E167" s="2">
        <v>77.0</v>
      </c>
      <c r="F167" s="2" t="s">
        <v>340</v>
      </c>
      <c r="G167" s="2">
        <v>2.0</v>
      </c>
      <c r="H167" s="2">
        <v>2.0</v>
      </c>
      <c r="I167" s="2">
        <v>194.0</v>
      </c>
    </row>
    <row r="168" ht="26.25" customHeight="1">
      <c r="A168" s="2">
        <v>213.0</v>
      </c>
      <c r="B168" s="3" t="s">
        <v>338</v>
      </c>
      <c r="C168" s="2">
        <v>43.0</v>
      </c>
      <c r="D168" s="2" t="s">
        <v>341</v>
      </c>
      <c r="E168" s="2">
        <v>62.0</v>
      </c>
      <c r="F168" s="2" t="s">
        <v>342</v>
      </c>
      <c r="G168" s="2">
        <v>3.0</v>
      </c>
      <c r="H168" s="2">
        <v>3.0</v>
      </c>
      <c r="I168" s="2">
        <v>111.0</v>
      </c>
    </row>
    <row r="169" ht="26.25" customHeight="1">
      <c r="A169" s="2">
        <v>214.0</v>
      </c>
      <c r="B169" s="3" t="s">
        <v>338</v>
      </c>
      <c r="C169" s="2">
        <v>89.0</v>
      </c>
      <c r="D169" s="2" t="s">
        <v>343</v>
      </c>
      <c r="E169" s="2">
        <v>77.0</v>
      </c>
      <c r="F169" s="2" t="s">
        <v>344</v>
      </c>
      <c r="G169" s="2">
        <v>2.0</v>
      </c>
      <c r="H169" s="2">
        <v>3.0</v>
      </c>
      <c r="I169" s="2">
        <v>171.0</v>
      </c>
    </row>
    <row r="170" ht="26.25" customHeight="1">
      <c r="A170" s="2">
        <v>215.0</v>
      </c>
      <c r="B170" s="3" t="s">
        <v>338</v>
      </c>
      <c r="C170" s="2">
        <v>50.0</v>
      </c>
      <c r="D170" s="2" t="s">
        <v>345</v>
      </c>
      <c r="E170" s="2">
        <v>43.0</v>
      </c>
      <c r="F170" s="2" t="s">
        <v>346</v>
      </c>
      <c r="G170" s="2">
        <v>4.0</v>
      </c>
      <c r="H170" s="2">
        <v>2.0</v>
      </c>
      <c r="I170" s="2">
        <v>99.0</v>
      </c>
    </row>
    <row r="171" ht="26.25" customHeight="1">
      <c r="A171" s="2">
        <v>216.0</v>
      </c>
      <c r="B171" s="3" t="s">
        <v>338</v>
      </c>
      <c r="C171" s="2">
        <v>31.0</v>
      </c>
      <c r="D171" s="2" t="s">
        <v>347</v>
      </c>
      <c r="E171" s="2">
        <v>41.0</v>
      </c>
      <c r="F171" s="2" t="s">
        <v>348</v>
      </c>
      <c r="G171" s="2">
        <v>2.0</v>
      </c>
      <c r="H171" s="2">
        <v>1.0</v>
      </c>
      <c r="I171" s="2">
        <v>75.0</v>
      </c>
    </row>
    <row r="172" ht="15.0" customHeight="1">
      <c r="A172" s="2">
        <v>217.0</v>
      </c>
      <c r="B172" s="3" t="s">
        <v>338</v>
      </c>
      <c r="C172" s="2">
        <v>39.0</v>
      </c>
      <c r="D172" s="2" t="s">
        <v>349</v>
      </c>
      <c r="E172" s="2">
        <v>24.0</v>
      </c>
      <c r="F172" s="2" t="s">
        <v>350</v>
      </c>
      <c r="G172" s="2">
        <v>1.0</v>
      </c>
      <c r="H172" s="2">
        <v>1.0</v>
      </c>
      <c r="I172" s="2">
        <v>65.0</v>
      </c>
    </row>
    <row r="173" ht="15.0" customHeight="1">
      <c r="B173" s="4" t="s">
        <v>351</v>
      </c>
      <c r="C173" s="5">
        <f>SUBTOTAL(9,C167:C172)</f>
        <v>365</v>
      </c>
      <c r="E173" s="5">
        <f>SUBTOTAL(9,E167:E172)</f>
        <v>324</v>
      </c>
      <c r="G173" s="5">
        <f t="shared" ref="G173:I173" si="56">SUBTOTAL(9,G167:G172)</f>
        <v>14</v>
      </c>
      <c r="H173" s="5">
        <f t="shared" si="56"/>
        <v>12</v>
      </c>
      <c r="I173" s="5">
        <f t="shared" si="56"/>
        <v>715</v>
      </c>
    </row>
    <row r="174" ht="26.25" customHeight="1">
      <c r="A174" s="2">
        <v>218.0</v>
      </c>
      <c r="B174" s="3" t="s">
        <v>352</v>
      </c>
      <c r="C174" s="2">
        <v>70.0</v>
      </c>
      <c r="D174" s="2" t="s">
        <v>353</v>
      </c>
      <c r="E174" s="2">
        <v>101.0</v>
      </c>
      <c r="F174" s="2" t="s">
        <v>354</v>
      </c>
      <c r="G174" s="2">
        <v>4.0</v>
      </c>
      <c r="H174" s="2">
        <v>3.0</v>
      </c>
      <c r="I174" s="2">
        <v>178.0</v>
      </c>
    </row>
    <row r="175" ht="26.25" customHeight="1">
      <c r="B175" s="4" t="s">
        <v>355</v>
      </c>
      <c r="C175" s="5">
        <f>SUBTOTAL(9,C174)</f>
        <v>70</v>
      </c>
      <c r="E175" s="5">
        <f>SUBTOTAL(9,E174)</f>
        <v>101</v>
      </c>
      <c r="G175" s="5">
        <f t="shared" ref="G175:I175" si="57">SUBTOTAL(9,G174)</f>
        <v>4</v>
      </c>
      <c r="H175" s="5">
        <f t="shared" si="57"/>
        <v>3</v>
      </c>
      <c r="I175" s="5">
        <f t="shared" si="57"/>
        <v>178</v>
      </c>
    </row>
    <row r="176" ht="26.25" customHeight="1">
      <c r="A176" s="2">
        <v>219.0</v>
      </c>
      <c r="B176" s="3" t="s">
        <v>356</v>
      </c>
      <c r="C176" s="2">
        <v>103.0</v>
      </c>
      <c r="D176" s="2" t="s">
        <v>357</v>
      </c>
      <c r="E176" s="2">
        <v>108.0</v>
      </c>
      <c r="F176" s="2" t="s">
        <v>358</v>
      </c>
      <c r="G176" s="2">
        <v>0.0</v>
      </c>
      <c r="H176" s="2">
        <v>1.0</v>
      </c>
      <c r="I176" s="2">
        <v>212.0</v>
      </c>
    </row>
    <row r="177" ht="26.25" customHeight="1">
      <c r="A177" s="2">
        <v>220.0</v>
      </c>
      <c r="B177" s="3" t="s">
        <v>356</v>
      </c>
      <c r="C177" s="2">
        <v>67.0</v>
      </c>
      <c r="D177" s="2" t="s">
        <v>359</v>
      </c>
      <c r="E177" s="2">
        <v>112.0</v>
      </c>
      <c r="F177" s="2" t="s">
        <v>360</v>
      </c>
      <c r="G177" s="2">
        <v>3.0</v>
      </c>
      <c r="H177" s="2">
        <v>2.0</v>
      </c>
      <c r="I177" s="2">
        <v>184.0</v>
      </c>
    </row>
    <row r="178" ht="26.25" customHeight="1">
      <c r="B178" s="4" t="s">
        <v>361</v>
      </c>
      <c r="C178" s="5">
        <f>SUBTOTAL(9,C176:C177)</f>
        <v>170</v>
      </c>
      <c r="E178" s="5">
        <f>SUBTOTAL(9,E176:E177)</f>
        <v>220</v>
      </c>
      <c r="G178" s="5">
        <f t="shared" ref="G178:I178" si="58">SUBTOTAL(9,G176:G177)</f>
        <v>3</v>
      </c>
      <c r="H178" s="5">
        <f t="shared" si="58"/>
        <v>3</v>
      </c>
      <c r="I178" s="5">
        <f t="shared" si="58"/>
        <v>396</v>
      </c>
    </row>
    <row r="179" ht="26.25" customHeight="1">
      <c r="A179" s="2">
        <v>221.0</v>
      </c>
      <c r="B179" s="3" t="s">
        <v>362</v>
      </c>
      <c r="C179" s="2">
        <v>74.0</v>
      </c>
      <c r="D179" s="2" t="s">
        <v>363</v>
      </c>
      <c r="E179" s="2">
        <v>165.0</v>
      </c>
      <c r="F179" s="2" t="s">
        <v>364</v>
      </c>
      <c r="G179" s="2">
        <v>2.0</v>
      </c>
      <c r="H179" s="2">
        <v>2.0</v>
      </c>
      <c r="I179" s="2">
        <v>243.0</v>
      </c>
    </row>
    <row r="180" ht="26.25" customHeight="1">
      <c r="B180" s="4" t="s">
        <v>365</v>
      </c>
      <c r="C180" s="5">
        <f>SUBTOTAL(9,C179)</f>
        <v>74</v>
      </c>
      <c r="E180" s="5">
        <f>SUBTOTAL(9,E179)</f>
        <v>165</v>
      </c>
      <c r="G180" s="5">
        <f t="shared" ref="G180:I180" si="59">SUBTOTAL(9,G179)</f>
        <v>2</v>
      </c>
      <c r="H180" s="5">
        <f t="shared" si="59"/>
        <v>2</v>
      </c>
      <c r="I180" s="5">
        <f t="shared" si="59"/>
        <v>243</v>
      </c>
    </row>
    <row r="181" ht="26.25" customHeight="1">
      <c r="A181" s="2">
        <v>222.0</v>
      </c>
      <c r="B181" s="3" t="s">
        <v>366</v>
      </c>
      <c r="C181" s="2">
        <v>135.0</v>
      </c>
      <c r="D181" s="2" t="s">
        <v>367</v>
      </c>
      <c r="E181" s="2">
        <v>51.0</v>
      </c>
      <c r="F181" s="2" t="s">
        <v>368</v>
      </c>
      <c r="G181" s="2">
        <v>0.0</v>
      </c>
      <c r="H181" s="2">
        <v>0.0</v>
      </c>
      <c r="I181" s="2">
        <v>186.0</v>
      </c>
    </row>
    <row r="182" ht="26.25" customHeight="1">
      <c r="B182" s="4" t="s">
        <v>369</v>
      </c>
      <c r="C182" s="5">
        <f>SUBTOTAL(9,C181)</f>
        <v>135</v>
      </c>
      <c r="E182" s="5">
        <f>SUBTOTAL(9,E181)</f>
        <v>51</v>
      </c>
      <c r="G182" s="5">
        <f t="shared" ref="G182:I182" si="60">SUBTOTAL(9,G181)</f>
        <v>0</v>
      </c>
      <c r="H182" s="5">
        <f t="shared" si="60"/>
        <v>0</v>
      </c>
      <c r="I182" s="5">
        <f t="shared" si="60"/>
        <v>186</v>
      </c>
    </row>
    <row r="183" ht="26.25" customHeight="1">
      <c r="A183" s="2">
        <v>223.0</v>
      </c>
      <c r="B183" s="3" t="s">
        <v>370</v>
      </c>
      <c r="C183" s="2">
        <v>133.0</v>
      </c>
      <c r="D183" s="2" t="s">
        <v>371</v>
      </c>
      <c r="E183" s="2">
        <v>46.0</v>
      </c>
      <c r="F183" s="2" t="s">
        <v>372</v>
      </c>
      <c r="G183" s="2">
        <v>3.0</v>
      </c>
      <c r="H183" s="2">
        <v>1.0</v>
      </c>
      <c r="I183" s="2">
        <v>183.0</v>
      </c>
    </row>
    <row r="184" ht="26.25" customHeight="1">
      <c r="B184" s="4" t="s">
        <v>373</v>
      </c>
      <c r="C184" s="5">
        <f>SUBTOTAL(9,C183)</f>
        <v>133</v>
      </c>
      <c r="E184" s="5">
        <f>SUBTOTAL(9,E183)</f>
        <v>46</v>
      </c>
      <c r="G184" s="5">
        <f t="shared" ref="G184:I184" si="61">SUBTOTAL(9,G183)</f>
        <v>3</v>
      </c>
      <c r="H184" s="5">
        <f t="shared" si="61"/>
        <v>1</v>
      </c>
      <c r="I184" s="5">
        <f t="shared" si="61"/>
        <v>183</v>
      </c>
    </row>
    <row r="185" ht="26.25" customHeight="1">
      <c r="A185" s="2">
        <v>224.0</v>
      </c>
      <c r="B185" s="3" t="s">
        <v>374</v>
      </c>
      <c r="C185" s="2">
        <v>86.0</v>
      </c>
      <c r="D185" s="2" t="s">
        <v>375</v>
      </c>
      <c r="E185" s="2">
        <v>48.0</v>
      </c>
      <c r="F185" s="2" t="s">
        <v>376</v>
      </c>
      <c r="G185" s="2">
        <v>1.0</v>
      </c>
      <c r="H185" s="2">
        <v>1.0</v>
      </c>
      <c r="I185" s="2">
        <v>136.0</v>
      </c>
    </row>
    <row r="186" ht="26.25" customHeight="1">
      <c r="A186" s="2">
        <v>225.0</v>
      </c>
      <c r="B186" s="3" t="s">
        <v>374</v>
      </c>
      <c r="C186" s="2">
        <v>69.0</v>
      </c>
      <c r="D186" s="2" t="s">
        <v>377</v>
      </c>
      <c r="E186" s="2">
        <v>52.0</v>
      </c>
      <c r="F186" s="2" t="s">
        <v>378</v>
      </c>
      <c r="G186" s="2">
        <v>3.0</v>
      </c>
      <c r="H186" s="2">
        <v>0.0</v>
      </c>
      <c r="I186" s="2">
        <v>124.0</v>
      </c>
    </row>
    <row r="187" ht="26.25" customHeight="1">
      <c r="A187" s="2">
        <v>226.0</v>
      </c>
      <c r="B187" s="3" t="s">
        <v>374</v>
      </c>
      <c r="C187" s="2">
        <v>89.0</v>
      </c>
      <c r="D187" s="2" t="s">
        <v>379</v>
      </c>
      <c r="E187" s="2">
        <v>43.0</v>
      </c>
      <c r="F187" s="2" t="s">
        <v>380</v>
      </c>
      <c r="G187" s="2">
        <v>0.0</v>
      </c>
      <c r="H187" s="2">
        <v>1.0</v>
      </c>
      <c r="I187" s="2">
        <v>133.0</v>
      </c>
    </row>
    <row r="188" ht="26.25" customHeight="1">
      <c r="A188" s="2">
        <v>227.0</v>
      </c>
      <c r="B188" s="3" t="s">
        <v>374</v>
      </c>
      <c r="C188" s="2">
        <v>105.0</v>
      </c>
      <c r="D188" s="2" t="s">
        <v>381</v>
      </c>
      <c r="E188" s="2">
        <v>62.0</v>
      </c>
      <c r="F188" s="2" t="s">
        <v>382</v>
      </c>
      <c r="G188" s="2">
        <v>2.0</v>
      </c>
      <c r="H188" s="2">
        <v>1.0</v>
      </c>
      <c r="I188" s="2">
        <v>170.0</v>
      </c>
    </row>
    <row r="189" ht="26.25" customHeight="1">
      <c r="A189" s="2">
        <v>228.0</v>
      </c>
      <c r="B189" s="3" t="s">
        <v>374</v>
      </c>
      <c r="C189" s="2">
        <v>99.0</v>
      </c>
      <c r="D189" s="2" t="s">
        <v>383</v>
      </c>
      <c r="E189" s="2">
        <v>57.0</v>
      </c>
      <c r="F189" s="2" t="s">
        <v>384</v>
      </c>
      <c r="G189" s="2">
        <v>0.0</v>
      </c>
      <c r="H189" s="2">
        <v>1.0</v>
      </c>
      <c r="I189" s="2">
        <v>157.0</v>
      </c>
    </row>
    <row r="190" ht="26.25" customHeight="1">
      <c r="B190" s="4" t="s">
        <v>385</v>
      </c>
      <c r="C190" s="5">
        <f>SUBTOTAL(9,C185:C189)</f>
        <v>448</v>
      </c>
      <c r="E190" s="5">
        <f>SUBTOTAL(9,E185:E189)</f>
        <v>262</v>
      </c>
      <c r="G190" s="5">
        <f t="shared" ref="G190:I190" si="62">SUBTOTAL(9,G185:G189)</f>
        <v>6</v>
      </c>
      <c r="H190" s="5">
        <f t="shared" si="62"/>
        <v>4</v>
      </c>
      <c r="I190" s="5">
        <f t="shared" si="62"/>
        <v>720</v>
      </c>
    </row>
    <row r="191" ht="26.25" customHeight="1">
      <c r="A191" s="2">
        <v>229.0</v>
      </c>
      <c r="B191" s="3" t="s">
        <v>386</v>
      </c>
      <c r="C191" s="2">
        <v>55.0</v>
      </c>
      <c r="D191" s="2" t="s">
        <v>119</v>
      </c>
      <c r="E191" s="2">
        <v>55.0</v>
      </c>
      <c r="F191" s="2" t="s">
        <v>119</v>
      </c>
      <c r="G191" s="2">
        <v>5.0</v>
      </c>
      <c r="H191" s="2">
        <v>0.0</v>
      </c>
      <c r="I191" s="2">
        <v>115.0</v>
      </c>
    </row>
    <row r="192" ht="26.25" customHeight="1">
      <c r="B192" s="4" t="s">
        <v>387</v>
      </c>
      <c r="C192" s="5">
        <f>SUBTOTAL(9,C191)</f>
        <v>55</v>
      </c>
      <c r="E192" s="5">
        <f>SUBTOTAL(9,E191)</f>
        <v>55</v>
      </c>
      <c r="G192" s="5">
        <f t="shared" ref="G192:I192" si="63">SUBTOTAL(9,G191)</f>
        <v>5</v>
      </c>
      <c r="H192" s="5">
        <f t="shared" si="63"/>
        <v>0</v>
      </c>
      <c r="I192" s="5">
        <f t="shared" si="63"/>
        <v>115</v>
      </c>
    </row>
    <row r="193" ht="26.25" customHeight="1">
      <c r="A193" s="2">
        <v>230.0</v>
      </c>
      <c r="B193" s="3" t="s">
        <v>388</v>
      </c>
      <c r="C193" s="2">
        <v>192.0</v>
      </c>
      <c r="D193" s="2" t="s">
        <v>389</v>
      </c>
      <c r="E193" s="2">
        <v>50.0</v>
      </c>
      <c r="F193" s="2" t="s">
        <v>390</v>
      </c>
      <c r="G193" s="2">
        <v>3.0</v>
      </c>
      <c r="H193" s="2">
        <v>1.0</v>
      </c>
      <c r="I193" s="2">
        <v>246.0</v>
      </c>
    </row>
    <row r="194" ht="26.25" customHeight="1">
      <c r="B194" s="4" t="s">
        <v>391</v>
      </c>
      <c r="C194" s="5">
        <f>SUBTOTAL(9,C193)</f>
        <v>192</v>
      </c>
      <c r="E194" s="5">
        <f>SUBTOTAL(9,E193)</f>
        <v>50</v>
      </c>
      <c r="G194" s="5">
        <f t="shared" ref="G194:I194" si="64">SUBTOTAL(9,G193)</f>
        <v>3</v>
      </c>
      <c r="H194" s="5">
        <f t="shared" si="64"/>
        <v>1</v>
      </c>
      <c r="I194" s="5">
        <f t="shared" si="64"/>
        <v>246</v>
      </c>
    </row>
    <row r="195" ht="26.25" customHeight="1">
      <c r="A195" s="2">
        <v>231.0</v>
      </c>
      <c r="B195" s="3" t="s">
        <v>392</v>
      </c>
      <c r="C195" s="2">
        <v>130.0</v>
      </c>
      <c r="D195" s="2" t="s">
        <v>393</v>
      </c>
      <c r="E195" s="2">
        <v>44.0</v>
      </c>
      <c r="F195" s="2" t="s">
        <v>183</v>
      </c>
      <c r="G195" s="2">
        <v>4.0</v>
      </c>
      <c r="H195" s="2">
        <v>1.0</v>
      </c>
      <c r="I195" s="2">
        <v>179.0</v>
      </c>
    </row>
    <row r="196" ht="26.25" customHeight="1">
      <c r="A196" s="2">
        <v>232.0</v>
      </c>
      <c r="B196" s="3" t="s">
        <v>392</v>
      </c>
      <c r="C196" s="2">
        <v>117.0</v>
      </c>
      <c r="D196" s="2" t="s">
        <v>394</v>
      </c>
      <c r="E196" s="2">
        <v>47.0</v>
      </c>
      <c r="F196" s="2" t="s">
        <v>395</v>
      </c>
      <c r="G196" s="2">
        <v>7.0</v>
      </c>
      <c r="H196" s="2">
        <v>5.0</v>
      </c>
      <c r="I196" s="2">
        <v>176.0</v>
      </c>
    </row>
    <row r="197" ht="26.25" customHeight="1">
      <c r="B197" s="4" t="s">
        <v>396</v>
      </c>
      <c r="C197" s="5">
        <f>SUBTOTAL(9,C195:C196)</f>
        <v>247</v>
      </c>
      <c r="E197" s="5">
        <f>SUBTOTAL(9,E195:E196)</f>
        <v>91</v>
      </c>
      <c r="G197" s="5">
        <f t="shared" ref="G197:I197" si="65">SUBTOTAL(9,G195:G196)</f>
        <v>11</v>
      </c>
      <c r="H197" s="5">
        <f t="shared" si="65"/>
        <v>6</v>
      </c>
      <c r="I197" s="5">
        <f t="shared" si="65"/>
        <v>355</v>
      </c>
    </row>
    <row r="198" ht="26.25" customHeight="1">
      <c r="A198" s="2">
        <v>233.0</v>
      </c>
      <c r="B198" s="3" t="s">
        <v>397</v>
      </c>
      <c r="C198" s="2">
        <v>214.0</v>
      </c>
      <c r="D198" s="2" t="s">
        <v>398</v>
      </c>
      <c r="E198" s="2">
        <v>26.0</v>
      </c>
      <c r="F198" s="2" t="s">
        <v>399</v>
      </c>
      <c r="G198" s="2">
        <v>1.0</v>
      </c>
      <c r="H198" s="2">
        <v>2.0</v>
      </c>
      <c r="I198" s="2">
        <v>243.0</v>
      </c>
    </row>
    <row r="199" ht="26.25" customHeight="1">
      <c r="A199" s="2">
        <v>234.0</v>
      </c>
      <c r="B199" s="3" t="s">
        <v>397</v>
      </c>
      <c r="C199" s="2">
        <v>193.0</v>
      </c>
      <c r="D199" s="2" t="s">
        <v>400</v>
      </c>
      <c r="E199" s="2">
        <v>28.0</v>
      </c>
      <c r="F199" s="2" t="s">
        <v>401</v>
      </c>
      <c r="G199" s="2">
        <v>0.0</v>
      </c>
      <c r="H199" s="2">
        <v>1.0</v>
      </c>
      <c r="I199" s="2">
        <v>222.0</v>
      </c>
    </row>
    <row r="200" ht="26.25" customHeight="1">
      <c r="B200" s="4" t="s">
        <v>402</v>
      </c>
      <c r="C200" s="5">
        <f>SUBTOTAL(9,C198:C199)</f>
        <v>407</v>
      </c>
      <c r="E200" s="5">
        <f>SUBTOTAL(9,E198:E199)</f>
        <v>54</v>
      </c>
      <c r="G200" s="5">
        <f t="shared" ref="G200:I200" si="66">SUBTOTAL(9,G198:G199)</f>
        <v>1</v>
      </c>
      <c r="H200" s="5">
        <f t="shared" si="66"/>
        <v>3</v>
      </c>
      <c r="I200" s="5">
        <f t="shared" si="66"/>
        <v>465</v>
      </c>
    </row>
    <row r="201" ht="26.25" customHeight="1">
      <c r="A201" s="2">
        <v>235.0</v>
      </c>
      <c r="B201" s="3" t="s">
        <v>403</v>
      </c>
      <c r="C201" s="2">
        <v>263.0</v>
      </c>
      <c r="D201" s="2" t="s">
        <v>404</v>
      </c>
      <c r="E201" s="2">
        <v>100.0</v>
      </c>
      <c r="F201" s="2" t="s">
        <v>405</v>
      </c>
      <c r="G201" s="2">
        <v>4.0</v>
      </c>
      <c r="H201" s="2">
        <v>4.0</v>
      </c>
      <c r="I201" s="2">
        <v>371.0</v>
      </c>
    </row>
    <row r="202" ht="26.25" customHeight="1">
      <c r="B202" s="4" t="s">
        <v>406</v>
      </c>
      <c r="C202" s="5">
        <f>SUBTOTAL(9,C201)</f>
        <v>263</v>
      </c>
      <c r="E202" s="5">
        <f>SUBTOTAL(9,E201)</f>
        <v>100</v>
      </c>
      <c r="G202" s="5">
        <f t="shared" ref="G202:I202" si="67">SUBTOTAL(9,G201)</f>
        <v>4</v>
      </c>
      <c r="H202" s="5">
        <f t="shared" si="67"/>
        <v>4</v>
      </c>
      <c r="I202" s="5">
        <f t="shared" si="67"/>
        <v>371</v>
      </c>
    </row>
    <row r="203" ht="26.25" customHeight="1">
      <c r="A203" s="2">
        <v>236.0</v>
      </c>
      <c r="B203" s="3" t="s">
        <v>407</v>
      </c>
      <c r="C203" s="2">
        <v>237.0</v>
      </c>
      <c r="D203" s="2" t="s">
        <v>408</v>
      </c>
      <c r="E203" s="2">
        <v>25.0</v>
      </c>
      <c r="F203" s="2" t="s">
        <v>409</v>
      </c>
      <c r="G203" s="2">
        <v>2.0</v>
      </c>
      <c r="H203" s="2">
        <v>1.0</v>
      </c>
      <c r="I203" s="2">
        <v>265.0</v>
      </c>
    </row>
    <row r="204" ht="26.25" customHeight="1">
      <c r="A204" s="2">
        <v>237.0</v>
      </c>
      <c r="B204" s="3" t="s">
        <v>407</v>
      </c>
      <c r="C204" s="2">
        <v>218.0</v>
      </c>
      <c r="D204" s="2" t="s">
        <v>410</v>
      </c>
      <c r="E204" s="2">
        <v>33.0</v>
      </c>
      <c r="F204" s="2" t="s">
        <v>411</v>
      </c>
      <c r="G204" s="2">
        <v>1.0</v>
      </c>
      <c r="H204" s="2">
        <v>4.0</v>
      </c>
      <c r="I204" s="2">
        <v>256.0</v>
      </c>
    </row>
    <row r="205" ht="26.25" customHeight="1">
      <c r="A205" s="2">
        <v>238.0</v>
      </c>
      <c r="B205" s="3" t="s">
        <v>407</v>
      </c>
      <c r="C205" s="2">
        <v>153.0</v>
      </c>
      <c r="D205" s="2" t="s">
        <v>412</v>
      </c>
      <c r="E205" s="2">
        <v>56.0</v>
      </c>
      <c r="F205" s="2" t="s">
        <v>413</v>
      </c>
      <c r="G205" s="2">
        <v>1.0</v>
      </c>
      <c r="H205" s="2">
        <v>4.0</v>
      </c>
      <c r="I205" s="2">
        <v>214.0</v>
      </c>
    </row>
    <row r="206" ht="26.25" customHeight="1">
      <c r="B206" s="4" t="s">
        <v>414</v>
      </c>
      <c r="C206" s="5">
        <f>SUBTOTAL(9,C203:C205)</f>
        <v>608</v>
      </c>
      <c r="E206" s="5">
        <f>SUBTOTAL(9,E203:E205)</f>
        <v>114</v>
      </c>
      <c r="G206" s="5">
        <f t="shared" ref="G206:I206" si="68">SUBTOTAL(9,G203:G205)</f>
        <v>4</v>
      </c>
      <c r="H206" s="5">
        <f t="shared" si="68"/>
        <v>9</v>
      </c>
      <c r="I206" s="5">
        <f t="shared" si="68"/>
        <v>735</v>
      </c>
    </row>
    <row r="207" ht="26.25" customHeight="1">
      <c r="A207" s="2">
        <v>239.0</v>
      </c>
      <c r="B207" s="3" t="s">
        <v>415</v>
      </c>
      <c r="C207" s="2">
        <v>130.0</v>
      </c>
      <c r="D207" s="2" t="s">
        <v>416</v>
      </c>
      <c r="E207" s="2">
        <v>33.0</v>
      </c>
      <c r="F207" s="2" t="s">
        <v>417</v>
      </c>
      <c r="G207" s="2">
        <v>2.0</v>
      </c>
      <c r="H207" s="2">
        <v>2.0</v>
      </c>
      <c r="I207" s="2">
        <v>167.0</v>
      </c>
    </row>
    <row r="208" ht="26.25" customHeight="1">
      <c r="A208" s="2">
        <v>240.0</v>
      </c>
      <c r="B208" s="3" t="s">
        <v>415</v>
      </c>
      <c r="C208" s="2">
        <v>154.0</v>
      </c>
      <c r="D208" s="2" t="s">
        <v>418</v>
      </c>
      <c r="E208" s="2">
        <v>48.0</v>
      </c>
      <c r="F208" s="2" t="s">
        <v>419</v>
      </c>
      <c r="G208" s="2">
        <v>4.0</v>
      </c>
      <c r="H208" s="2">
        <v>1.0</v>
      </c>
      <c r="I208" s="2">
        <v>207.0</v>
      </c>
    </row>
    <row r="209" ht="26.25" customHeight="1">
      <c r="A209" s="2">
        <v>241.0</v>
      </c>
      <c r="B209" s="3" t="s">
        <v>415</v>
      </c>
      <c r="C209" s="2">
        <v>112.0</v>
      </c>
      <c r="D209" s="2" t="s">
        <v>420</v>
      </c>
      <c r="E209" s="2">
        <v>31.0</v>
      </c>
      <c r="F209" s="2" t="s">
        <v>421</v>
      </c>
      <c r="G209" s="2">
        <v>0.0</v>
      </c>
      <c r="H209" s="2">
        <v>1.0</v>
      </c>
      <c r="I209" s="2">
        <v>144.0</v>
      </c>
    </row>
    <row r="210" ht="26.25" customHeight="1">
      <c r="A210" s="2">
        <v>242.0</v>
      </c>
      <c r="B210" s="3" t="s">
        <v>415</v>
      </c>
      <c r="C210" s="2">
        <v>125.0</v>
      </c>
      <c r="D210" s="2" t="s">
        <v>422</v>
      </c>
      <c r="E210" s="2">
        <v>37.0</v>
      </c>
      <c r="F210" s="2" t="s">
        <v>423</v>
      </c>
      <c r="G210" s="2">
        <v>2.0</v>
      </c>
      <c r="H210" s="2">
        <v>2.0</v>
      </c>
      <c r="I210" s="2">
        <v>166.0</v>
      </c>
    </row>
    <row r="211" ht="26.25" customHeight="1">
      <c r="A211" s="2">
        <v>243.0</v>
      </c>
      <c r="B211" s="3" t="s">
        <v>415</v>
      </c>
      <c r="C211" s="2">
        <v>143.0</v>
      </c>
      <c r="D211" s="2" t="s">
        <v>424</v>
      </c>
      <c r="E211" s="2">
        <v>57.0</v>
      </c>
      <c r="F211" s="2" t="s">
        <v>425</v>
      </c>
      <c r="G211" s="2">
        <v>5.0</v>
      </c>
      <c r="H211" s="2">
        <v>3.0</v>
      </c>
      <c r="I211" s="2">
        <v>208.0</v>
      </c>
    </row>
    <row r="212" ht="26.25" customHeight="1">
      <c r="A212" s="2">
        <v>244.0</v>
      </c>
      <c r="B212" s="3" t="s">
        <v>415</v>
      </c>
      <c r="C212" s="2">
        <v>103.0</v>
      </c>
      <c r="D212" s="2" t="s">
        <v>426</v>
      </c>
      <c r="E212" s="2">
        <v>23.0</v>
      </c>
      <c r="F212" s="2" t="s">
        <v>427</v>
      </c>
      <c r="G212" s="2">
        <v>3.0</v>
      </c>
      <c r="H212" s="2">
        <v>5.0</v>
      </c>
      <c r="I212" s="2">
        <v>134.0</v>
      </c>
    </row>
    <row r="213" ht="26.25" customHeight="1">
      <c r="A213" s="2">
        <v>245.0</v>
      </c>
      <c r="B213" s="3" t="s">
        <v>415</v>
      </c>
      <c r="C213" s="2">
        <v>112.0</v>
      </c>
      <c r="D213" s="2" t="s">
        <v>428</v>
      </c>
      <c r="E213" s="2">
        <v>33.0</v>
      </c>
      <c r="F213" s="2" t="s">
        <v>429</v>
      </c>
      <c r="G213" s="2">
        <v>1.0</v>
      </c>
      <c r="H213" s="2">
        <v>2.0</v>
      </c>
      <c r="I213" s="2">
        <v>148.0</v>
      </c>
    </row>
    <row r="214" ht="15.0" customHeight="1">
      <c r="A214" s="2">
        <v>246.0</v>
      </c>
      <c r="B214" s="3" t="s">
        <v>415</v>
      </c>
      <c r="C214" s="2">
        <v>132.0</v>
      </c>
      <c r="D214" s="2" t="s">
        <v>309</v>
      </c>
      <c r="E214" s="2">
        <v>44.0</v>
      </c>
      <c r="F214" s="2" t="s">
        <v>430</v>
      </c>
      <c r="G214" s="2">
        <v>0.0</v>
      </c>
      <c r="H214" s="2">
        <v>2.0</v>
      </c>
      <c r="I214" s="2">
        <v>178.0</v>
      </c>
    </row>
    <row r="215" ht="15.0" customHeight="1">
      <c r="B215" s="4" t="s">
        <v>431</v>
      </c>
      <c r="C215" s="5">
        <f>SUBTOTAL(9,C207:C214)</f>
        <v>1011</v>
      </c>
      <c r="E215" s="5">
        <f>SUBTOTAL(9,E207:E214)</f>
        <v>306</v>
      </c>
      <c r="G215" s="5">
        <f t="shared" ref="G215:I215" si="69">SUBTOTAL(9,G207:G214)</f>
        <v>17</v>
      </c>
      <c r="H215" s="5">
        <f t="shared" si="69"/>
        <v>18</v>
      </c>
      <c r="I215" s="5">
        <f t="shared" si="69"/>
        <v>1352</v>
      </c>
    </row>
    <row r="216" ht="26.25" customHeight="1">
      <c r="A216" s="2">
        <v>247.0</v>
      </c>
      <c r="B216" s="3" t="s">
        <v>432</v>
      </c>
      <c r="C216" s="2">
        <v>45.0</v>
      </c>
      <c r="D216" s="2" t="s">
        <v>433</v>
      </c>
      <c r="E216" s="2">
        <v>39.0</v>
      </c>
      <c r="F216" s="2" t="s">
        <v>434</v>
      </c>
      <c r="G216" s="2">
        <v>1.0</v>
      </c>
      <c r="H216" s="2">
        <v>0.0</v>
      </c>
      <c r="I216" s="2">
        <v>85.0</v>
      </c>
    </row>
    <row r="217" ht="26.25" customHeight="1">
      <c r="B217" s="4" t="s">
        <v>435</v>
      </c>
      <c r="C217" s="5">
        <f>SUBTOTAL(9,C216)</f>
        <v>45</v>
      </c>
      <c r="E217" s="5">
        <f>SUBTOTAL(9,E216)</f>
        <v>39</v>
      </c>
      <c r="G217" s="5">
        <f t="shared" ref="G217:I217" si="70">SUBTOTAL(9,G216)</f>
        <v>1</v>
      </c>
      <c r="H217" s="5">
        <f t="shared" si="70"/>
        <v>0</v>
      </c>
      <c r="I217" s="5">
        <f t="shared" si="70"/>
        <v>85</v>
      </c>
    </row>
    <row r="218" ht="26.25" customHeight="1">
      <c r="A218" s="2">
        <v>248.0</v>
      </c>
      <c r="B218" s="3" t="s">
        <v>436</v>
      </c>
      <c r="C218" s="2">
        <v>251.0</v>
      </c>
      <c r="D218" s="2" t="s">
        <v>437</v>
      </c>
      <c r="E218" s="2">
        <v>51.0</v>
      </c>
      <c r="F218" s="2" t="s">
        <v>438</v>
      </c>
      <c r="G218" s="2">
        <v>1.0</v>
      </c>
      <c r="H218" s="2">
        <v>0.0</v>
      </c>
      <c r="I218" s="2">
        <v>303.0</v>
      </c>
    </row>
    <row r="219" ht="26.25" customHeight="1">
      <c r="B219" s="4" t="s">
        <v>439</v>
      </c>
      <c r="C219" s="5">
        <f>SUBTOTAL(9,C218)</f>
        <v>251</v>
      </c>
      <c r="E219" s="5">
        <f>SUBTOTAL(9,E218)</f>
        <v>51</v>
      </c>
      <c r="G219" s="5">
        <f t="shared" ref="G219:I219" si="71">SUBTOTAL(9,G218)</f>
        <v>1</v>
      </c>
      <c r="H219" s="5">
        <f t="shared" si="71"/>
        <v>0</v>
      </c>
      <c r="I219" s="5">
        <f t="shared" si="71"/>
        <v>303</v>
      </c>
    </row>
    <row r="220" ht="26.25" customHeight="1">
      <c r="A220" s="2">
        <v>249.0</v>
      </c>
      <c r="B220" s="3" t="s">
        <v>440</v>
      </c>
      <c r="C220" s="2">
        <v>50.0</v>
      </c>
      <c r="D220" s="2" t="s">
        <v>441</v>
      </c>
      <c r="E220" s="2">
        <v>32.0</v>
      </c>
      <c r="F220" s="2" t="s">
        <v>442</v>
      </c>
      <c r="G220" s="2">
        <v>0.0</v>
      </c>
      <c r="H220" s="2">
        <v>1.0</v>
      </c>
      <c r="I220" s="2">
        <v>83.0</v>
      </c>
    </row>
    <row r="221" ht="26.25" customHeight="1">
      <c r="B221" s="4" t="s">
        <v>443</v>
      </c>
      <c r="C221" s="5">
        <f>SUBTOTAL(9,C220)</f>
        <v>50</v>
      </c>
      <c r="E221" s="5">
        <f>SUBTOTAL(9,E220)</f>
        <v>32</v>
      </c>
      <c r="G221" s="5">
        <f t="shared" ref="G221:I221" si="72">SUBTOTAL(9,G220)</f>
        <v>0</v>
      </c>
      <c r="H221" s="5">
        <f t="shared" si="72"/>
        <v>1</v>
      </c>
      <c r="I221" s="5">
        <f t="shared" si="72"/>
        <v>83</v>
      </c>
    </row>
    <row r="222" ht="26.25" customHeight="1">
      <c r="A222" s="2">
        <v>250.0</v>
      </c>
      <c r="B222" s="3" t="s">
        <v>444</v>
      </c>
      <c r="C222" s="2">
        <v>96.0</v>
      </c>
      <c r="D222" s="2" t="s">
        <v>445</v>
      </c>
      <c r="E222" s="2">
        <v>46.0</v>
      </c>
      <c r="F222" s="2" t="s">
        <v>446</v>
      </c>
      <c r="G222" s="2">
        <v>0.0</v>
      </c>
      <c r="H222" s="2">
        <v>0.0</v>
      </c>
      <c r="I222" s="2">
        <v>142.0</v>
      </c>
    </row>
    <row r="223" ht="26.25" customHeight="1">
      <c r="A223" s="2">
        <v>251.0</v>
      </c>
      <c r="B223" s="3" t="s">
        <v>444</v>
      </c>
      <c r="C223" s="2">
        <v>43.0</v>
      </c>
      <c r="D223" s="2" t="s">
        <v>447</v>
      </c>
      <c r="E223" s="2">
        <v>298.0</v>
      </c>
      <c r="F223" s="2" t="s">
        <v>448</v>
      </c>
      <c r="G223" s="2">
        <v>1.0</v>
      </c>
      <c r="H223" s="2">
        <v>1.0</v>
      </c>
      <c r="I223" s="2">
        <v>343.0</v>
      </c>
    </row>
    <row r="224" ht="26.25" customHeight="1">
      <c r="B224" s="4" t="s">
        <v>449</v>
      </c>
      <c r="C224" s="5">
        <f>SUBTOTAL(9,C222:C223)</f>
        <v>139</v>
      </c>
      <c r="E224" s="5">
        <f>SUBTOTAL(9,E222:E223)</f>
        <v>344</v>
      </c>
      <c r="G224" s="5">
        <f t="shared" ref="G224:I224" si="73">SUBTOTAL(9,G222:G223)</f>
        <v>1</v>
      </c>
      <c r="H224" s="5">
        <f t="shared" si="73"/>
        <v>1</v>
      </c>
      <c r="I224" s="5">
        <f t="shared" si="73"/>
        <v>485</v>
      </c>
    </row>
    <row r="225" ht="26.25" customHeight="1">
      <c r="A225" s="2">
        <v>252.0</v>
      </c>
      <c r="B225" s="3" t="s">
        <v>450</v>
      </c>
      <c r="C225" s="2">
        <v>282.0</v>
      </c>
      <c r="D225" s="2" t="s">
        <v>451</v>
      </c>
      <c r="E225" s="2">
        <v>25.0</v>
      </c>
      <c r="F225" s="2" t="s">
        <v>452</v>
      </c>
      <c r="G225" s="2">
        <v>2.0</v>
      </c>
      <c r="H225" s="2">
        <v>2.0</v>
      </c>
      <c r="I225" s="2">
        <v>311.0</v>
      </c>
    </row>
    <row r="226" ht="26.25" customHeight="1">
      <c r="B226" s="4" t="s">
        <v>453</v>
      </c>
      <c r="C226" s="5">
        <f>SUBTOTAL(9,C225)</f>
        <v>282</v>
      </c>
      <c r="E226" s="5">
        <f>SUBTOTAL(9,E225)</f>
        <v>25</v>
      </c>
      <c r="G226" s="5">
        <f t="shared" ref="G226:I226" si="74">SUBTOTAL(9,G225)</f>
        <v>2</v>
      </c>
      <c r="H226" s="5">
        <f t="shared" si="74"/>
        <v>2</v>
      </c>
      <c r="I226" s="5">
        <f t="shared" si="74"/>
        <v>311</v>
      </c>
    </row>
    <row r="227" ht="26.25" customHeight="1">
      <c r="A227" s="2">
        <v>253.0</v>
      </c>
      <c r="B227" s="3" t="s">
        <v>444</v>
      </c>
      <c r="C227" s="2">
        <v>263.0</v>
      </c>
      <c r="D227" s="2" t="s">
        <v>454</v>
      </c>
      <c r="E227" s="2">
        <v>71.0</v>
      </c>
      <c r="F227" s="2" t="s">
        <v>455</v>
      </c>
      <c r="G227" s="2">
        <v>1.0</v>
      </c>
      <c r="H227" s="2">
        <v>1.0</v>
      </c>
      <c r="I227" s="2">
        <v>336.0</v>
      </c>
    </row>
    <row r="228" ht="26.25" customHeight="1">
      <c r="B228" s="4" t="s">
        <v>449</v>
      </c>
      <c r="C228" s="5">
        <f>SUBTOTAL(9,C227)</f>
        <v>263</v>
      </c>
      <c r="E228" s="5">
        <f>SUBTOTAL(9,E227)</f>
        <v>71</v>
      </c>
      <c r="G228" s="5">
        <f t="shared" ref="G228:I228" si="75">SUBTOTAL(9,G227)</f>
        <v>1</v>
      </c>
      <c r="H228" s="5">
        <f t="shared" si="75"/>
        <v>1</v>
      </c>
      <c r="I228" s="5">
        <f t="shared" si="75"/>
        <v>336</v>
      </c>
    </row>
    <row r="229" ht="26.25" customHeight="1">
      <c r="A229" s="2">
        <v>254.0</v>
      </c>
      <c r="B229" s="3" t="s">
        <v>456</v>
      </c>
      <c r="C229" s="2">
        <v>82.0</v>
      </c>
      <c r="D229" s="2" t="s">
        <v>457</v>
      </c>
      <c r="E229" s="2">
        <v>67.0</v>
      </c>
      <c r="F229" s="2" t="s">
        <v>458</v>
      </c>
      <c r="G229" s="2">
        <v>0.0</v>
      </c>
      <c r="H229" s="2">
        <v>2.0</v>
      </c>
      <c r="I229" s="2">
        <v>151.0</v>
      </c>
    </row>
    <row r="230" ht="26.25" customHeight="1">
      <c r="B230" s="4" t="s">
        <v>459</v>
      </c>
      <c r="C230" s="5">
        <f>SUBTOTAL(9,C229)</f>
        <v>82</v>
      </c>
      <c r="E230" s="5">
        <f>SUBTOTAL(9,E229)</f>
        <v>67</v>
      </c>
      <c r="G230" s="5">
        <f t="shared" ref="G230:I230" si="76">SUBTOTAL(9,G229)</f>
        <v>0</v>
      </c>
      <c r="H230" s="5">
        <f t="shared" si="76"/>
        <v>2</v>
      </c>
      <c r="I230" s="5">
        <f t="shared" si="76"/>
        <v>151</v>
      </c>
    </row>
    <row r="231" ht="26.25" customHeight="1">
      <c r="A231" s="2">
        <v>255.0</v>
      </c>
      <c r="B231" s="3" t="s">
        <v>460</v>
      </c>
      <c r="C231" s="2">
        <v>245.0</v>
      </c>
      <c r="D231" s="2" t="s">
        <v>461</v>
      </c>
      <c r="E231" s="2">
        <v>34.0</v>
      </c>
      <c r="F231" s="2" t="s">
        <v>462</v>
      </c>
      <c r="G231" s="2">
        <v>12.0</v>
      </c>
      <c r="H231" s="2">
        <v>3.0</v>
      </c>
      <c r="I231" s="2">
        <v>294.0</v>
      </c>
    </row>
    <row r="232" ht="26.25" customHeight="1">
      <c r="A232" s="2">
        <v>256.0</v>
      </c>
      <c r="B232" s="3" t="s">
        <v>460</v>
      </c>
      <c r="C232" s="2">
        <v>414.0</v>
      </c>
      <c r="D232" s="2" t="s">
        <v>463</v>
      </c>
      <c r="E232" s="2">
        <v>18.0</v>
      </c>
      <c r="F232" s="2" t="s">
        <v>464</v>
      </c>
      <c r="G232" s="2">
        <v>7.0</v>
      </c>
      <c r="H232" s="2">
        <v>1.0</v>
      </c>
      <c r="I232" s="2">
        <v>440.0</v>
      </c>
    </row>
    <row r="233" ht="26.25" customHeight="1">
      <c r="A233" s="2">
        <v>257.0</v>
      </c>
      <c r="B233" s="3" t="s">
        <v>460</v>
      </c>
      <c r="C233" s="2">
        <v>222.0</v>
      </c>
      <c r="D233" s="2" t="s">
        <v>465</v>
      </c>
      <c r="E233" s="2">
        <v>45.0</v>
      </c>
      <c r="F233" s="2" t="s">
        <v>466</v>
      </c>
      <c r="G233" s="2">
        <v>5.0</v>
      </c>
      <c r="H233" s="2">
        <v>4.0</v>
      </c>
      <c r="I233" s="2">
        <v>276.0</v>
      </c>
    </row>
    <row r="234" ht="26.25" customHeight="1">
      <c r="A234" s="2">
        <v>258.0</v>
      </c>
      <c r="B234" s="3" t="s">
        <v>460</v>
      </c>
      <c r="C234" s="2">
        <v>240.0</v>
      </c>
      <c r="D234" s="2" t="s">
        <v>467</v>
      </c>
      <c r="E234" s="2">
        <v>35.0</v>
      </c>
      <c r="F234" s="2" t="s">
        <v>468</v>
      </c>
      <c r="G234" s="2">
        <v>0.0</v>
      </c>
      <c r="H234" s="2">
        <v>6.0</v>
      </c>
      <c r="I234" s="2">
        <v>281.0</v>
      </c>
    </row>
    <row r="235" ht="26.25" customHeight="1">
      <c r="B235" s="4" t="s">
        <v>469</v>
      </c>
      <c r="C235" s="5">
        <f>SUBTOTAL(9,C231:C234)</f>
        <v>1121</v>
      </c>
      <c r="E235" s="5">
        <f>SUBTOTAL(9,E231:E234)</f>
        <v>132</v>
      </c>
      <c r="G235" s="5">
        <f t="shared" ref="G235:I235" si="77">SUBTOTAL(9,G231:G234)</f>
        <v>24</v>
      </c>
      <c r="H235" s="5">
        <f t="shared" si="77"/>
        <v>14</v>
      </c>
      <c r="I235" s="5">
        <f t="shared" si="77"/>
        <v>1291</v>
      </c>
    </row>
    <row r="236" ht="15.0" customHeight="1">
      <c r="A236" s="2">
        <v>259.0</v>
      </c>
      <c r="B236" s="3" t="s">
        <v>470</v>
      </c>
      <c r="C236" s="2">
        <v>280.0</v>
      </c>
      <c r="D236" s="2" t="s">
        <v>471</v>
      </c>
      <c r="E236" s="2">
        <v>117.0</v>
      </c>
      <c r="F236" s="2" t="s">
        <v>472</v>
      </c>
      <c r="G236" s="2">
        <v>3.0</v>
      </c>
      <c r="H236" s="2">
        <v>3.0</v>
      </c>
      <c r="I236" s="2">
        <v>403.0</v>
      </c>
    </row>
    <row r="237" ht="15.0" customHeight="1">
      <c r="B237" s="4" t="s">
        <v>473</v>
      </c>
      <c r="C237" s="5">
        <f>SUBTOTAL(9,C236)</f>
        <v>280</v>
      </c>
      <c r="E237" s="5">
        <f>SUBTOTAL(9,E236)</f>
        <v>117</v>
      </c>
      <c r="G237" s="5">
        <f t="shared" ref="G237:I237" si="78">SUBTOTAL(9,G236)</f>
        <v>3</v>
      </c>
      <c r="H237" s="5">
        <f t="shared" si="78"/>
        <v>3</v>
      </c>
      <c r="I237" s="5">
        <f t="shared" si="78"/>
        <v>403</v>
      </c>
    </row>
    <row r="238" ht="26.25" customHeight="1">
      <c r="A238" s="2">
        <v>260.0</v>
      </c>
      <c r="B238" s="3" t="s">
        <v>474</v>
      </c>
      <c r="C238" s="2">
        <v>93.0</v>
      </c>
      <c r="D238" s="2" t="s">
        <v>475</v>
      </c>
      <c r="E238" s="2">
        <v>260.0</v>
      </c>
      <c r="F238" s="2" t="s">
        <v>476</v>
      </c>
      <c r="G238" s="2">
        <v>4.0</v>
      </c>
      <c r="H238" s="2">
        <v>3.0</v>
      </c>
      <c r="I238" s="2">
        <v>360.0</v>
      </c>
    </row>
    <row r="239" ht="26.25" customHeight="1">
      <c r="A239" s="2">
        <v>261.0</v>
      </c>
      <c r="B239" s="3" t="s">
        <v>474</v>
      </c>
      <c r="C239" s="2">
        <v>105.0</v>
      </c>
      <c r="D239" s="2" t="s">
        <v>477</v>
      </c>
      <c r="E239" s="2">
        <v>152.0</v>
      </c>
      <c r="F239" s="2" t="s">
        <v>478</v>
      </c>
      <c r="G239" s="2">
        <v>0.0</v>
      </c>
      <c r="H239" s="2">
        <v>0.0</v>
      </c>
      <c r="I239" s="2">
        <v>257.0</v>
      </c>
    </row>
    <row r="240" ht="26.25" customHeight="1">
      <c r="B240" s="4" t="s">
        <v>479</v>
      </c>
      <c r="C240" s="5">
        <f>SUBTOTAL(9,C238:C239)</f>
        <v>198</v>
      </c>
      <c r="E240" s="5">
        <f>SUBTOTAL(9,E238:E239)</f>
        <v>412</v>
      </c>
      <c r="G240" s="5">
        <f t="shared" ref="G240:I240" si="79">SUBTOTAL(9,G238:G239)</f>
        <v>4</v>
      </c>
      <c r="H240" s="5">
        <f t="shared" si="79"/>
        <v>3</v>
      </c>
      <c r="I240" s="5">
        <f t="shared" si="79"/>
        <v>617</v>
      </c>
    </row>
    <row r="241" ht="26.25" customHeight="1">
      <c r="A241" s="2">
        <v>262.0</v>
      </c>
      <c r="B241" s="3" t="s">
        <v>480</v>
      </c>
      <c r="C241" s="2">
        <v>375.0</v>
      </c>
      <c r="D241" s="2" t="s">
        <v>481</v>
      </c>
      <c r="E241" s="2">
        <v>11.0</v>
      </c>
      <c r="F241" s="2" t="s">
        <v>482</v>
      </c>
      <c r="G241" s="2">
        <v>0.0</v>
      </c>
      <c r="H241" s="2">
        <v>0.0</v>
      </c>
      <c r="I241" s="2">
        <v>386.0</v>
      </c>
    </row>
    <row r="242" ht="26.25" customHeight="1">
      <c r="B242" s="4" t="s">
        <v>483</v>
      </c>
      <c r="C242" s="5">
        <f>SUBTOTAL(9,C241)</f>
        <v>375</v>
      </c>
      <c r="E242" s="5">
        <f>SUBTOTAL(9,E241)</f>
        <v>11</v>
      </c>
      <c r="G242" s="5">
        <f t="shared" ref="G242:I242" si="80">SUBTOTAL(9,G241)</f>
        <v>0</v>
      </c>
      <c r="H242" s="5">
        <f t="shared" si="80"/>
        <v>0</v>
      </c>
      <c r="I242" s="5">
        <f t="shared" si="80"/>
        <v>386</v>
      </c>
    </row>
    <row r="243" ht="26.25" customHeight="1">
      <c r="A243" s="2">
        <v>263.0</v>
      </c>
      <c r="B243" s="3" t="s">
        <v>484</v>
      </c>
      <c r="C243" s="2">
        <v>200.0</v>
      </c>
      <c r="D243" s="2" t="s">
        <v>485</v>
      </c>
      <c r="E243" s="2">
        <v>65.0</v>
      </c>
      <c r="F243" s="2" t="s">
        <v>486</v>
      </c>
      <c r="G243" s="2">
        <v>0.0</v>
      </c>
      <c r="H243" s="2">
        <v>0.0</v>
      </c>
      <c r="I243" s="2">
        <v>265.0</v>
      </c>
    </row>
    <row r="244" ht="26.25" customHeight="1">
      <c r="A244" s="2">
        <v>264.0</v>
      </c>
      <c r="B244" s="3" t="s">
        <v>484</v>
      </c>
      <c r="C244" s="2">
        <v>149.0</v>
      </c>
      <c r="D244" s="2" t="s">
        <v>487</v>
      </c>
      <c r="E244" s="2">
        <v>91.0</v>
      </c>
      <c r="F244" s="2" t="s">
        <v>488</v>
      </c>
      <c r="G244" s="2">
        <v>0.0</v>
      </c>
      <c r="H244" s="2">
        <v>0.0</v>
      </c>
      <c r="I244" s="2">
        <v>240.0</v>
      </c>
    </row>
    <row r="245" ht="26.25" customHeight="1">
      <c r="B245" s="4" t="s">
        <v>489</v>
      </c>
      <c r="C245" s="5">
        <f>SUBTOTAL(9,C243:C244)</f>
        <v>349</v>
      </c>
      <c r="E245" s="5">
        <f>SUBTOTAL(9,E243:E244)</f>
        <v>156</v>
      </c>
      <c r="G245" s="5">
        <f t="shared" ref="G245:I245" si="81">SUBTOTAL(9,G243:G244)</f>
        <v>0</v>
      </c>
      <c r="H245" s="5">
        <f t="shared" si="81"/>
        <v>0</v>
      </c>
      <c r="I245" s="5">
        <f t="shared" si="81"/>
        <v>505</v>
      </c>
    </row>
    <row r="246" ht="26.25" customHeight="1">
      <c r="A246" s="2">
        <v>265.0</v>
      </c>
      <c r="B246" s="3" t="s">
        <v>490</v>
      </c>
      <c r="C246" s="2">
        <v>46.0</v>
      </c>
      <c r="D246" s="2" t="s">
        <v>491</v>
      </c>
      <c r="E246" s="2">
        <v>132.0</v>
      </c>
      <c r="F246" s="2" t="s">
        <v>98</v>
      </c>
      <c r="G246" s="2">
        <v>0.0</v>
      </c>
      <c r="H246" s="2">
        <v>2.0</v>
      </c>
      <c r="I246" s="2">
        <v>180.0</v>
      </c>
    </row>
    <row r="247" ht="26.25" customHeight="1">
      <c r="B247" s="4" t="s">
        <v>492</v>
      </c>
      <c r="C247" s="5">
        <f>SUBTOTAL(9,C246)</f>
        <v>46</v>
      </c>
      <c r="E247" s="5">
        <f>SUBTOTAL(9,E246)</f>
        <v>132</v>
      </c>
      <c r="G247" s="5">
        <f t="shared" ref="G247:I247" si="82">SUBTOTAL(9,G246)</f>
        <v>0</v>
      </c>
      <c r="H247" s="5">
        <f t="shared" si="82"/>
        <v>2</v>
      </c>
      <c r="I247" s="5">
        <f t="shared" si="82"/>
        <v>180</v>
      </c>
    </row>
    <row r="248" ht="26.25" customHeight="1">
      <c r="A248" s="2">
        <v>266.0</v>
      </c>
      <c r="B248" s="3" t="s">
        <v>493</v>
      </c>
      <c r="C248" s="2">
        <v>107.0</v>
      </c>
      <c r="D248" s="2" t="s">
        <v>494</v>
      </c>
      <c r="E248" s="2">
        <v>110.0</v>
      </c>
      <c r="F248" s="2" t="s">
        <v>495</v>
      </c>
      <c r="G248" s="2">
        <v>0.0</v>
      </c>
      <c r="H248" s="2">
        <v>0.0</v>
      </c>
      <c r="I248" s="2">
        <v>217.0</v>
      </c>
    </row>
    <row r="249" ht="26.25" customHeight="1">
      <c r="B249" s="4" t="s">
        <v>496</v>
      </c>
      <c r="C249" s="5">
        <f>SUBTOTAL(9,C248)</f>
        <v>107</v>
      </c>
      <c r="E249" s="5">
        <f>SUBTOTAL(9,E248)</f>
        <v>110</v>
      </c>
      <c r="G249" s="5">
        <f t="shared" ref="G249:I249" si="83">SUBTOTAL(9,G248)</f>
        <v>0</v>
      </c>
      <c r="H249" s="5">
        <f t="shared" si="83"/>
        <v>0</v>
      </c>
      <c r="I249" s="5">
        <f t="shared" si="83"/>
        <v>217</v>
      </c>
    </row>
    <row r="250" ht="26.25" customHeight="1">
      <c r="A250" s="2">
        <v>267.0</v>
      </c>
      <c r="B250" s="3" t="s">
        <v>497</v>
      </c>
      <c r="C250" s="2">
        <v>220.0</v>
      </c>
      <c r="D250" s="2" t="s">
        <v>498</v>
      </c>
      <c r="E250" s="2">
        <v>177.0</v>
      </c>
      <c r="F250" s="2" t="s">
        <v>499</v>
      </c>
      <c r="G250" s="2">
        <v>2.0</v>
      </c>
      <c r="H250" s="2">
        <v>5.0</v>
      </c>
      <c r="I250" s="2">
        <v>404.0</v>
      </c>
    </row>
    <row r="251" ht="26.25" customHeight="1">
      <c r="A251" s="2">
        <v>268.0</v>
      </c>
      <c r="B251" s="3" t="s">
        <v>497</v>
      </c>
      <c r="C251" s="2">
        <v>144.0</v>
      </c>
      <c r="D251" s="2" t="s">
        <v>500</v>
      </c>
      <c r="E251" s="2">
        <v>196.0</v>
      </c>
      <c r="F251" s="2" t="s">
        <v>501</v>
      </c>
      <c r="G251" s="2">
        <v>4.0</v>
      </c>
      <c r="H251" s="2">
        <v>8.0</v>
      </c>
      <c r="I251" s="2">
        <v>352.0</v>
      </c>
    </row>
    <row r="252" ht="26.25" customHeight="1">
      <c r="B252" s="4" t="s">
        <v>502</v>
      </c>
      <c r="C252" s="5">
        <f>SUBTOTAL(9,C250:C251)</f>
        <v>364</v>
      </c>
      <c r="E252" s="5">
        <f>SUBTOTAL(9,E250:E251)</f>
        <v>373</v>
      </c>
      <c r="G252" s="5">
        <f t="shared" ref="G252:I252" si="84">SUBTOTAL(9,G250:G251)</f>
        <v>6</v>
      </c>
      <c r="H252" s="5">
        <f t="shared" si="84"/>
        <v>13</v>
      </c>
      <c r="I252" s="5">
        <f t="shared" si="84"/>
        <v>756</v>
      </c>
    </row>
    <row r="253" ht="26.25" customHeight="1">
      <c r="A253" s="2">
        <v>269.0</v>
      </c>
      <c r="B253" s="3" t="s">
        <v>503</v>
      </c>
      <c r="C253" s="2">
        <v>179.0</v>
      </c>
      <c r="D253" s="2" t="s">
        <v>504</v>
      </c>
      <c r="E253" s="2">
        <v>107.0</v>
      </c>
      <c r="F253" s="2" t="s">
        <v>505</v>
      </c>
      <c r="G253" s="2">
        <v>3.0</v>
      </c>
      <c r="H253" s="2">
        <v>8.0</v>
      </c>
      <c r="I253" s="2">
        <v>297.0</v>
      </c>
    </row>
    <row r="254" ht="26.25" customHeight="1">
      <c r="A254" s="2">
        <v>270.0</v>
      </c>
      <c r="B254" s="3" t="s">
        <v>503</v>
      </c>
      <c r="C254" s="2">
        <v>178.0</v>
      </c>
      <c r="D254" s="2" t="s">
        <v>506</v>
      </c>
      <c r="E254" s="2">
        <v>66.0</v>
      </c>
      <c r="F254" s="2" t="s">
        <v>507</v>
      </c>
      <c r="G254" s="2">
        <v>4.0</v>
      </c>
      <c r="H254" s="2">
        <v>3.0</v>
      </c>
      <c r="I254" s="2">
        <v>251.0</v>
      </c>
    </row>
    <row r="255" ht="26.25" customHeight="1">
      <c r="B255" s="4" t="s">
        <v>508</v>
      </c>
      <c r="C255" s="5">
        <f>SUBTOTAL(9,C253:C254)</f>
        <v>357</v>
      </c>
      <c r="E255" s="5">
        <f>SUBTOTAL(9,E253:E254)</f>
        <v>173</v>
      </c>
      <c r="G255" s="5">
        <f t="shared" ref="G255:I255" si="85">SUBTOTAL(9,G253:G254)</f>
        <v>7</v>
      </c>
      <c r="H255" s="5">
        <f t="shared" si="85"/>
        <v>11</v>
      </c>
      <c r="I255" s="5">
        <f t="shared" si="85"/>
        <v>548</v>
      </c>
    </row>
    <row r="256" ht="26.25" customHeight="1">
      <c r="A256" s="2">
        <v>271.0</v>
      </c>
      <c r="B256" s="3" t="s">
        <v>509</v>
      </c>
      <c r="C256" s="2">
        <v>187.0</v>
      </c>
      <c r="D256" s="2" t="s">
        <v>510</v>
      </c>
      <c r="E256" s="2">
        <v>143.0</v>
      </c>
      <c r="F256" s="2" t="s">
        <v>511</v>
      </c>
      <c r="G256" s="2">
        <v>2.0</v>
      </c>
      <c r="H256" s="2">
        <v>2.0</v>
      </c>
      <c r="I256" s="2">
        <v>334.0</v>
      </c>
    </row>
    <row r="257" ht="26.25" customHeight="1">
      <c r="B257" s="4" t="s">
        <v>512</v>
      </c>
      <c r="C257" s="5">
        <f>SUBTOTAL(9,C256)</f>
        <v>187</v>
      </c>
      <c r="E257" s="5">
        <f>SUBTOTAL(9,E256)</f>
        <v>143</v>
      </c>
      <c r="G257" s="5">
        <f t="shared" ref="G257:I257" si="86">SUBTOTAL(9,G256)</f>
        <v>2</v>
      </c>
      <c r="H257" s="5">
        <f t="shared" si="86"/>
        <v>2</v>
      </c>
      <c r="I257" s="5">
        <f t="shared" si="86"/>
        <v>334</v>
      </c>
    </row>
    <row r="258" ht="26.25" customHeight="1">
      <c r="A258" s="2">
        <v>272.0</v>
      </c>
      <c r="B258" s="3" t="s">
        <v>513</v>
      </c>
      <c r="C258" s="2">
        <v>134.0</v>
      </c>
      <c r="D258" s="2" t="s">
        <v>514</v>
      </c>
      <c r="E258" s="2">
        <v>27.0</v>
      </c>
      <c r="F258" s="2" t="s">
        <v>515</v>
      </c>
      <c r="G258" s="2">
        <v>4.0</v>
      </c>
      <c r="H258" s="2">
        <v>0.0</v>
      </c>
      <c r="I258" s="2">
        <v>165.0</v>
      </c>
    </row>
    <row r="259" ht="26.25" customHeight="1">
      <c r="B259" s="4" t="s">
        <v>516</v>
      </c>
      <c r="C259" s="5">
        <f>SUBTOTAL(9,C258)</f>
        <v>134</v>
      </c>
      <c r="E259" s="5">
        <f>SUBTOTAL(9,E258)</f>
        <v>27</v>
      </c>
      <c r="G259" s="5">
        <f t="shared" ref="G259:I259" si="87">SUBTOTAL(9,G258)</f>
        <v>4</v>
      </c>
      <c r="H259" s="5">
        <f t="shared" si="87"/>
        <v>0</v>
      </c>
      <c r="I259" s="5">
        <f t="shared" si="87"/>
        <v>165</v>
      </c>
    </row>
    <row r="260" ht="26.25" customHeight="1">
      <c r="A260" s="2">
        <v>273.0</v>
      </c>
      <c r="B260" s="3" t="s">
        <v>517</v>
      </c>
      <c r="C260" s="2">
        <v>135.0</v>
      </c>
      <c r="D260" s="2" t="s">
        <v>518</v>
      </c>
      <c r="E260" s="2">
        <v>75.0</v>
      </c>
      <c r="F260" s="2" t="s">
        <v>519</v>
      </c>
      <c r="G260" s="2">
        <v>0.0</v>
      </c>
      <c r="H260" s="2">
        <v>0.0</v>
      </c>
      <c r="I260" s="2">
        <v>210.0</v>
      </c>
    </row>
    <row r="261" ht="26.25" customHeight="1">
      <c r="B261" s="4" t="s">
        <v>520</v>
      </c>
      <c r="C261" s="5">
        <f>SUBTOTAL(9,C260)</f>
        <v>135</v>
      </c>
      <c r="E261" s="5">
        <f>SUBTOTAL(9,E260)</f>
        <v>75</v>
      </c>
      <c r="G261" s="5">
        <f t="shared" ref="G261:I261" si="88">SUBTOTAL(9,G260)</f>
        <v>0</v>
      </c>
      <c r="H261" s="5">
        <f t="shared" si="88"/>
        <v>0</v>
      </c>
      <c r="I261" s="5">
        <f t="shared" si="88"/>
        <v>210</v>
      </c>
    </row>
    <row r="262" ht="26.25" customHeight="1">
      <c r="A262" s="2">
        <v>274.0</v>
      </c>
      <c r="B262" s="3" t="s">
        <v>521</v>
      </c>
      <c r="C262" s="2">
        <v>188.0</v>
      </c>
      <c r="D262" s="2" t="s">
        <v>522</v>
      </c>
      <c r="E262" s="2">
        <v>59.0</v>
      </c>
      <c r="F262" s="2" t="s">
        <v>523</v>
      </c>
      <c r="G262" s="2">
        <v>0.0</v>
      </c>
      <c r="H262" s="2">
        <v>0.0</v>
      </c>
      <c r="I262" s="2">
        <v>247.0</v>
      </c>
    </row>
    <row r="263" ht="26.25" customHeight="1">
      <c r="A263" s="2">
        <v>275.0</v>
      </c>
      <c r="B263" s="3" t="s">
        <v>521</v>
      </c>
      <c r="C263" s="2">
        <v>365.0</v>
      </c>
      <c r="D263" s="2" t="s">
        <v>524</v>
      </c>
      <c r="E263" s="2">
        <v>13.0</v>
      </c>
      <c r="F263" s="2" t="s">
        <v>525</v>
      </c>
      <c r="G263" s="2">
        <v>1.0</v>
      </c>
      <c r="H263" s="2">
        <v>2.0</v>
      </c>
      <c r="I263" s="2">
        <v>381.0</v>
      </c>
    </row>
    <row r="264" ht="26.25" customHeight="1">
      <c r="B264" s="4" t="s">
        <v>526</v>
      </c>
      <c r="C264" s="5">
        <f>SUBTOTAL(9,C262:C263)</f>
        <v>553</v>
      </c>
      <c r="E264" s="5">
        <f>SUBTOTAL(9,E262:E263)</f>
        <v>72</v>
      </c>
      <c r="G264" s="5">
        <f t="shared" ref="G264:I264" si="89">SUBTOTAL(9,G262:G263)</f>
        <v>1</v>
      </c>
      <c r="H264" s="5">
        <f t="shared" si="89"/>
        <v>2</v>
      </c>
      <c r="I264" s="5">
        <f t="shared" si="89"/>
        <v>628</v>
      </c>
    </row>
    <row r="265" ht="26.25" customHeight="1">
      <c r="A265" s="2">
        <v>276.0</v>
      </c>
      <c r="B265" s="3" t="s">
        <v>527</v>
      </c>
      <c r="C265" s="2">
        <v>191.0</v>
      </c>
      <c r="D265" s="2" t="s">
        <v>528</v>
      </c>
      <c r="E265" s="2">
        <v>5.0</v>
      </c>
      <c r="F265" s="2" t="s">
        <v>529</v>
      </c>
      <c r="G265" s="2">
        <v>0.0</v>
      </c>
      <c r="H265" s="2">
        <v>0.0</v>
      </c>
      <c r="I265" s="2">
        <v>196.0</v>
      </c>
    </row>
    <row r="266" ht="26.25" customHeight="1">
      <c r="A266" s="2">
        <v>277.0</v>
      </c>
      <c r="B266" s="3" t="s">
        <v>527</v>
      </c>
      <c r="C266" s="2">
        <v>168.0</v>
      </c>
      <c r="D266" s="2" t="s">
        <v>530</v>
      </c>
      <c r="E266" s="2">
        <v>10.0</v>
      </c>
      <c r="F266" s="2" t="s">
        <v>531</v>
      </c>
      <c r="G266" s="2">
        <v>2.0</v>
      </c>
      <c r="H266" s="2">
        <v>0.0</v>
      </c>
      <c r="I266" s="2">
        <v>180.0</v>
      </c>
    </row>
    <row r="267" ht="26.25" customHeight="1">
      <c r="B267" s="4" t="s">
        <v>532</v>
      </c>
      <c r="C267" s="5">
        <f>SUBTOTAL(9,C265:C266)</f>
        <v>359</v>
      </c>
      <c r="E267" s="5">
        <f>SUBTOTAL(9,E265:E266)</f>
        <v>15</v>
      </c>
      <c r="G267" s="5">
        <f t="shared" ref="G267:I267" si="90">SUBTOTAL(9,G265:G266)</f>
        <v>2</v>
      </c>
      <c r="H267" s="5">
        <f t="shared" si="90"/>
        <v>0</v>
      </c>
      <c r="I267" s="5">
        <f t="shared" si="90"/>
        <v>376</v>
      </c>
    </row>
    <row r="268" ht="26.25" customHeight="1">
      <c r="A268" s="2">
        <v>278.0</v>
      </c>
      <c r="B268" s="3" t="s">
        <v>533</v>
      </c>
      <c r="C268" s="2">
        <v>231.0</v>
      </c>
      <c r="D268" s="2" t="s">
        <v>534</v>
      </c>
      <c r="E268" s="2">
        <v>85.0</v>
      </c>
      <c r="F268" s="2" t="s">
        <v>314</v>
      </c>
      <c r="G268" s="2">
        <v>0.0</v>
      </c>
      <c r="H268" s="2">
        <v>0.0</v>
      </c>
      <c r="I268" s="2">
        <v>316.0</v>
      </c>
    </row>
    <row r="269" ht="26.25" customHeight="1">
      <c r="B269" s="4" t="s">
        <v>535</v>
      </c>
      <c r="C269" s="5">
        <f>SUBTOTAL(9,C268)</f>
        <v>231</v>
      </c>
      <c r="E269" s="5">
        <f>SUBTOTAL(9,E268)</f>
        <v>85</v>
      </c>
      <c r="G269" s="5">
        <f t="shared" ref="G269:I269" si="91">SUBTOTAL(9,G268)</f>
        <v>0</v>
      </c>
      <c r="H269" s="5">
        <f t="shared" si="91"/>
        <v>0</v>
      </c>
      <c r="I269" s="5">
        <f t="shared" si="91"/>
        <v>316</v>
      </c>
    </row>
    <row r="270" ht="26.25" customHeight="1">
      <c r="A270" s="2">
        <v>279.0</v>
      </c>
      <c r="B270" s="3" t="s">
        <v>536</v>
      </c>
      <c r="C270" s="2">
        <v>49.0</v>
      </c>
      <c r="D270" s="2" t="s">
        <v>537</v>
      </c>
      <c r="E270" s="2">
        <v>53.0</v>
      </c>
      <c r="F270" s="2" t="s">
        <v>237</v>
      </c>
      <c r="G270" s="2">
        <v>3.0</v>
      </c>
      <c r="H270" s="2">
        <v>1.0</v>
      </c>
      <c r="I270" s="2">
        <v>106.0</v>
      </c>
    </row>
    <row r="271" ht="26.25" customHeight="1">
      <c r="B271" s="4" t="s">
        <v>538</v>
      </c>
      <c r="C271" s="5">
        <f>SUBTOTAL(9,C270)</f>
        <v>49</v>
      </c>
      <c r="E271" s="5">
        <f>SUBTOTAL(9,E270)</f>
        <v>53</v>
      </c>
      <c r="G271" s="5">
        <f t="shared" ref="G271:I271" si="92">SUBTOTAL(9,G270)</f>
        <v>3</v>
      </c>
      <c r="H271" s="5">
        <f t="shared" si="92"/>
        <v>1</v>
      </c>
      <c r="I271" s="5">
        <f t="shared" si="92"/>
        <v>106</v>
      </c>
    </row>
    <row r="272" ht="26.25" customHeight="1">
      <c r="A272" s="2">
        <v>280.0</v>
      </c>
      <c r="B272" s="3" t="s">
        <v>539</v>
      </c>
      <c r="C272" s="2">
        <v>327.0</v>
      </c>
      <c r="D272" s="2" t="s">
        <v>540</v>
      </c>
      <c r="E272" s="2">
        <v>94.0</v>
      </c>
      <c r="F272" s="2" t="s">
        <v>541</v>
      </c>
      <c r="G272" s="2">
        <v>0.0</v>
      </c>
      <c r="H272" s="2">
        <v>3.0</v>
      </c>
      <c r="I272" s="2">
        <v>424.0</v>
      </c>
    </row>
    <row r="273" ht="26.25" customHeight="1">
      <c r="B273" s="4" t="s">
        <v>542</v>
      </c>
      <c r="C273" s="5">
        <f>SUBTOTAL(9,C272)</f>
        <v>327</v>
      </c>
      <c r="E273" s="5">
        <f>SUBTOTAL(9,E272)</f>
        <v>94</v>
      </c>
      <c r="G273" s="5">
        <f t="shared" ref="G273:I273" si="93">SUBTOTAL(9,G272)</f>
        <v>0</v>
      </c>
      <c r="H273" s="5">
        <f t="shared" si="93"/>
        <v>3</v>
      </c>
      <c r="I273" s="5">
        <f t="shared" si="93"/>
        <v>424</v>
      </c>
    </row>
    <row r="274" ht="26.25" customHeight="1">
      <c r="A274" s="2">
        <v>281.0</v>
      </c>
      <c r="B274" s="3" t="s">
        <v>543</v>
      </c>
      <c r="C274" s="2">
        <v>137.0</v>
      </c>
      <c r="D274" s="2" t="s">
        <v>544</v>
      </c>
      <c r="E274" s="2">
        <v>17.0</v>
      </c>
      <c r="F274" s="2" t="s">
        <v>545</v>
      </c>
      <c r="G274" s="2">
        <v>8.0</v>
      </c>
      <c r="H274" s="2">
        <v>1.0</v>
      </c>
      <c r="I274" s="2">
        <v>163.0</v>
      </c>
    </row>
    <row r="275" ht="26.25" customHeight="1">
      <c r="B275" s="4" t="s">
        <v>546</v>
      </c>
      <c r="C275" s="5">
        <f>SUBTOTAL(9,C274)</f>
        <v>137</v>
      </c>
      <c r="E275" s="5">
        <f>SUBTOTAL(9,E274)</f>
        <v>17</v>
      </c>
      <c r="G275" s="5">
        <f t="shared" ref="G275:I275" si="94">SUBTOTAL(9,G274)</f>
        <v>8</v>
      </c>
      <c r="H275" s="5">
        <f t="shared" si="94"/>
        <v>1</v>
      </c>
      <c r="I275" s="5">
        <f t="shared" si="94"/>
        <v>163</v>
      </c>
    </row>
    <row r="276" ht="26.25" customHeight="1">
      <c r="A276" s="2">
        <v>282.0</v>
      </c>
      <c r="B276" s="3" t="s">
        <v>547</v>
      </c>
      <c r="C276" s="2">
        <v>122.0</v>
      </c>
      <c r="D276" s="2" t="s">
        <v>548</v>
      </c>
      <c r="E276" s="2">
        <v>26.0</v>
      </c>
      <c r="F276" s="2" t="s">
        <v>549</v>
      </c>
      <c r="G276" s="2">
        <v>3.0</v>
      </c>
      <c r="H276" s="2">
        <v>0.0</v>
      </c>
      <c r="I276" s="2">
        <v>151.0</v>
      </c>
    </row>
    <row r="277" ht="26.25" customHeight="1">
      <c r="B277" s="4" t="s">
        <v>550</v>
      </c>
      <c r="C277" s="5">
        <f>SUBTOTAL(9,C276)</f>
        <v>122</v>
      </c>
      <c r="E277" s="5">
        <f>SUBTOTAL(9,E276)</f>
        <v>26</v>
      </c>
      <c r="G277" s="5">
        <f t="shared" ref="G277:I277" si="95">SUBTOTAL(9,G276)</f>
        <v>3</v>
      </c>
      <c r="H277" s="5">
        <f t="shared" si="95"/>
        <v>0</v>
      </c>
      <c r="I277" s="5">
        <f t="shared" si="95"/>
        <v>151</v>
      </c>
    </row>
    <row r="278" ht="26.25" customHeight="1">
      <c r="A278" s="2">
        <v>283.0</v>
      </c>
      <c r="B278" s="3" t="s">
        <v>551</v>
      </c>
      <c r="C278" s="2">
        <v>4.0</v>
      </c>
      <c r="D278" s="2" t="s">
        <v>552</v>
      </c>
      <c r="E278" s="2">
        <v>5.0</v>
      </c>
      <c r="F278" s="2" t="s">
        <v>553</v>
      </c>
      <c r="G278" s="2">
        <v>0.0</v>
      </c>
      <c r="H278" s="2">
        <v>0.0</v>
      </c>
      <c r="I278" s="2">
        <v>9.0</v>
      </c>
    </row>
    <row r="279" ht="26.25" customHeight="1">
      <c r="A279" s="2">
        <v>284.0</v>
      </c>
      <c r="B279" s="3" t="s">
        <v>551</v>
      </c>
      <c r="C279" s="2">
        <v>6.0</v>
      </c>
      <c r="D279" s="2" t="s">
        <v>26</v>
      </c>
      <c r="E279" s="2">
        <v>5.0</v>
      </c>
      <c r="F279" s="2" t="s">
        <v>554</v>
      </c>
      <c r="G279" s="2">
        <v>0.0</v>
      </c>
      <c r="H279" s="2">
        <v>0.0</v>
      </c>
      <c r="I279" s="2">
        <v>11.0</v>
      </c>
    </row>
    <row r="280" ht="26.25" customHeight="1">
      <c r="B280" s="4" t="s">
        <v>555</v>
      </c>
      <c r="C280" s="5">
        <f>SUBTOTAL(9,C278:C279)</f>
        <v>10</v>
      </c>
      <c r="E280" s="5">
        <f>SUBTOTAL(9,E278:E279)</f>
        <v>10</v>
      </c>
      <c r="G280" s="5">
        <f t="shared" ref="G280:I280" si="96">SUBTOTAL(9,G278:G279)</f>
        <v>0</v>
      </c>
      <c r="H280" s="5">
        <f t="shared" si="96"/>
        <v>0</v>
      </c>
      <c r="I280" s="5">
        <f t="shared" si="96"/>
        <v>20</v>
      </c>
    </row>
    <row r="281" ht="26.25" customHeight="1">
      <c r="A281" s="2">
        <v>285.0</v>
      </c>
      <c r="B281" s="3" t="s">
        <v>556</v>
      </c>
      <c r="C281" s="2">
        <v>156.0</v>
      </c>
      <c r="D281" s="2" t="s">
        <v>557</v>
      </c>
      <c r="E281" s="2">
        <v>37.0</v>
      </c>
      <c r="F281" s="2" t="s">
        <v>558</v>
      </c>
      <c r="G281" s="2">
        <v>0.0</v>
      </c>
      <c r="H281" s="2">
        <v>3.0</v>
      </c>
      <c r="I281" s="2">
        <v>196.0</v>
      </c>
    </row>
    <row r="282" ht="26.25" customHeight="1">
      <c r="A282" s="2">
        <v>286.0</v>
      </c>
      <c r="B282" s="3" t="s">
        <v>556</v>
      </c>
      <c r="C282" s="2">
        <v>122.0</v>
      </c>
      <c r="D282" s="2" t="s">
        <v>559</v>
      </c>
      <c r="E282" s="2">
        <v>27.0</v>
      </c>
      <c r="F282" s="2" t="s">
        <v>560</v>
      </c>
      <c r="G282" s="2">
        <v>3.0</v>
      </c>
      <c r="H282" s="2">
        <v>4.0</v>
      </c>
      <c r="I282" s="2">
        <v>156.0</v>
      </c>
    </row>
    <row r="283" ht="26.25" customHeight="1">
      <c r="B283" s="4" t="s">
        <v>561</v>
      </c>
      <c r="C283" s="5">
        <f>SUBTOTAL(9,C281:C282)</f>
        <v>278</v>
      </c>
      <c r="E283" s="5">
        <f>SUBTOTAL(9,E281:E282)</f>
        <v>64</v>
      </c>
      <c r="G283" s="5">
        <f t="shared" ref="G283:I283" si="97">SUBTOTAL(9,G281:G282)</f>
        <v>3</v>
      </c>
      <c r="H283" s="5">
        <f t="shared" si="97"/>
        <v>7</v>
      </c>
      <c r="I283" s="5">
        <f t="shared" si="97"/>
        <v>352</v>
      </c>
    </row>
    <row r="284" ht="26.25" customHeight="1">
      <c r="A284" s="2">
        <v>287.0</v>
      </c>
      <c r="B284" s="3" t="s">
        <v>562</v>
      </c>
      <c r="C284" s="2">
        <v>133.0</v>
      </c>
      <c r="D284" s="2" t="s">
        <v>563</v>
      </c>
      <c r="E284" s="2">
        <v>83.0</v>
      </c>
      <c r="F284" s="2" t="s">
        <v>564</v>
      </c>
      <c r="G284" s="2">
        <v>2.0</v>
      </c>
      <c r="H284" s="2">
        <v>2.0</v>
      </c>
      <c r="I284" s="2">
        <v>220.0</v>
      </c>
    </row>
    <row r="285" ht="26.25" customHeight="1">
      <c r="A285" s="2">
        <v>288.0</v>
      </c>
      <c r="B285" s="3" t="s">
        <v>562</v>
      </c>
      <c r="C285" s="2">
        <v>14.0</v>
      </c>
      <c r="D285" s="2" t="s">
        <v>565</v>
      </c>
      <c r="E285" s="2">
        <v>41.0</v>
      </c>
      <c r="F285" s="2" t="s">
        <v>566</v>
      </c>
      <c r="G285" s="2">
        <v>2.0</v>
      </c>
      <c r="H285" s="2">
        <v>1.0</v>
      </c>
      <c r="I285" s="2">
        <v>58.0</v>
      </c>
    </row>
    <row r="286" ht="26.25" customHeight="1">
      <c r="B286" s="4" t="s">
        <v>567</v>
      </c>
      <c r="C286" s="5">
        <f>SUBTOTAL(9,C284:C285)</f>
        <v>147</v>
      </c>
      <c r="E286" s="5">
        <f>SUBTOTAL(9,E284:E285)</f>
        <v>124</v>
      </c>
      <c r="G286" s="5">
        <f t="shared" ref="G286:I286" si="98">SUBTOTAL(9,G284:G285)</f>
        <v>4</v>
      </c>
      <c r="H286" s="5">
        <f t="shared" si="98"/>
        <v>3</v>
      </c>
      <c r="I286" s="5">
        <f t="shared" si="98"/>
        <v>278</v>
      </c>
    </row>
    <row r="287" ht="26.25" customHeight="1">
      <c r="A287" s="2">
        <v>289.0</v>
      </c>
      <c r="B287" s="3" t="s">
        <v>568</v>
      </c>
      <c r="C287" s="2">
        <v>131.0</v>
      </c>
      <c r="D287" s="2" t="s">
        <v>569</v>
      </c>
      <c r="E287" s="2">
        <v>110.0</v>
      </c>
      <c r="F287" s="2" t="s">
        <v>570</v>
      </c>
      <c r="G287" s="2">
        <v>3.0</v>
      </c>
      <c r="H287" s="2">
        <v>3.0</v>
      </c>
      <c r="I287" s="2">
        <v>247.0</v>
      </c>
    </row>
    <row r="288" ht="26.25" customHeight="1">
      <c r="B288" s="4" t="s">
        <v>571</v>
      </c>
      <c r="C288" s="5">
        <f>SUBTOTAL(9,C287)</f>
        <v>131</v>
      </c>
      <c r="E288" s="5">
        <f>SUBTOTAL(9,E287)</f>
        <v>110</v>
      </c>
      <c r="G288" s="5">
        <f t="shared" ref="G288:I288" si="99">SUBTOTAL(9,G287)</f>
        <v>3</v>
      </c>
      <c r="H288" s="5">
        <f t="shared" si="99"/>
        <v>3</v>
      </c>
      <c r="I288" s="5">
        <f t="shared" si="99"/>
        <v>247</v>
      </c>
    </row>
    <row r="289" ht="26.25" customHeight="1">
      <c r="A289" s="2">
        <v>290.0</v>
      </c>
      <c r="B289" s="3" t="s">
        <v>572</v>
      </c>
      <c r="C289" s="2">
        <v>146.0</v>
      </c>
      <c r="D289" s="2" t="s">
        <v>573</v>
      </c>
      <c r="E289" s="2">
        <v>10.0</v>
      </c>
      <c r="F289" s="2" t="s">
        <v>574</v>
      </c>
      <c r="G289" s="2">
        <v>1.0</v>
      </c>
      <c r="H289" s="2">
        <v>0.0</v>
      </c>
      <c r="I289" s="2">
        <v>157.0</v>
      </c>
    </row>
    <row r="290" ht="26.25" customHeight="1">
      <c r="B290" s="4" t="s">
        <v>575</v>
      </c>
      <c r="C290" s="5">
        <f>SUBTOTAL(9,C289)</f>
        <v>146</v>
      </c>
      <c r="E290" s="5">
        <f>SUBTOTAL(9,E289)</f>
        <v>10</v>
      </c>
      <c r="G290" s="5">
        <f t="shared" ref="G290:I290" si="100">SUBTOTAL(9,G289)</f>
        <v>1</v>
      </c>
      <c r="H290" s="5">
        <f t="shared" si="100"/>
        <v>0</v>
      </c>
      <c r="I290" s="5">
        <f t="shared" si="100"/>
        <v>157</v>
      </c>
    </row>
    <row r="291" ht="26.25" customHeight="1">
      <c r="A291" s="2">
        <v>291.0</v>
      </c>
      <c r="B291" s="3" t="s">
        <v>576</v>
      </c>
      <c r="C291" s="2">
        <v>148.0</v>
      </c>
      <c r="D291" s="2" t="s">
        <v>577</v>
      </c>
      <c r="E291" s="2">
        <v>38.0</v>
      </c>
      <c r="F291" s="2" t="s">
        <v>578</v>
      </c>
      <c r="G291" s="2">
        <v>1.0</v>
      </c>
      <c r="H291" s="2">
        <v>1.0</v>
      </c>
      <c r="I291" s="2">
        <v>188.0</v>
      </c>
    </row>
    <row r="292" ht="26.25" customHeight="1">
      <c r="A292" s="2">
        <v>292.0</v>
      </c>
      <c r="B292" s="3" t="s">
        <v>576</v>
      </c>
      <c r="C292" s="2">
        <v>100.0</v>
      </c>
      <c r="D292" s="2" t="s">
        <v>336</v>
      </c>
      <c r="E292" s="2">
        <v>67.0</v>
      </c>
      <c r="F292" s="2" t="s">
        <v>579</v>
      </c>
      <c r="G292" s="2">
        <v>3.0</v>
      </c>
      <c r="H292" s="2">
        <v>2.0</v>
      </c>
      <c r="I292" s="2">
        <v>172.0</v>
      </c>
    </row>
    <row r="293" ht="26.25" customHeight="1">
      <c r="B293" s="4" t="s">
        <v>580</v>
      </c>
      <c r="C293" s="5">
        <f>SUBTOTAL(9,C291:C292)</f>
        <v>248</v>
      </c>
      <c r="E293" s="5">
        <f>SUBTOTAL(9,E291:E292)</f>
        <v>105</v>
      </c>
      <c r="G293" s="5">
        <f t="shared" ref="G293:I293" si="101">SUBTOTAL(9,G291:G292)</f>
        <v>4</v>
      </c>
      <c r="H293" s="5">
        <f t="shared" si="101"/>
        <v>3</v>
      </c>
      <c r="I293" s="5">
        <f t="shared" si="101"/>
        <v>360</v>
      </c>
    </row>
    <row r="294" ht="26.25" customHeight="1">
      <c r="A294" s="2">
        <v>293.0</v>
      </c>
      <c r="B294" s="3" t="s">
        <v>581</v>
      </c>
      <c r="C294" s="2">
        <v>195.0</v>
      </c>
      <c r="D294" s="2" t="s">
        <v>582</v>
      </c>
      <c r="E294" s="2">
        <v>11.0</v>
      </c>
      <c r="F294" s="2" t="s">
        <v>583</v>
      </c>
      <c r="G294" s="2">
        <v>2.0</v>
      </c>
      <c r="H294" s="2">
        <v>0.0</v>
      </c>
      <c r="I294" s="2">
        <v>208.0</v>
      </c>
    </row>
    <row r="295" ht="26.25" customHeight="1">
      <c r="B295" s="4" t="s">
        <v>584</v>
      </c>
      <c r="C295" s="5">
        <f>SUBTOTAL(9,C294)</f>
        <v>195</v>
      </c>
      <c r="E295" s="5">
        <f>SUBTOTAL(9,E294)</f>
        <v>11</v>
      </c>
      <c r="G295" s="5">
        <f t="shared" ref="G295:I295" si="102">SUBTOTAL(9,G294)</f>
        <v>2</v>
      </c>
      <c r="H295" s="5">
        <f t="shared" si="102"/>
        <v>0</v>
      </c>
      <c r="I295" s="5">
        <f t="shared" si="102"/>
        <v>208</v>
      </c>
    </row>
    <row r="296" ht="26.25" customHeight="1">
      <c r="A296" s="2">
        <v>294.0</v>
      </c>
      <c r="B296" s="3" t="s">
        <v>585</v>
      </c>
      <c r="C296" s="2">
        <v>180.0</v>
      </c>
      <c r="D296" s="2" t="s">
        <v>586</v>
      </c>
      <c r="E296" s="2">
        <v>18.0</v>
      </c>
      <c r="F296" s="2" t="s">
        <v>587</v>
      </c>
      <c r="G296" s="2">
        <v>3.0</v>
      </c>
      <c r="H296" s="2">
        <v>4.0</v>
      </c>
      <c r="I296" s="2">
        <v>205.0</v>
      </c>
    </row>
    <row r="297" ht="26.25" customHeight="1">
      <c r="B297" s="4" t="s">
        <v>588</v>
      </c>
      <c r="C297" s="5">
        <f>SUBTOTAL(9,C296)</f>
        <v>180</v>
      </c>
      <c r="E297" s="5">
        <f>SUBTOTAL(9,E296)</f>
        <v>18</v>
      </c>
      <c r="G297" s="5">
        <f t="shared" ref="G297:I297" si="103">SUBTOTAL(9,G296)</f>
        <v>3</v>
      </c>
      <c r="H297" s="5">
        <f t="shared" si="103"/>
        <v>4</v>
      </c>
      <c r="I297" s="5">
        <f t="shared" si="103"/>
        <v>205</v>
      </c>
    </row>
    <row r="298" ht="26.25" customHeight="1">
      <c r="A298" s="2">
        <v>295.0</v>
      </c>
      <c r="B298" s="3" t="s">
        <v>589</v>
      </c>
      <c r="C298" s="2">
        <v>242.0</v>
      </c>
      <c r="D298" s="2" t="s">
        <v>590</v>
      </c>
      <c r="E298" s="2">
        <v>7.0</v>
      </c>
      <c r="F298" s="2" t="s">
        <v>591</v>
      </c>
      <c r="G298" s="2">
        <v>2.0</v>
      </c>
      <c r="H298" s="2">
        <v>3.0</v>
      </c>
      <c r="I298" s="2">
        <v>254.0</v>
      </c>
    </row>
    <row r="299" ht="26.25" customHeight="1">
      <c r="B299" s="4" t="s">
        <v>592</v>
      </c>
      <c r="C299" s="5">
        <f>SUBTOTAL(9,C298)</f>
        <v>242</v>
      </c>
      <c r="E299" s="5">
        <f>SUBTOTAL(9,E298)</f>
        <v>7</v>
      </c>
      <c r="G299" s="5">
        <f t="shared" ref="G299:I299" si="104">SUBTOTAL(9,G298)</f>
        <v>2</v>
      </c>
      <c r="H299" s="5">
        <f t="shared" si="104"/>
        <v>3</v>
      </c>
      <c r="I299" s="5">
        <f t="shared" si="104"/>
        <v>254</v>
      </c>
    </row>
    <row r="300" ht="26.25" customHeight="1">
      <c r="A300" s="2">
        <v>296.0</v>
      </c>
      <c r="B300" s="3" t="s">
        <v>593</v>
      </c>
      <c r="C300" s="2">
        <v>123.0</v>
      </c>
      <c r="D300" s="2" t="s">
        <v>594</v>
      </c>
      <c r="E300" s="2">
        <v>173.0</v>
      </c>
      <c r="F300" s="2" t="s">
        <v>595</v>
      </c>
      <c r="G300" s="2">
        <v>3.0</v>
      </c>
      <c r="H300" s="2">
        <v>2.0</v>
      </c>
      <c r="I300" s="2">
        <v>301.0</v>
      </c>
    </row>
    <row r="301" ht="26.25" customHeight="1">
      <c r="B301" s="4" t="s">
        <v>596</v>
      </c>
      <c r="C301" s="5">
        <f>SUBTOTAL(9,C300)</f>
        <v>123</v>
      </c>
      <c r="E301" s="5">
        <f>SUBTOTAL(9,E300)</f>
        <v>173</v>
      </c>
      <c r="G301" s="5">
        <f t="shared" ref="G301:I301" si="105">SUBTOTAL(9,G300)</f>
        <v>3</v>
      </c>
      <c r="H301" s="5">
        <f t="shared" si="105"/>
        <v>2</v>
      </c>
      <c r="I301" s="5">
        <f t="shared" si="105"/>
        <v>301</v>
      </c>
    </row>
    <row r="302" ht="26.25" customHeight="1">
      <c r="A302" s="2">
        <v>297.0</v>
      </c>
      <c r="B302" s="3" t="s">
        <v>46</v>
      </c>
      <c r="C302" s="2">
        <v>157.0</v>
      </c>
      <c r="D302" s="2" t="s">
        <v>597</v>
      </c>
      <c r="E302" s="2">
        <v>31.0</v>
      </c>
      <c r="F302" s="2" t="s">
        <v>598</v>
      </c>
      <c r="G302" s="2">
        <v>6.0</v>
      </c>
      <c r="H302" s="2">
        <v>0.0</v>
      </c>
      <c r="I302" s="2">
        <v>194.0</v>
      </c>
    </row>
    <row r="303" ht="26.25" customHeight="1">
      <c r="B303" s="4" t="s">
        <v>54</v>
      </c>
      <c r="C303" s="5">
        <f>SUBTOTAL(9,C302)</f>
        <v>157</v>
      </c>
      <c r="E303" s="5">
        <f>SUBTOTAL(9,E302)</f>
        <v>31</v>
      </c>
      <c r="G303" s="5">
        <f t="shared" ref="G303:I303" si="106">SUBTOTAL(9,G302)</f>
        <v>6</v>
      </c>
      <c r="H303" s="5">
        <f t="shared" si="106"/>
        <v>0</v>
      </c>
      <c r="I303" s="5">
        <f t="shared" si="106"/>
        <v>194</v>
      </c>
    </row>
    <row r="304" ht="26.25" customHeight="1">
      <c r="A304" s="2">
        <v>298.0</v>
      </c>
      <c r="B304" s="6"/>
      <c r="C304" s="2">
        <v>49.0</v>
      </c>
      <c r="D304" s="2" t="s">
        <v>599</v>
      </c>
      <c r="E304" s="2">
        <v>94.0</v>
      </c>
      <c r="F304" s="2" t="s">
        <v>600</v>
      </c>
      <c r="G304" s="2">
        <v>0.0</v>
      </c>
      <c r="H304" s="2">
        <v>5.0</v>
      </c>
      <c r="I304" s="2">
        <v>148.0</v>
      </c>
    </row>
    <row r="305" ht="26.25" customHeight="1">
      <c r="B305" s="4" t="s">
        <v>601</v>
      </c>
      <c r="C305" s="5">
        <f>SUBTOTAL(9,C2:C304)</f>
        <v>24780</v>
      </c>
      <c r="E305" s="5">
        <f>SUBTOTAL(9,E2:E304)</f>
        <v>14857</v>
      </c>
      <c r="G305" s="5">
        <f t="shared" ref="G305:I305" si="107">SUBTOTAL(9,G2:G304)</f>
        <v>401</v>
      </c>
      <c r="H305" s="5">
        <f t="shared" si="107"/>
        <v>361</v>
      </c>
      <c r="I305" s="5">
        <f t="shared" si="107"/>
        <v>40399</v>
      </c>
    </row>
  </sheetData>
  <drawing r:id="rId1"/>
</worksheet>
</file>